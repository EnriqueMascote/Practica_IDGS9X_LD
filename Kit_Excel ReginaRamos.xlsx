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1.xml" ContentType="application/vnd.openxmlformats-officedocument.drawing+xml"/>
  <Override PartName="/xl/tables/table10.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egin\OneDrive\Desktop\Practica_IDGS9X_LD-main\excel\"/>
    </mc:Choice>
  </mc:AlternateContent>
  <xr:revisionPtr revIDLastSave="0" documentId="13_ncr:1_{AFC7F049-9D92-468C-B296-6C52F7C9E58F}" xr6:coauthVersionLast="47" xr6:coauthVersionMax="47" xr10:uidLastSave="{00000000-0000-0000-0000-000000000000}"/>
  <bookViews>
    <workbookView xWindow="1884" yWindow="1884" windowWidth="17280" windowHeight="9420" tabRatio="500" firstSheet="8" activeTab="8" xr2:uid="{00000000-000D-0000-FFFF-FFFF00000000}"/>
  </bookViews>
  <sheets>
    <sheet name="00_Leeme" sheetId="1" r:id="rId1"/>
    <sheet name="01_Diccionario" sheetId="2" r:id="rId2"/>
    <sheet name="02_Catalogo_Equipos" sheetId="3" r:id="rId3"/>
    <sheet name="03_Sucio_2018" sheetId="4" r:id="rId4"/>
    <sheet name="04_Sucio_2022" sheetId="5" r:id="rId5"/>
    <sheet name="05_Sucio_2026" sheetId="6" r:id="rId6"/>
    <sheet name="06_Control_Calidad" sheetId="7" r:id="rId7"/>
    <sheet name="07_Base_Limpia" sheetId="8" r:id="rId8"/>
    <sheet name="08_Comparacion" sheetId="9" r:id="rId9"/>
    <sheet name="09_Supervisado" sheetId="10" r:id="rId10"/>
    <sheet name="10_Tabla_Equipos" sheetId="11" r:id="rId11"/>
    <sheet name="11_Pruebas_QA"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N87" i="8" l="1"/>
  <c r="N39" i="8"/>
  <c r="G6" i="9"/>
  <c r="D22" i="9"/>
  <c r="C22" i="9"/>
  <c r="B22" i="9"/>
  <c r="D21" i="9"/>
  <c r="C21" i="9"/>
  <c r="B21" i="9"/>
  <c r="D20" i="9"/>
  <c r="C20" i="9"/>
  <c r="B20" i="9"/>
  <c r="B17" i="12"/>
  <c r="D17" i="12" s="1"/>
  <c r="B15" i="12"/>
  <c r="D15" i="12" s="1"/>
  <c r="B14" i="12"/>
  <c r="D14" i="12" s="1"/>
  <c r="B13" i="12"/>
  <c r="D13" i="12" s="1"/>
  <c r="B12" i="12"/>
  <c r="D12" i="12" s="1"/>
  <c r="B11" i="12"/>
  <c r="D11" i="12" s="1"/>
  <c r="B10" i="12"/>
  <c r="D10" i="12" s="1"/>
  <c r="B9" i="12"/>
  <c r="D9" i="12" s="1"/>
  <c r="B8" i="12"/>
  <c r="D8" i="12" s="1"/>
  <c r="B7" i="12"/>
  <c r="D7" i="12" s="1"/>
  <c r="B6" i="12"/>
  <c r="D6" i="12" s="1"/>
  <c r="F341" i="11"/>
  <c r="E341" i="11"/>
  <c r="G341" i="11" s="1"/>
  <c r="C341" i="11"/>
  <c r="B341" i="11"/>
  <c r="A341" i="11"/>
  <c r="F340" i="11"/>
  <c r="E340" i="11"/>
  <c r="G340" i="11" s="1"/>
  <c r="C340" i="11"/>
  <c r="B340" i="11"/>
  <c r="A340" i="11"/>
  <c r="F339" i="11"/>
  <c r="E339" i="11"/>
  <c r="G339" i="11" s="1"/>
  <c r="C339" i="11"/>
  <c r="B339" i="11"/>
  <c r="A339" i="11"/>
  <c r="F338" i="11"/>
  <c r="E338" i="11"/>
  <c r="G338" i="11" s="1"/>
  <c r="C338" i="11"/>
  <c r="B338" i="11"/>
  <c r="A338" i="11"/>
  <c r="F337" i="11"/>
  <c r="E337" i="11"/>
  <c r="G337" i="11" s="1"/>
  <c r="C337" i="11"/>
  <c r="B337" i="11"/>
  <c r="A337" i="11"/>
  <c r="F336" i="11"/>
  <c r="E336" i="11"/>
  <c r="G336" i="11" s="1"/>
  <c r="C336" i="11"/>
  <c r="B336" i="11"/>
  <c r="A336" i="11"/>
  <c r="F335" i="11"/>
  <c r="E335" i="11"/>
  <c r="G335" i="11" s="1"/>
  <c r="C335" i="11"/>
  <c r="B335" i="11"/>
  <c r="A335" i="11"/>
  <c r="F334" i="11"/>
  <c r="E334" i="11"/>
  <c r="G334" i="11" s="1"/>
  <c r="C334" i="11"/>
  <c r="B334" i="11"/>
  <c r="A334" i="11"/>
  <c r="F333" i="11"/>
  <c r="E333" i="11"/>
  <c r="G333" i="11" s="1"/>
  <c r="C333" i="11"/>
  <c r="B333" i="11"/>
  <c r="A333" i="11"/>
  <c r="F332" i="11"/>
  <c r="E332" i="11"/>
  <c r="G332" i="11" s="1"/>
  <c r="C332" i="11"/>
  <c r="B332" i="11"/>
  <c r="A332" i="11"/>
  <c r="F331" i="11"/>
  <c r="E331" i="11"/>
  <c r="G331" i="11" s="1"/>
  <c r="C331" i="11"/>
  <c r="B331" i="11"/>
  <c r="A331" i="11"/>
  <c r="F330" i="11"/>
  <c r="E330" i="11"/>
  <c r="G330" i="11" s="1"/>
  <c r="C330" i="11"/>
  <c r="B330" i="11"/>
  <c r="A330" i="11"/>
  <c r="F329" i="11"/>
  <c r="E329" i="11"/>
  <c r="G329" i="11" s="1"/>
  <c r="C329" i="11"/>
  <c r="B329" i="11"/>
  <c r="A329" i="11"/>
  <c r="F328" i="11"/>
  <c r="E328" i="11"/>
  <c r="G328" i="11" s="1"/>
  <c r="C328" i="11"/>
  <c r="B328" i="11"/>
  <c r="A328" i="11"/>
  <c r="F327" i="11"/>
  <c r="E327" i="11"/>
  <c r="G327" i="11" s="1"/>
  <c r="C327" i="11"/>
  <c r="B327" i="11"/>
  <c r="A327" i="11"/>
  <c r="F326" i="11"/>
  <c r="E326" i="11"/>
  <c r="G326" i="11" s="1"/>
  <c r="C326" i="11"/>
  <c r="B326" i="11"/>
  <c r="A326" i="11"/>
  <c r="F325" i="11"/>
  <c r="E325" i="11"/>
  <c r="G325" i="11" s="1"/>
  <c r="C325" i="11"/>
  <c r="B325" i="11"/>
  <c r="A325" i="11"/>
  <c r="F324" i="11"/>
  <c r="E324" i="11"/>
  <c r="G324" i="11" s="1"/>
  <c r="C324" i="11"/>
  <c r="B324" i="11"/>
  <c r="A324" i="11"/>
  <c r="F323" i="11"/>
  <c r="E323" i="11"/>
  <c r="G323" i="11" s="1"/>
  <c r="C323" i="11"/>
  <c r="B323" i="11"/>
  <c r="A323" i="11"/>
  <c r="F322" i="11"/>
  <c r="E322" i="11"/>
  <c r="G322" i="11" s="1"/>
  <c r="C322" i="11"/>
  <c r="B322" i="11"/>
  <c r="A322" i="11"/>
  <c r="F321" i="11"/>
  <c r="E321" i="11"/>
  <c r="G321" i="11" s="1"/>
  <c r="C321" i="11"/>
  <c r="B321" i="11"/>
  <c r="A321" i="11"/>
  <c r="F320" i="11"/>
  <c r="E320" i="11"/>
  <c r="G320" i="11" s="1"/>
  <c r="C320" i="11"/>
  <c r="B320" i="11"/>
  <c r="A320" i="11"/>
  <c r="F319" i="11"/>
  <c r="E319" i="11"/>
  <c r="G319" i="11" s="1"/>
  <c r="C319" i="11"/>
  <c r="B319" i="11"/>
  <c r="A319" i="11"/>
  <c r="F318" i="11"/>
  <c r="E318" i="11"/>
  <c r="G318" i="11" s="1"/>
  <c r="C318" i="11"/>
  <c r="B318" i="11"/>
  <c r="A318" i="11"/>
  <c r="F317" i="11"/>
  <c r="E317" i="11"/>
  <c r="G317" i="11" s="1"/>
  <c r="C317" i="11"/>
  <c r="B317" i="11"/>
  <c r="A317" i="11"/>
  <c r="F316" i="11"/>
  <c r="E316" i="11"/>
  <c r="G316" i="11" s="1"/>
  <c r="C316" i="11"/>
  <c r="B316" i="11"/>
  <c r="A316" i="11"/>
  <c r="F315" i="11"/>
  <c r="E315" i="11"/>
  <c r="G315" i="11" s="1"/>
  <c r="C315" i="11"/>
  <c r="B315" i="11"/>
  <c r="A315" i="11"/>
  <c r="F314" i="11"/>
  <c r="E314" i="11"/>
  <c r="G314" i="11" s="1"/>
  <c r="C314" i="11"/>
  <c r="B314" i="11"/>
  <c r="A314" i="11"/>
  <c r="F313" i="11"/>
  <c r="E313" i="11"/>
  <c r="G313" i="11" s="1"/>
  <c r="C313" i="11"/>
  <c r="B313" i="11"/>
  <c r="A313" i="11"/>
  <c r="F312" i="11"/>
  <c r="E312" i="11"/>
  <c r="G312" i="11" s="1"/>
  <c r="C312" i="11"/>
  <c r="B312" i="11"/>
  <c r="A312" i="11"/>
  <c r="F311" i="11"/>
  <c r="E311" i="11"/>
  <c r="G311" i="11" s="1"/>
  <c r="C311" i="11"/>
  <c r="B311" i="11"/>
  <c r="A311" i="11"/>
  <c r="F310" i="11"/>
  <c r="E310" i="11"/>
  <c r="G310" i="11" s="1"/>
  <c r="C310" i="11"/>
  <c r="B310" i="11"/>
  <c r="A310" i="11"/>
  <c r="F309" i="11"/>
  <c r="E309" i="11"/>
  <c r="G309" i="11" s="1"/>
  <c r="C309" i="11"/>
  <c r="B309" i="11"/>
  <c r="A309" i="11"/>
  <c r="F308" i="11"/>
  <c r="E308" i="11"/>
  <c r="G308" i="11" s="1"/>
  <c r="C308" i="11"/>
  <c r="B308" i="11"/>
  <c r="A308" i="11"/>
  <c r="F307" i="11"/>
  <c r="E307" i="11"/>
  <c r="G307" i="11" s="1"/>
  <c r="C307" i="11"/>
  <c r="B307" i="11"/>
  <c r="A307" i="11"/>
  <c r="F306" i="11"/>
  <c r="E306" i="11"/>
  <c r="G306" i="11" s="1"/>
  <c r="C306" i="11"/>
  <c r="B306" i="11"/>
  <c r="A306" i="11"/>
  <c r="F305" i="11"/>
  <c r="E305" i="11"/>
  <c r="G305" i="11" s="1"/>
  <c r="C305" i="11"/>
  <c r="B305" i="11"/>
  <c r="A305" i="11"/>
  <c r="F304" i="11"/>
  <c r="E304" i="11"/>
  <c r="G304" i="11" s="1"/>
  <c r="C304" i="11"/>
  <c r="B304" i="11"/>
  <c r="A304" i="11"/>
  <c r="F303" i="11"/>
  <c r="E303" i="11"/>
  <c r="G303" i="11" s="1"/>
  <c r="C303" i="11"/>
  <c r="B303" i="11"/>
  <c r="A303" i="11"/>
  <c r="F302" i="11"/>
  <c r="E302" i="11"/>
  <c r="G302" i="11" s="1"/>
  <c r="C302" i="11"/>
  <c r="B302" i="11"/>
  <c r="A302" i="11"/>
  <c r="F301" i="11"/>
  <c r="E301" i="11"/>
  <c r="G301" i="11" s="1"/>
  <c r="C301" i="11"/>
  <c r="B301" i="11"/>
  <c r="A301" i="11"/>
  <c r="F300" i="11"/>
  <c r="E300" i="11"/>
  <c r="G300" i="11" s="1"/>
  <c r="C300" i="11"/>
  <c r="B300" i="11"/>
  <c r="A300" i="11"/>
  <c r="F299" i="11"/>
  <c r="E299" i="11"/>
  <c r="G299" i="11" s="1"/>
  <c r="C299" i="11"/>
  <c r="B299" i="11"/>
  <c r="A299" i="11"/>
  <c r="F298" i="11"/>
  <c r="E298" i="11"/>
  <c r="G298" i="11" s="1"/>
  <c r="C298" i="11"/>
  <c r="B298" i="11"/>
  <c r="A298" i="11"/>
  <c r="F297" i="11"/>
  <c r="E297" i="11"/>
  <c r="G297" i="11" s="1"/>
  <c r="C297" i="11"/>
  <c r="B297" i="11"/>
  <c r="A297" i="11"/>
  <c r="F296" i="11"/>
  <c r="E296" i="11"/>
  <c r="G296" i="11" s="1"/>
  <c r="C296" i="11"/>
  <c r="B296" i="11"/>
  <c r="A296" i="11"/>
  <c r="F295" i="11"/>
  <c r="E295" i="11"/>
  <c r="G295" i="11" s="1"/>
  <c r="C295" i="11"/>
  <c r="B295" i="11"/>
  <c r="A295" i="11"/>
  <c r="F294" i="11"/>
  <c r="E294" i="11"/>
  <c r="C294" i="11"/>
  <c r="B294" i="11"/>
  <c r="A294" i="11"/>
  <c r="F293" i="11"/>
  <c r="E293" i="11"/>
  <c r="G293" i="11" s="1"/>
  <c r="C293" i="11"/>
  <c r="B293" i="11"/>
  <c r="A293" i="11"/>
  <c r="F292" i="11"/>
  <c r="E292" i="11"/>
  <c r="C292" i="11"/>
  <c r="B292" i="11"/>
  <c r="A292" i="11"/>
  <c r="F291" i="11"/>
  <c r="E291" i="11"/>
  <c r="G291" i="11" s="1"/>
  <c r="C291" i="11"/>
  <c r="B291" i="11"/>
  <c r="A291" i="11"/>
  <c r="F290" i="11"/>
  <c r="E290" i="11"/>
  <c r="C290" i="11"/>
  <c r="B290" i="11"/>
  <c r="A290" i="11"/>
  <c r="F289" i="11"/>
  <c r="E289" i="11"/>
  <c r="G289" i="11" s="1"/>
  <c r="C289" i="11"/>
  <c r="B289" i="11"/>
  <c r="A289" i="11"/>
  <c r="F288" i="11"/>
  <c r="E288" i="11"/>
  <c r="C288" i="11"/>
  <c r="B288" i="11"/>
  <c r="A288" i="11"/>
  <c r="F287" i="11"/>
  <c r="E287" i="11"/>
  <c r="G287" i="11" s="1"/>
  <c r="C287" i="11"/>
  <c r="B287" i="11"/>
  <c r="A287" i="11"/>
  <c r="F286" i="11"/>
  <c r="E286" i="11"/>
  <c r="C286" i="11"/>
  <c r="B286" i="11"/>
  <c r="A286" i="11"/>
  <c r="F285" i="11"/>
  <c r="E285" i="11"/>
  <c r="G285" i="11" s="1"/>
  <c r="C285" i="11"/>
  <c r="B285" i="11"/>
  <c r="A285" i="11"/>
  <c r="F284" i="11"/>
  <c r="E284" i="11"/>
  <c r="C284" i="11"/>
  <c r="B284" i="11"/>
  <c r="A284" i="11"/>
  <c r="F283" i="11"/>
  <c r="E283" i="11"/>
  <c r="G283" i="11" s="1"/>
  <c r="C283" i="11"/>
  <c r="B283" i="11"/>
  <c r="A283" i="11"/>
  <c r="F282" i="11"/>
  <c r="E282" i="11"/>
  <c r="C282" i="11"/>
  <c r="B282" i="11"/>
  <c r="A282" i="11"/>
  <c r="F281" i="11"/>
  <c r="E281" i="11"/>
  <c r="G281" i="11" s="1"/>
  <c r="C281" i="11"/>
  <c r="B281" i="11"/>
  <c r="A281" i="11"/>
  <c r="F280" i="11"/>
  <c r="E280" i="11"/>
  <c r="C280" i="11"/>
  <c r="B280" i="11"/>
  <c r="A280" i="11"/>
  <c r="F279" i="11"/>
  <c r="E279" i="11"/>
  <c r="G279" i="11" s="1"/>
  <c r="C279" i="11"/>
  <c r="B279" i="11"/>
  <c r="A279" i="11"/>
  <c r="F278" i="11"/>
  <c r="E278" i="11"/>
  <c r="C278" i="11"/>
  <c r="B278" i="11"/>
  <c r="A278" i="11"/>
  <c r="F277" i="11"/>
  <c r="E277" i="11"/>
  <c r="G277" i="11" s="1"/>
  <c r="C277" i="11"/>
  <c r="B277" i="11"/>
  <c r="A277" i="11"/>
  <c r="F276" i="11"/>
  <c r="E276" i="11"/>
  <c r="C276" i="11"/>
  <c r="B276" i="11"/>
  <c r="A276" i="11"/>
  <c r="F275" i="11"/>
  <c r="E275" i="11"/>
  <c r="G275" i="11" s="1"/>
  <c r="C275" i="11"/>
  <c r="B275" i="11"/>
  <c r="A275" i="11"/>
  <c r="F274" i="11"/>
  <c r="E274" i="11"/>
  <c r="C274" i="11"/>
  <c r="B274" i="11"/>
  <c r="A274" i="11"/>
  <c r="F273" i="11"/>
  <c r="E273" i="11"/>
  <c r="G273" i="11" s="1"/>
  <c r="C273" i="11"/>
  <c r="B273" i="11"/>
  <c r="A273" i="11"/>
  <c r="F272" i="11"/>
  <c r="E272" i="11"/>
  <c r="C272" i="11"/>
  <c r="B272" i="11"/>
  <c r="A272" i="11"/>
  <c r="F271" i="11"/>
  <c r="E271" i="11"/>
  <c r="G271" i="11" s="1"/>
  <c r="C271" i="11"/>
  <c r="B271" i="11"/>
  <c r="A271" i="11"/>
  <c r="F270" i="11"/>
  <c r="E270" i="11"/>
  <c r="C270" i="11"/>
  <c r="B270" i="11"/>
  <c r="A270" i="11"/>
  <c r="F269" i="11"/>
  <c r="E269" i="11"/>
  <c r="G269" i="11" s="1"/>
  <c r="C269" i="11"/>
  <c r="B269" i="11"/>
  <c r="A269" i="11"/>
  <c r="F268" i="11"/>
  <c r="E268" i="11"/>
  <c r="C268" i="11"/>
  <c r="B268" i="11"/>
  <c r="A268" i="11"/>
  <c r="F267" i="11"/>
  <c r="E267" i="11"/>
  <c r="G267" i="11" s="1"/>
  <c r="C267" i="11"/>
  <c r="B267" i="11"/>
  <c r="A267" i="11"/>
  <c r="F266" i="11"/>
  <c r="E266" i="11"/>
  <c r="C266" i="11"/>
  <c r="B266" i="11"/>
  <c r="A266" i="11"/>
  <c r="F265" i="11"/>
  <c r="E265" i="11"/>
  <c r="G265" i="11" s="1"/>
  <c r="C265" i="11"/>
  <c r="B265" i="11"/>
  <c r="A265" i="11"/>
  <c r="F264" i="11"/>
  <c r="E264" i="11"/>
  <c r="C264" i="11"/>
  <c r="B264" i="11"/>
  <c r="A264" i="11"/>
  <c r="F263" i="11"/>
  <c r="E263" i="11"/>
  <c r="C263" i="11"/>
  <c r="B263" i="11"/>
  <c r="A263" i="11"/>
  <c r="F262" i="11"/>
  <c r="E262" i="11"/>
  <c r="G262" i="11" s="1"/>
  <c r="C262" i="11"/>
  <c r="B262" i="11"/>
  <c r="A262" i="11"/>
  <c r="F261" i="11"/>
  <c r="E261" i="11"/>
  <c r="G261" i="11" s="1"/>
  <c r="C261" i="11"/>
  <c r="B261" i="11"/>
  <c r="A261" i="11"/>
  <c r="F260" i="11"/>
  <c r="E260" i="11"/>
  <c r="C260" i="11"/>
  <c r="B260" i="11"/>
  <c r="A260" i="11"/>
  <c r="F259" i="11"/>
  <c r="E259" i="11"/>
  <c r="C259" i="11"/>
  <c r="B259" i="11"/>
  <c r="A259" i="11"/>
  <c r="F258" i="11"/>
  <c r="E258" i="11"/>
  <c r="G258" i="11" s="1"/>
  <c r="C258" i="11"/>
  <c r="B258" i="11"/>
  <c r="A258" i="11"/>
  <c r="F257" i="11"/>
  <c r="E257" i="11"/>
  <c r="G257" i="11" s="1"/>
  <c r="C257" i="11"/>
  <c r="B257" i="11"/>
  <c r="A257" i="11"/>
  <c r="F256" i="11"/>
  <c r="E256" i="11"/>
  <c r="C256" i="11"/>
  <c r="B256" i="11"/>
  <c r="A256" i="11"/>
  <c r="F255" i="11"/>
  <c r="E255" i="11"/>
  <c r="C255" i="11"/>
  <c r="B255" i="11"/>
  <c r="A255" i="11"/>
  <c r="F254" i="11"/>
  <c r="E254" i="11"/>
  <c r="G254" i="11" s="1"/>
  <c r="C254" i="11"/>
  <c r="B254" i="11"/>
  <c r="A254" i="11"/>
  <c r="F253" i="11"/>
  <c r="E253" i="11"/>
  <c r="G253" i="11" s="1"/>
  <c r="C253" i="11"/>
  <c r="B253" i="11"/>
  <c r="A253" i="11"/>
  <c r="F252" i="11"/>
  <c r="E252" i="11"/>
  <c r="C252" i="11"/>
  <c r="B252" i="11"/>
  <c r="A252" i="11"/>
  <c r="F251" i="11"/>
  <c r="E251" i="11"/>
  <c r="C251" i="11"/>
  <c r="B251" i="11"/>
  <c r="A251" i="11"/>
  <c r="F250" i="11"/>
  <c r="E250" i="11"/>
  <c r="G250" i="11" s="1"/>
  <c r="C250" i="11"/>
  <c r="B250" i="11"/>
  <c r="A250" i="11"/>
  <c r="F249" i="11"/>
  <c r="E249" i="11"/>
  <c r="G249" i="11" s="1"/>
  <c r="C249" i="11"/>
  <c r="B249" i="11"/>
  <c r="A249" i="11"/>
  <c r="F248" i="11"/>
  <c r="E248" i="11"/>
  <c r="C248" i="11"/>
  <c r="B248" i="11"/>
  <c r="A248" i="11"/>
  <c r="F247" i="11"/>
  <c r="E247" i="11"/>
  <c r="C247" i="11"/>
  <c r="B247" i="11"/>
  <c r="A247" i="11"/>
  <c r="F246" i="11"/>
  <c r="E246" i="11"/>
  <c r="G246" i="11" s="1"/>
  <c r="C246" i="11"/>
  <c r="B246" i="11"/>
  <c r="A246" i="11"/>
  <c r="F245" i="11"/>
  <c r="E245" i="11"/>
  <c r="G245" i="11" s="1"/>
  <c r="C245" i="11"/>
  <c r="B245" i="11"/>
  <c r="A245" i="11"/>
  <c r="F244" i="11"/>
  <c r="E244" i="11"/>
  <c r="C244" i="11"/>
  <c r="B244" i="11"/>
  <c r="A244" i="11"/>
  <c r="F243" i="11"/>
  <c r="E243" i="11"/>
  <c r="C243" i="11"/>
  <c r="B243" i="11"/>
  <c r="A243" i="11"/>
  <c r="F242" i="11"/>
  <c r="E242" i="11"/>
  <c r="G242" i="11" s="1"/>
  <c r="C242" i="11"/>
  <c r="B242" i="11"/>
  <c r="A242" i="11"/>
  <c r="F241" i="11"/>
  <c r="E241" i="11"/>
  <c r="G241" i="11" s="1"/>
  <c r="C241" i="11"/>
  <c r="B241" i="11"/>
  <c r="A241" i="11"/>
  <c r="F240" i="11"/>
  <c r="E240" i="11"/>
  <c r="C240" i="11"/>
  <c r="B240" i="11"/>
  <c r="A240" i="11"/>
  <c r="F239" i="11"/>
  <c r="E239" i="11"/>
  <c r="C239" i="11"/>
  <c r="B239" i="11"/>
  <c r="A239" i="11"/>
  <c r="F238" i="11"/>
  <c r="E238" i="11"/>
  <c r="G238" i="11" s="1"/>
  <c r="C238" i="11"/>
  <c r="B238" i="11"/>
  <c r="A238" i="11"/>
  <c r="F237" i="11"/>
  <c r="E237" i="11"/>
  <c r="G237" i="11" s="1"/>
  <c r="C237" i="11"/>
  <c r="B237" i="11"/>
  <c r="A237" i="11"/>
  <c r="F236" i="11"/>
  <c r="E236" i="11"/>
  <c r="C236" i="11"/>
  <c r="B236" i="11"/>
  <c r="A236" i="11"/>
  <c r="F235" i="11"/>
  <c r="E235" i="11"/>
  <c r="C235" i="11"/>
  <c r="B235" i="11"/>
  <c r="A235" i="11"/>
  <c r="F234" i="11"/>
  <c r="E234" i="11"/>
  <c r="G234" i="11" s="1"/>
  <c r="C234" i="11"/>
  <c r="B234" i="11"/>
  <c r="A234" i="11"/>
  <c r="F233" i="11"/>
  <c r="E233" i="11"/>
  <c r="G233" i="11" s="1"/>
  <c r="C233" i="11"/>
  <c r="B233" i="11"/>
  <c r="A233" i="11"/>
  <c r="F232" i="11"/>
  <c r="E232" i="11"/>
  <c r="C232" i="11"/>
  <c r="B232" i="11"/>
  <c r="A232" i="11"/>
  <c r="F231" i="11"/>
  <c r="E231" i="11"/>
  <c r="C231" i="11"/>
  <c r="B231" i="11"/>
  <c r="A231" i="11"/>
  <c r="F230" i="11"/>
  <c r="E230" i="11"/>
  <c r="C230" i="11"/>
  <c r="B230" i="11"/>
  <c r="A230" i="11"/>
  <c r="F229" i="11"/>
  <c r="E229" i="11"/>
  <c r="G229" i="11" s="1"/>
  <c r="C229" i="11"/>
  <c r="B229" i="11"/>
  <c r="A229" i="11"/>
  <c r="F228" i="11"/>
  <c r="E228" i="11"/>
  <c r="C228" i="11"/>
  <c r="B228" i="11"/>
  <c r="A228" i="11"/>
  <c r="F227" i="11"/>
  <c r="E227" i="11"/>
  <c r="C227" i="11"/>
  <c r="B227" i="11"/>
  <c r="A227" i="11"/>
  <c r="F226" i="11"/>
  <c r="E226" i="11"/>
  <c r="C226" i="11"/>
  <c r="B226" i="11"/>
  <c r="A226" i="11"/>
  <c r="F225" i="11"/>
  <c r="E225" i="11"/>
  <c r="G225" i="11" s="1"/>
  <c r="C225" i="11"/>
  <c r="B225" i="11"/>
  <c r="A225" i="11"/>
  <c r="F224" i="11"/>
  <c r="E224" i="11"/>
  <c r="C224" i="11"/>
  <c r="B224" i="11"/>
  <c r="A224" i="11"/>
  <c r="F223" i="11"/>
  <c r="E223" i="11"/>
  <c r="G223" i="11" s="1"/>
  <c r="C223" i="11"/>
  <c r="B223" i="11"/>
  <c r="A223" i="11"/>
  <c r="F222" i="11"/>
  <c r="E222" i="11"/>
  <c r="C222" i="11"/>
  <c r="B222" i="11"/>
  <c r="A222" i="11"/>
  <c r="F221" i="11"/>
  <c r="E221" i="11"/>
  <c r="G221" i="11" s="1"/>
  <c r="C221" i="11"/>
  <c r="B221" i="11"/>
  <c r="A221" i="11"/>
  <c r="F220" i="11"/>
  <c r="E220" i="11"/>
  <c r="C220" i="11"/>
  <c r="B220" i="11"/>
  <c r="A220" i="11"/>
  <c r="F219" i="11"/>
  <c r="E219" i="11"/>
  <c r="C219" i="11"/>
  <c r="B219" i="11"/>
  <c r="A219" i="11"/>
  <c r="F218" i="11"/>
  <c r="E218" i="11"/>
  <c r="G218" i="11" s="1"/>
  <c r="C218" i="11"/>
  <c r="B218" i="11"/>
  <c r="A218" i="11"/>
  <c r="F217" i="11"/>
  <c r="E217" i="11"/>
  <c r="G217" i="11" s="1"/>
  <c r="C217" i="11"/>
  <c r="B217" i="11"/>
  <c r="A217" i="11"/>
  <c r="F216" i="11"/>
  <c r="E216" i="11"/>
  <c r="C216" i="11"/>
  <c r="B216" i="11"/>
  <c r="A216" i="11"/>
  <c r="F215" i="11"/>
  <c r="E215" i="11"/>
  <c r="C215" i="11"/>
  <c r="B215" i="11"/>
  <c r="A215" i="11"/>
  <c r="F214" i="11"/>
  <c r="E214" i="11"/>
  <c r="C214" i="11"/>
  <c r="B214" i="11"/>
  <c r="A214" i="11"/>
  <c r="F213" i="11"/>
  <c r="E213" i="11"/>
  <c r="G213" i="11" s="1"/>
  <c r="C213" i="11"/>
  <c r="B213" i="11"/>
  <c r="A213" i="11"/>
  <c r="F212" i="11"/>
  <c r="E212" i="11"/>
  <c r="C212" i="11"/>
  <c r="B212" i="11"/>
  <c r="A212" i="11"/>
  <c r="F211" i="11"/>
  <c r="E211" i="11"/>
  <c r="C211" i="11"/>
  <c r="B211" i="11"/>
  <c r="A211" i="11"/>
  <c r="F210" i="11"/>
  <c r="E210" i="11"/>
  <c r="C210" i="11"/>
  <c r="B210" i="11"/>
  <c r="A210" i="11"/>
  <c r="F209" i="11"/>
  <c r="E209" i="11"/>
  <c r="G209" i="11" s="1"/>
  <c r="C209" i="11"/>
  <c r="B209" i="11"/>
  <c r="A209" i="11"/>
  <c r="F208" i="11"/>
  <c r="E208" i="11"/>
  <c r="C208" i="11"/>
  <c r="B208" i="11"/>
  <c r="A208" i="11"/>
  <c r="F207" i="11"/>
  <c r="E207" i="11"/>
  <c r="C207" i="11"/>
  <c r="B207" i="11"/>
  <c r="A207" i="11"/>
  <c r="F206" i="11"/>
  <c r="E206" i="11"/>
  <c r="G206" i="11" s="1"/>
  <c r="C206" i="11"/>
  <c r="B206" i="11"/>
  <c r="A206" i="11"/>
  <c r="F205" i="11"/>
  <c r="E205" i="11"/>
  <c r="G205" i="11" s="1"/>
  <c r="C205" i="11"/>
  <c r="B205" i="11"/>
  <c r="A205" i="11"/>
  <c r="F204" i="11"/>
  <c r="E204" i="11"/>
  <c r="C204" i="11"/>
  <c r="B204" i="11"/>
  <c r="A204" i="11"/>
  <c r="F203" i="11"/>
  <c r="E203" i="11"/>
  <c r="G203" i="11" s="1"/>
  <c r="C203" i="11"/>
  <c r="B203" i="11"/>
  <c r="A203" i="11"/>
  <c r="F202" i="11"/>
  <c r="E202" i="11"/>
  <c r="C202" i="11"/>
  <c r="B202" i="11"/>
  <c r="A202" i="11"/>
  <c r="F201" i="11"/>
  <c r="E201" i="11"/>
  <c r="G201" i="11" s="1"/>
  <c r="C201" i="11"/>
  <c r="B201" i="11"/>
  <c r="A201" i="11"/>
  <c r="F200" i="11"/>
  <c r="E200" i="11"/>
  <c r="C200" i="11"/>
  <c r="B200" i="11"/>
  <c r="A200" i="11"/>
  <c r="F199" i="11"/>
  <c r="E199" i="11"/>
  <c r="C199" i="11"/>
  <c r="B199" i="11"/>
  <c r="A199" i="11"/>
  <c r="F198" i="11"/>
  <c r="E198" i="11"/>
  <c r="G198" i="11" s="1"/>
  <c r="C198" i="11"/>
  <c r="B198" i="11"/>
  <c r="A198" i="11"/>
  <c r="F197" i="11"/>
  <c r="E197" i="11"/>
  <c r="G197" i="11" s="1"/>
  <c r="C197" i="11"/>
  <c r="B197" i="11"/>
  <c r="A197" i="11"/>
  <c r="F196" i="11"/>
  <c r="E196" i="11"/>
  <c r="C196" i="11"/>
  <c r="B196" i="11"/>
  <c r="A196" i="11"/>
  <c r="F195" i="11"/>
  <c r="E195" i="11"/>
  <c r="G195" i="11" s="1"/>
  <c r="C195" i="11"/>
  <c r="B195" i="11"/>
  <c r="A195" i="11"/>
  <c r="F194" i="11"/>
  <c r="E194" i="11"/>
  <c r="C194" i="11"/>
  <c r="B194" i="11"/>
  <c r="A194" i="11"/>
  <c r="F193" i="11"/>
  <c r="E193" i="11"/>
  <c r="G193" i="11" s="1"/>
  <c r="C193" i="11"/>
  <c r="B193" i="11"/>
  <c r="A193" i="11"/>
  <c r="F192" i="11"/>
  <c r="E192" i="11"/>
  <c r="C192" i="11"/>
  <c r="B192" i="11"/>
  <c r="A192" i="11"/>
  <c r="F191" i="11"/>
  <c r="E191" i="11"/>
  <c r="C191" i="11"/>
  <c r="B191" i="11"/>
  <c r="A191" i="11"/>
  <c r="F190" i="11"/>
  <c r="E190" i="11"/>
  <c r="G190" i="11" s="1"/>
  <c r="C190" i="11"/>
  <c r="B190" i="11"/>
  <c r="A190" i="11"/>
  <c r="F189" i="11"/>
  <c r="E189" i="11"/>
  <c r="G189" i="11" s="1"/>
  <c r="C189" i="11"/>
  <c r="B189" i="11"/>
  <c r="A189" i="11"/>
  <c r="F188" i="11"/>
  <c r="E188" i="11"/>
  <c r="C188" i="11"/>
  <c r="B188" i="11"/>
  <c r="A188" i="11"/>
  <c r="F187" i="11"/>
  <c r="E187" i="11"/>
  <c r="G187" i="11" s="1"/>
  <c r="C187" i="11"/>
  <c r="B187" i="11"/>
  <c r="A187" i="11"/>
  <c r="F186" i="11"/>
  <c r="E186" i="11"/>
  <c r="C186" i="11"/>
  <c r="B186" i="11"/>
  <c r="A186" i="11"/>
  <c r="F185" i="11"/>
  <c r="E185" i="11"/>
  <c r="G185" i="11" s="1"/>
  <c r="C185" i="11"/>
  <c r="B185" i="11"/>
  <c r="A185" i="11"/>
  <c r="F184" i="11"/>
  <c r="E184" i="11"/>
  <c r="C184" i="11"/>
  <c r="B184" i="11"/>
  <c r="A184" i="11"/>
  <c r="F183" i="11"/>
  <c r="E183" i="11"/>
  <c r="C183" i="11"/>
  <c r="B183" i="11"/>
  <c r="A183" i="11"/>
  <c r="F182" i="11"/>
  <c r="E182" i="11"/>
  <c r="G182" i="11" s="1"/>
  <c r="C182" i="11"/>
  <c r="B182" i="11"/>
  <c r="A182" i="11"/>
  <c r="F181" i="11"/>
  <c r="E181" i="11"/>
  <c r="G181" i="11" s="1"/>
  <c r="C181" i="11"/>
  <c r="B181" i="11"/>
  <c r="A181" i="11"/>
  <c r="F180" i="11"/>
  <c r="E180" i="11"/>
  <c r="C180" i="11"/>
  <c r="B180" i="11"/>
  <c r="A180" i="11"/>
  <c r="F179" i="11"/>
  <c r="E179" i="11"/>
  <c r="G179" i="11" s="1"/>
  <c r="C179" i="11"/>
  <c r="B179" i="11"/>
  <c r="A179" i="11"/>
  <c r="F178" i="11"/>
  <c r="E178" i="11"/>
  <c r="C178" i="11"/>
  <c r="B178" i="11"/>
  <c r="A178" i="11"/>
  <c r="F177" i="11"/>
  <c r="E177" i="11"/>
  <c r="G177" i="11" s="1"/>
  <c r="C177" i="11"/>
  <c r="B177" i="11"/>
  <c r="A177" i="11"/>
  <c r="F176" i="11"/>
  <c r="E176" i="11"/>
  <c r="C176" i="11"/>
  <c r="B176" i="11"/>
  <c r="A176" i="11"/>
  <c r="F175" i="11"/>
  <c r="E175" i="11"/>
  <c r="C175" i="11"/>
  <c r="B175" i="11"/>
  <c r="A175" i="11"/>
  <c r="F174" i="11"/>
  <c r="E174" i="11"/>
  <c r="G174" i="11" s="1"/>
  <c r="C174" i="11"/>
  <c r="B174" i="11"/>
  <c r="A174" i="11"/>
  <c r="F173" i="11"/>
  <c r="E173" i="11"/>
  <c r="G173" i="11" s="1"/>
  <c r="C173" i="11"/>
  <c r="B173" i="11"/>
  <c r="A173" i="11"/>
  <c r="F172" i="11"/>
  <c r="E172" i="11"/>
  <c r="G172" i="11" s="1"/>
  <c r="C172" i="11"/>
  <c r="B172" i="11"/>
  <c r="A172" i="11"/>
  <c r="F171" i="11"/>
  <c r="E171" i="11"/>
  <c r="G171" i="11" s="1"/>
  <c r="C171" i="11"/>
  <c r="B171" i="11"/>
  <c r="A171" i="11"/>
  <c r="F170" i="11"/>
  <c r="E170" i="11"/>
  <c r="G170" i="11" s="1"/>
  <c r="C170" i="11"/>
  <c r="B170" i="11"/>
  <c r="A170" i="11"/>
  <c r="F169" i="11"/>
  <c r="E169" i="11"/>
  <c r="G169" i="11" s="1"/>
  <c r="C169" i="11"/>
  <c r="B169" i="11"/>
  <c r="A169" i="11"/>
  <c r="F168" i="11"/>
  <c r="E168" i="11"/>
  <c r="G168" i="11" s="1"/>
  <c r="C168" i="11"/>
  <c r="B168" i="11"/>
  <c r="A168" i="11"/>
  <c r="F167" i="11"/>
  <c r="E167" i="11"/>
  <c r="G167" i="11" s="1"/>
  <c r="C167" i="11"/>
  <c r="B167" i="11"/>
  <c r="A167" i="11"/>
  <c r="F166" i="11"/>
  <c r="E166" i="11"/>
  <c r="G166" i="11" s="1"/>
  <c r="C166" i="11"/>
  <c r="B166" i="11"/>
  <c r="A166" i="11"/>
  <c r="F165" i="11"/>
  <c r="E165" i="11"/>
  <c r="G165" i="11" s="1"/>
  <c r="C165" i="11"/>
  <c r="B165" i="11"/>
  <c r="A165" i="11"/>
  <c r="F164" i="11"/>
  <c r="E164" i="11"/>
  <c r="G164" i="11" s="1"/>
  <c r="C164" i="11"/>
  <c r="B164" i="11"/>
  <c r="A164" i="11"/>
  <c r="F163" i="11"/>
  <c r="E163" i="11"/>
  <c r="G163" i="11" s="1"/>
  <c r="C163" i="11"/>
  <c r="B163" i="11"/>
  <c r="A163" i="11"/>
  <c r="F162" i="11"/>
  <c r="E162" i="11"/>
  <c r="G162" i="11" s="1"/>
  <c r="C162" i="11"/>
  <c r="B162" i="11"/>
  <c r="A162" i="11"/>
  <c r="F161" i="11"/>
  <c r="E161" i="11"/>
  <c r="G161" i="11" s="1"/>
  <c r="C161" i="11"/>
  <c r="B161" i="11"/>
  <c r="A161" i="11"/>
  <c r="F160" i="11"/>
  <c r="E160" i="11"/>
  <c r="G160" i="11" s="1"/>
  <c r="C160" i="11"/>
  <c r="B160" i="11"/>
  <c r="A160" i="11"/>
  <c r="F159" i="11"/>
  <c r="E159" i="11"/>
  <c r="G159" i="11" s="1"/>
  <c r="C159" i="11"/>
  <c r="B159" i="11"/>
  <c r="A159" i="11"/>
  <c r="F158" i="11"/>
  <c r="E158" i="11"/>
  <c r="G158" i="11" s="1"/>
  <c r="C158" i="11"/>
  <c r="B158" i="11"/>
  <c r="A158" i="11"/>
  <c r="F157" i="11"/>
  <c r="E157" i="11"/>
  <c r="G157" i="11" s="1"/>
  <c r="C157" i="11"/>
  <c r="B157" i="11"/>
  <c r="A157" i="11"/>
  <c r="F156" i="11"/>
  <c r="E156" i="11"/>
  <c r="G156" i="11" s="1"/>
  <c r="C156" i="11"/>
  <c r="B156" i="11"/>
  <c r="A156" i="11"/>
  <c r="F155" i="11"/>
  <c r="E155" i="11"/>
  <c r="G155" i="11" s="1"/>
  <c r="C155" i="11"/>
  <c r="B155" i="11"/>
  <c r="A155" i="11"/>
  <c r="F154" i="11"/>
  <c r="E154" i="11"/>
  <c r="G154" i="11" s="1"/>
  <c r="C154" i="11"/>
  <c r="B154" i="11"/>
  <c r="A154" i="11"/>
  <c r="F153" i="11"/>
  <c r="E153" i="11"/>
  <c r="G153" i="11" s="1"/>
  <c r="C153" i="11"/>
  <c r="B153" i="11"/>
  <c r="A153" i="11"/>
  <c r="F152" i="11"/>
  <c r="E152" i="11"/>
  <c r="G152" i="11" s="1"/>
  <c r="C152" i="11"/>
  <c r="B152" i="11"/>
  <c r="A152" i="11"/>
  <c r="F151" i="11"/>
  <c r="E151" i="11"/>
  <c r="G151" i="11" s="1"/>
  <c r="C151" i="11"/>
  <c r="B151" i="11"/>
  <c r="A151" i="11"/>
  <c r="F150" i="11"/>
  <c r="E150" i="11"/>
  <c r="G150" i="11" s="1"/>
  <c r="C150" i="11"/>
  <c r="B150" i="11"/>
  <c r="A150" i="11"/>
  <c r="F149" i="11"/>
  <c r="E149" i="11"/>
  <c r="G149" i="11" s="1"/>
  <c r="C149" i="11"/>
  <c r="B149" i="11"/>
  <c r="A149" i="11"/>
  <c r="F148" i="11"/>
  <c r="E148" i="11"/>
  <c r="G148" i="11" s="1"/>
  <c r="C148" i="11"/>
  <c r="B148" i="11"/>
  <c r="A148" i="11"/>
  <c r="F147" i="11"/>
  <c r="E147" i="11"/>
  <c r="G147" i="11" s="1"/>
  <c r="C147" i="11"/>
  <c r="B147" i="11"/>
  <c r="A147" i="11"/>
  <c r="F146" i="11"/>
  <c r="E146" i="11"/>
  <c r="G146" i="11" s="1"/>
  <c r="C146" i="11"/>
  <c r="B146" i="11"/>
  <c r="A146" i="11"/>
  <c r="F145" i="11"/>
  <c r="E145" i="11"/>
  <c r="G145" i="11" s="1"/>
  <c r="C145" i="11"/>
  <c r="B145" i="11"/>
  <c r="A145" i="11"/>
  <c r="F144" i="11"/>
  <c r="E144" i="11"/>
  <c r="G144" i="11" s="1"/>
  <c r="C144" i="11"/>
  <c r="B144" i="11"/>
  <c r="A144" i="11"/>
  <c r="F143" i="11"/>
  <c r="E143" i="11"/>
  <c r="G143" i="11" s="1"/>
  <c r="C143" i="11"/>
  <c r="B143" i="11"/>
  <c r="A143" i="11"/>
  <c r="F142" i="11"/>
  <c r="E142" i="11"/>
  <c r="G142" i="11" s="1"/>
  <c r="C142" i="11"/>
  <c r="B142" i="11"/>
  <c r="A142" i="11"/>
  <c r="F141" i="11"/>
  <c r="E141" i="11"/>
  <c r="G141" i="11" s="1"/>
  <c r="C141" i="11"/>
  <c r="B141" i="11"/>
  <c r="A141" i="11"/>
  <c r="F140" i="11"/>
  <c r="E140" i="11"/>
  <c r="G140" i="11" s="1"/>
  <c r="C140" i="11"/>
  <c r="B140" i="11"/>
  <c r="A140" i="11"/>
  <c r="F139" i="11"/>
  <c r="E139" i="11"/>
  <c r="G139" i="11" s="1"/>
  <c r="C139" i="11"/>
  <c r="B139" i="11"/>
  <c r="A139" i="11"/>
  <c r="F138" i="11"/>
  <c r="E138" i="11"/>
  <c r="G138" i="11" s="1"/>
  <c r="C138" i="11"/>
  <c r="B138" i="11"/>
  <c r="A138" i="11"/>
  <c r="F137" i="11"/>
  <c r="E137" i="11"/>
  <c r="G137" i="11" s="1"/>
  <c r="C137" i="11"/>
  <c r="B137" i="11"/>
  <c r="A137" i="11"/>
  <c r="F136" i="11"/>
  <c r="E136" i="11"/>
  <c r="G136" i="11" s="1"/>
  <c r="C136" i="11"/>
  <c r="B136" i="11"/>
  <c r="A136" i="11"/>
  <c r="F135" i="11"/>
  <c r="E135" i="11"/>
  <c r="G135" i="11" s="1"/>
  <c r="C135" i="11"/>
  <c r="B135" i="11"/>
  <c r="A135" i="11"/>
  <c r="F134" i="11"/>
  <c r="E134" i="11"/>
  <c r="G134" i="11" s="1"/>
  <c r="C134" i="11"/>
  <c r="B134" i="11"/>
  <c r="A134" i="11"/>
  <c r="F133" i="11"/>
  <c r="E133" i="11"/>
  <c r="G133" i="11" s="1"/>
  <c r="C133" i="11"/>
  <c r="B133" i="11"/>
  <c r="A133" i="11"/>
  <c r="F132" i="11"/>
  <c r="E132" i="11"/>
  <c r="G132" i="11" s="1"/>
  <c r="C132" i="11"/>
  <c r="B132" i="11"/>
  <c r="A132" i="11"/>
  <c r="F131" i="11"/>
  <c r="E131" i="11"/>
  <c r="G131" i="11" s="1"/>
  <c r="C131" i="11"/>
  <c r="B131" i="11"/>
  <c r="A131" i="11"/>
  <c r="F130" i="11"/>
  <c r="E130" i="11"/>
  <c r="G130" i="11" s="1"/>
  <c r="C130" i="11"/>
  <c r="B130" i="11"/>
  <c r="A130" i="11"/>
  <c r="F129" i="11"/>
  <c r="E129" i="11"/>
  <c r="G129" i="11" s="1"/>
  <c r="C129" i="11"/>
  <c r="B129" i="11"/>
  <c r="A129" i="11"/>
  <c r="F128" i="11"/>
  <c r="E128" i="11"/>
  <c r="G128" i="11" s="1"/>
  <c r="C128" i="11"/>
  <c r="B128" i="11"/>
  <c r="A128" i="11"/>
  <c r="F127" i="11"/>
  <c r="E127" i="11"/>
  <c r="G127" i="11" s="1"/>
  <c r="C127" i="11"/>
  <c r="B127" i="11"/>
  <c r="A127" i="11"/>
  <c r="F126" i="11"/>
  <c r="E126" i="11"/>
  <c r="G126" i="11" s="1"/>
  <c r="C126" i="11"/>
  <c r="B126" i="11"/>
  <c r="A126" i="11"/>
  <c r="F125" i="11"/>
  <c r="E125" i="11"/>
  <c r="G125" i="11" s="1"/>
  <c r="C125" i="11"/>
  <c r="B125" i="11"/>
  <c r="A125" i="11"/>
  <c r="F124" i="11"/>
  <c r="E124" i="11"/>
  <c r="G124" i="11" s="1"/>
  <c r="C124" i="11"/>
  <c r="B124" i="11"/>
  <c r="A124" i="11"/>
  <c r="F123" i="11"/>
  <c r="E123" i="11"/>
  <c r="G123" i="11" s="1"/>
  <c r="C123" i="11"/>
  <c r="B123" i="11"/>
  <c r="A123" i="11"/>
  <c r="F122" i="11"/>
  <c r="E122" i="11"/>
  <c r="G122" i="11" s="1"/>
  <c r="C122" i="11"/>
  <c r="B122" i="11"/>
  <c r="A122" i="11"/>
  <c r="F121" i="11"/>
  <c r="E121" i="11"/>
  <c r="G121" i="11" s="1"/>
  <c r="C121" i="11"/>
  <c r="B121" i="11"/>
  <c r="A121" i="11"/>
  <c r="F120" i="11"/>
  <c r="E120" i="11"/>
  <c r="G120" i="11" s="1"/>
  <c r="C120" i="11"/>
  <c r="B120" i="11"/>
  <c r="A120" i="11"/>
  <c r="F119" i="11"/>
  <c r="E119" i="11"/>
  <c r="G119" i="11" s="1"/>
  <c r="C119" i="11"/>
  <c r="B119" i="11"/>
  <c r="A119" i="11"/>
  <c r="F118" i="11"/>
  <c r="E118" i="11"/>
  <c r="G118" i="11" s="1"/>
  <c r="C118" i="11"/>
  <c r="B118" i="11"/>
  <c r="A118" i="11"/>
  <c r="F117" i="11"/>
  <c r="E117" i="11"/>
  <c r="G117" i="11" s="1"/>
  <c r="C117" i="11"/>
  <c r="B117" i="11"/>
  <c r="A117" i="11"/>
  <c r="F116" i="11"/>
  <c r="E116" i="11"/>
  <c r="G116" i="11" s="1"/>
  <c r="C116" i="11"/>
  <c r="B116" i="11"/>
  <c r="A116" i="11"/>
  <c r="F115" i="11"/>
  <c r="E115" i="11"/>
  <c r="C115" i="11"/>
  <c r="B115" i="11"/>
  <c r="A115" i="11"/>
  <c r="F114" i="11"/>
  <c r="E114" i="11"/>
  <c r="G114" i="11" s="1"/>
  <c r="C114" i="11"/>
  <c r="B114" i="11"/>
  <c r="A114" i="11"/>
  <c r="F113" i="11"/>
  <c r="E113" i="11"/>
  <c r="C113" i="11"/>
  <c r="B113" i="11"/>
  <c r="A113" i="11"/>
  <c r="F112" i="11"/>
  <c r="E112" i="11"/>
  <c r="G112" i="11" s="1"/>
  <c r="C112" i="11"/>
  <c r="B112" i="11"/>
  <c r="A112" i="11"/>
  <c r="F111" i="11"/>
  <c r="E111" i="11"/>
  <c r="G111" i="11" s="1"/>
  <c r="C111" i="11"/>
  <c r="B111" i="11"/>
  <c r="A111" i="11"/>
  <c r="F110" i="11"/>
  <c r="E110" i="11"/>
  <c r="G110" i="11" s="1"/>
  <c r="C110" i="11"/>
  <c r="B110" i="11"/>
  <c r="A110" i="11"/>
  <c r="G109" i="11"/>
  <c r="F109" i="11"/>
  <c r="E109" i="11"/>
  <c r="C109" i="11"/>
  <c r="B109" i="11"/>
  <c r="A109" i="11"/>
  <c r="G108" i="11"/>
  <c r="F108" i="11"/>
  <c r="E108" i="11"/>
  <c r="C108" i="11"/>
  <c r="B108" i="11"/>
  <c r="A108" i="11"/>
  <c r="G107" i="11"/>
  <c r="F107" i="11"/>
  <c r="E107" i="11"/>
  <c r="C107" i="11"/>
  <c r="B107" i="11"/>
  <c r="A107" i="11"/>
  <c r="G106" i="11"/>
  <c r="F106" i="11"/>
  <c r="E106" i="11"/>
  <c r="C106" i="11"/>
  <c r="B106" i="11"/>
  <c r="A106" i="11"/>
  <c r="G105" i="11"/>
  <c r="F105" i="11"/>
  <c r="E105" i="11"/>
  <c r="C105" i="11"/>
  <c r="B105" i="11"/>
  <c r="A105" i="11"/>
  <c r="G104" i="11"/>
  <c r="F104" i="11"/>
  <c r="E104" i="11"/>
  <c r="C104" i="11"/>
  <c r="B104" i="11"/>
  <c r="A104" i="11"/>
  <c r="G103" i="11"/>
  <c r="F103" i="11"/>
  <c r="E103" i="11"/>
  <c r="C103" i="11"/>
  <c r="B103" i="11"/>
  <c r="A103" i="11"/>
  <c r="G102" i="11"/>
  <c r="F102" i="11"/>
  <c r="E102" i="11"/>
  <c r="C102" i="11"/>
  <c r="B102" i="11"/>
  <c r="A102" i="11"/>
  <c r="G101" i="11"/>
  <c r="F101" i="11"/>
  <c r="E101" i="11"/>
  <c r="C101" i="11"/>
  <c r="B101" i="11"/>
  <c r="A101" i="11"/>
  <c r="G100" i="11"/>
  <c r="F100" i="11"/>
  <c r="E100" i="11"/>
  <c r="C100" i="11"/>
  <c r="B100" i="11"/>
  <c r="A100" i="11"/>
  <c r="G99" i="11"/>
  <c r="F99" i="11"/>
  <c r="E99" i="11"/>
  <c r="C99" i="11"/>
  <c r="B99" i="11"/>
  <c r="A99" i="11"/>
  <c r="G98" i="11"/>
  <c r="F98" i="11"/>
  <c r="E98" i="11"/>
  <c r="C98" i="11"/>
  <c r="B98" i="11"/>
  <c r="A98" i="11"/>
  <c r="G97" i="11"/>
  <c r="F97" i="11"/>
  <c r="E97" i="11"/>
  <c r="C97" i="11"/>
  <c r="B97" i="11"/>
  <c r="A97" i="11"/>
  <c r="G96" i="11"/>
  <c r="F96" i="11"/>
  <c r="E96" i="11"/>
  <c r="C96" i="11"/>
  <c r="B96" i="11"/>
  <c r="A96" i="11"/>
  <c r="G95" i="11"/>
  <c r="F95" i="11"/>
  <c r="E95" i="11"/>
  <c r="C95" i="11"/>
  <c r="B95" i="11"/>
  <c r="A95" i="11"/>
  <c r="G94" i="11"/>
  <c r="F94" i="11"/>
  <c r="E94" i="11"/>
  <c r="C94" i="11"/>
  <c r="B94" i="11"/>
  <c r="A94" i="11"/>
  <c r="G93" i="11"/>
  <c r="F93" i="11"/>
  <c r="E93" i="11"/>
  <c r="C93" i="11"/>
  <c r="B93" i="11"/>
  <c r="A93" i="11"/>
  <c r="G92" i="11"/>
  <c r="F92" i="11"/>
  <c r="E92" i="11"/>
  <c r="C92" i="11"/>
  <c r="B92" i="11"/>
  <c r="A92" i="11"/>
  <c r="G91" i="11"/>
  <c r="F91" i="11"/>
  <c r="E91" i="11"/>
  <c r="C91" i="11"/>
  <c r="B91" i="11"/>
  <c r="A91" i="11"/>
  <c r="G90" i="11"/>
  <c r="F90" i="11"/>
  <c r="E90" i="11"/>
  <c r="C90" i="11"/>
  <c r="B90" i="11"/>
  <c r="A90" i="11"/>
  <c r="G89" i="11"/>
  <c r="F89" i="11"/>
  <c r="E89" i="11"/>
  <c r="C89" i="11"/>
  <c r="B89" i="11"/>
  <c r="A89" i="11"/>
  <c r="G88" i="11"/>
  <c r="F88" i="11"/>
  <c r="E88" i="11"/>
  <c r="C88" i="11"/>
  <c r="B88" i="11"/>
  <c r="A88" i="11"/>
  <c r="G87" i="11"/>
  <c r="F87" i="11"/>
  <c r="E87" i="11"/>
  <c r="C87" i="11"/>
  <c r="B87" i="11"/>
  <c r="A87" i="11"/>
  <c r="G86" i="11"/>
  <c r="F86" i="11"/>
  <c r="E86" i="11"/>
  <c r="C86" i="11"/>
  <c r="B86" i="11"/>
  <c r="A86" i="11"/>
  <c r="G85" i="11"/>
  <c r="F85" i="11"/>
  <c r="E85" i="11"/>
  <c r="C85" i="11"/>
  <c r="B85" i="11"/>
  <c r="A85" i="11"/>
  <c r="G84" i="11"/>
  <c r="F84" i="11"/>
  <c r="E84" i="11"/>
  <c r="C84" i="11"/>
  <c r="B84" i="11"/>
  <c r="A84" i="11"/>
  <c r="G83" i="11"/>
  <c r="F83" i="11"/>
  <c r="E83" i="11"/>
  <c r="C83" i="11"/>
  <c r="B83" i="11"/>
  <c r="A83" i="11"/>
  <c r="G82" i="11"/>
  <c r="F82" i="11"/>
  <c r="E82" i="11"/>
  <c r="C82" i="11"/>
  <c r="B82" i="11"/>
  <c r="A82" i="11"/>
  <c r="G81" i="11"/>
  <c r="F81" i="11"/>
  <c r="E81" i="11"/>
  <c r="C81" i="11"/>
  <c r="B81" i="11"/>
  <c r="A81" i="11"/>
  <c r="G80" i="11"/>
  <c r="F80" i="11"/>
  <c r="E80" i="11"/>
  <c r="C80" i="11"/>
  <c r="B80" i="11"/>
  <c r="A80" i="11"/>
  <c r="G79" i="11"/>
  <c r="F79" i="11"/>
  <c r="E79" i="11"/>
  <c r="C79" i="11"/>
  <c r="B79" i="11"/>
  <c r="A79" i="11"/>
  <c r="G78" i="11"/>
  <c r="F78" i="11"/>
  <c r="E78" i="11"/>
  <c r="C78" i="11"/>
  <c r="B78" i="11"/>
  <c r="A78" i="11"/>
  <c r="G77" i="11"/>
  <c r="F77" i="11"/>
  <c r="E77" i="11"/>
  <c r="C77" i="11"/>
  <c r="B77" i="11"/>
  <c r="A77" i="11"/>
  <c r="G76" i="11"/>
  <c r="F76" i="11"/>
  <c r="E76" i="11"/>
  <c r="C76" i="11"/>
  <c r="B76" i="11"/>
  <c r="A76" i="11"/>
  <c r="G75" i="11"/>
  <c r="F75" i="11"/>
  <c r="E75" i="11"/>
  <c r="C75" i="11"/>
  <c r="B75" i="11"/>
  <c r="A75" i="11"/>
  <c r="G74" i="11"/>
  <c r="F74" i="11"/>
  <c r="E74" i="11"/>
  <c r="C74" i="11"/>
  <c r="B74" i="11"/>
  <c r="A74" i="11"/>
  <c r="G73" i="11"/>
  <c r="F73" i="11"/>
  <c r="E73" i="11"/>
  <c r="C73" i="11"/>
  <c r="B73" i="11"/>
  <c r="A73" i="11"/>
  <c r="G72" i="11"/>
  <c r="F72" i="11"/>
  <c r="E72" i="11"/>
  <c r="C72" i="11"/>
  <c r="B72" i="11"/>
  <c r="A72" i="11"/>
  <c r="G71" i="11"/>
  <c r="F71" i="11"/>
  <c r="E71" i="11"/>
  <c r="C71" i="11"/>
  <c r="B71" i="11"/>
  <c r="A71" i="11"/>
  <c r="G70" i="11"/>
  <c r="F70" i="11"/>
  <c r="E70" i="11"/>
  <c r="C70" i="11"/>
  <c r="B70" i="11"/>
  <c r="A70" i="11"/>
  <c r="G69" i="11"/>
  <c r="F69" i="11"/>
  <c r="E69" i="11"/>
  <c r="C69" i="11"/>
  <c r="B69" i="11"/>
  <c r="A69" i="11"/>
  <c r="G68" i="11"/>
  <c r="F68" i="11"/>
  <c r="E68" i="11"/>
  <c r="C68" i="11"/>
  <c r="B68" i="11"/>
  <c r="A68" i="11"/>
  <c r="G67" i="11"/>
  <c r="F67" i="11"/>
  <c r="E67" i="11"/>
  <c r="C67" i="11"/>
  <c r="B67" i="11"/>
  <c r="A67" i="11"/>
  <c r="G66" i="11"/>
  <c r="F66" i="11"/>
  <c r="E66" i="11"/>
  <c r="C66" i="11"/>
  <c r="B66" i="11"/>
  <c r="A66" i="11"/>
  <c r="G65" i="11"/>
  <c r="F65" i="11"/>
  <c r="E65" i="11"/>
  <c r="C65" i="11"/>
  <c r="B65" i="11"/>
  <c r="A65" i="11"/>
  <c r="G64" i="11"/>
  <c r="F64" i="11"/>
  <c r="E64" i="11"/>
  <c r="C64" i="11"/>
  <c r="B64" i="11"/>
  <c r="A64" i="11"/>
  <c r="G63" i="11"/>
  <c r="F63" i="11"/>
  <c r="E63" i="11"/>
  <c r="C63" i="11"/>
  <c r="B63" i="11"/>
  <c r="A63" i="11"/>
  <c r="G62" i="11"/>
  <c r="F62" i="11"/>
  <c r="E62" i="11"/>
  <c r="C62" i="11"/>
  <c r="B62" i="11"/>
  <c r="A62" i="11"/>
  <c r="G61" i="11"/>
  <c r="F61" i="11"/>
  <c r="E61" i="11"/>
  <c r="C61" i="11"/>
  <c r="B61" i="11"/>
  <c r="A61" i="11"/>
  <c r="G60" i="11"/>
  <c r="F60" i="11"/>
  <c r="E60" i="11"/>
  <c r="C60" i="11"/>
  <c r="B60" i="11"/>
  <c r="A60" i="11"/>
  <c r="G59" i="11"/>
  <c r="F59" i="11"/>
  <c r="E59" i="11"/>
  <c r="C59" i="11"/>
  <c r="B59" i="11"/>
  <c r="A59" i="11"/>
  <c r="G58" i="11"/>
  <c r="F58" i="11"/>
  <c r="E58" i="11"/>
  <c r="C58" i="11"/>
  <c r="B58" i="11"/>
  <c r="A58" i="11"/>
  <c r="G57" i="11"/>
  <c r="F57" i="11"/>
  <c r="E57" i="11"/>
  <c r="C57" i="11"/>
  <c r="B57" i="11"/>
  <c r="A57" i="11"/>
  <c r="G56" i="11"/>
  <c r="F56" i="11"/>
  <c r="E56" i="11"/>
  <c r="C56" i="11"/>
  <c r="B56" i="11"/>
  <c r="A56" i="11"/>
  <c r="G55" i="11"/>
  <c r="F55" i="11"/>
  <c r="E55" i="11"/>
  <c r="C55" i="11"/>
  <c r="B55" i="11"/>
  <c r="A55" i="11"/>
  <c r="G54" i="11"/>
  <c r="F54" i="11"/>
  <c r="E54" i="11"/>
  <c r="C54" i="11"/>
  <c r="B54" i="11"/>
  <c r="A54" i="11"/>
  <c r="G53" i="11"/>
  <c r="F53" i="11"/>
  <c r="E53" i="11"/>
  <c r="C53" i="11"/>
  <c r="B53" i="11"/>
  <c r="A53" i="11"/>
  <c r="G52" i="11"/>
  <c r="F52" i="11"/>
  <c r="E52" i="11"/>
  <c r="C52" i="11"/>
  <c r="B52" i="11"/>
  <c r="A52" i="11"/>
  <c r="G51" i="11"/>
  <c r="F51" i="11"/>
  <c r="E51" i="11"/>
  <c r="C51" i="11"/>
  <c r="B51" i="11"/>
  <c r="A51" i="11"/>
  <c r="G50" i="11"/>
  <c r="F50" i="11"/>
  <c r="E50" i="11"/>
  <c r="C50" i="11"/>
  <c r="B50" i="11"/>
  <c r="A50" i="11"/>
  <c r="G49" i="11"/>
  <c r="F49" i="11"/>
  <c r="E49" i="11"/>
  <c r="C49" i="11"/>
  <c r="B49" i="11"/>
  <c r="A49" i="11"/>
  <c r="G48" i="11"/>
  <c r="F48" i="11"/>
  <c r="E48" i="11"/>
  <c r="C48" i="11"/>
  <c r="B48" i="11"/>
  <c r="A48" i="11"/>
  <c r="G47" i="11"/>
  <c r="F47" i="11"/>
  <c r="E47" i="11"/>
  <c r="C47" i="11"/>
  <c r="B47" i="11"/>
  <c r="A47" i="11"/>
  <c r="G46" i="11"/>
  <c r="F46" i="11"/>
  <c r="E46" i="11"/>
  <c r="C46" i="11"/>
  <c r="B46" i="11"/>
  <c r="A46" i="11"/>
  <c r="G45" i="11"/>
  <c r="F45" i="11"/>
  <c r="E45" i="11"/>
  <c r="C45" i="11"/>
  <c r="B45" i="11"/>
  <c r="A45" i="11"/>
  <c r="G44" i="11"/>
  <c r="F44" i="11"/>
  <c r="E44" i="11"/>
  <c r="C44" i="11"/>
  <c r="B44" i="11"/>
  <c r="A44" i="11"/>
  <c r="G43" i="11"/>
  <c r="F43" i="11"/>
  <c r="E43" i="11"/>
  <c r="C43" i="11"/>
  <c r="B43" i="11"/>
  <c r="A43" i="11"/>
  <c r="G42" i="11"/>
  <c r="F42" i="11"/>
  <c r="E42" i="11"/>
  <c r="C42" i="11"/>
  <c r="B42" i="11"/>
  <c r="A42" i="11"/>
  <c r="G41" i="11"/>
  <c r="F41" i="11"/>
  <c r="E41" i="11"/>
  <c r="C41" i="11"/>
  <c r="B41" i="11"/>
  <c r="A41" i="11"/>
  <c r="G40" i="11"/>
  <c r="F40" i="11"/>
  <c r="E40" i="11"/>
  <c r="C40" i="11"/>
  <c r="B40" i="11"/>
  <c r="A40" i="11"/>
  <c r="G39" i="11"/>
  <c r="F39" i="11"/>
  <c r="E39" i="11"/>
  <c r="C39" i="11"/>
  <c r="B39" i="11"/>
  <c r="A39" i="11"/>
  <c r="G38" i="11"/>
  <c r="F38" i="11"/>
  <c r="E38" i="11"/>
  <c r="C38" i="11"/>
  <c r="B38" i="11"/>
  <c r="A38" i="11"/>
  <c r="G37" i="11"/>
  <c r="F37" i="11"/>
  <c r="E37" i="11"/>
  <c r="C37" i="11"/>
  <c r="B37" i="11"/>
  <c r="A37" i="11"/>
  <c r="G36" i="11"/>
  <c r="F36" i="11"/>
  <c r="E36" i="11"/>
  <c r="C36" i="11"/>
  <c r="B36" i="11"/>
  <c r="A36" i="11"/>
  <c r="G35" i="11"/>
  <c r="F35" i="11"/>
  <c r="E35" i="11"/>
  <c r="C35" i="11"/>
  <c r="B35" i="11"/>
  <c r="A35" i="11"/>
  <c r="G34" i="11"/>
  <c r="F34" i="11"/>
  <c r="E34" i="11"/>
  <c r="C34" i="11"/>
  <c r="B34" i="11"/>
  <c r="A34" i="11"/>
  <c r="G33" i="11"/>
  <c r="F33" i="11"/>
  <c r="E33" i="11"/>
  <c r="C33" i="11"/>
  <c r="B33" i="11"/>
  <c r="A33" i="11"/>
  <c r="G32" i="11"/>
  <c r="F32" i="11"/>
  <c r="E32" i="11"/>
  <c r="C32" i="11"/>
  <c r="B32" i="11"/>
  <c r="A32" i="11"/>
  <c r="G31" i="11"/>
  <c r="F31" i="11"/>
  <c r="E31" i="11"/>
  <c r="C31" i="11"/>
  <c r="B31" i="11"/>
  <c r="A31" i="11"/>
  <c r="G30" i="11"/>
  <c r="F30" i="11"/>
  <c r="E30" i="11"/>
  <c r="C30" i="11"/>
  <c r="B30" i="11"/>
  <c r="A30" i="11"/>
  <c r="G29" i="11"/>
  <c r="F29" i="11"/>
  <c r="E29" i="11"/>
  <c r="C29" i="11"/>
  <c r="B29" i="11"/>
  <c r="A29" i="11"/>
  <c r="G28" i="11"/>
  <c r="F28" i="11"/>
  <c r="E28" i="11"/>
  <c r="C28" i="11"/>
  <c r="B28" i="11"/>
  <c r="A28" i="11"/>
  <c r="G27" i="11"/>
  <c r="F27" i="11"/>
  <c r="E27" i="11"/>
  <c r="C27" i="11"/>
  <c r="B27" i="11"/>
  <c r="A27" i="11"/>
  <c r="G26" i="11"/>
  <c r="F26" i="11"/>
  <c r="E26" i="11"/>
  <c r="C26" i="11"/>
  <c r="B26" i="11"/>
  <c r="A26" i="11"/>
  <c r="G25" i="11"/>
  <c r="F25" i="11"/>
  <c r="E25" i="11"/>
  <c r="C25" i="11"/>
  <c r="B25" i="11"/>
  <c r="A25" i="11"/>
  <c r="G24" i="11"/>
  <c r="F24" i="11"/>
  <c r="E24" i="11"/>
  <c r="C24" i="11"/>
  <c r="B24" i="11"/>
  <c r="A24" i="11"/>
  <c r="G23" i="11"/>
  <c r="F23" i="11"/>
  <c r="E23" i="11"/>
  <c r="C23" i="11"/>
  <c r="B23" i="11"/>
  <c r="A23" i="11"/>
  <c r="G22" i="11"/>
  <c r="F22" i="11"/>
  <c r="E22" i="11"/>
  <c r="C22" i="11"/>
  <c r="B22" i="11"/>
  <c r="A22" i="11"/>
  <c r="G21" i="11"/>
  <c r="F21" i="11"/>
  <c r="E21" i="11"/>
  <c r="C21" i="11"/>
  <c r="B21" i="11"/>
  <c r="A21" i="11"/>
  <c r="G20" i="11"/>
  <c r="F20" i="11"/>
  <c r="E20" i="11"/>
  <c r="C20" i="11"/>
  <c r="B20" i="11"/>
  <c r="A20" i="11"/>
  <c r="G19" i="11"/>
  <c r="F19" i="11"/>
  <c r="E19" i="11"/>
  <c r="C19" i="11"/>
  <c r="B19" i="11"/>
  <c r="A19" i="11"/>
  <c r="G18" i="11"/>
  <c r="F18" i="11"/>
  <c r="E18" i="11"/>
  <c r="C18" i="11"/>
  <c r="B18" i="11"/>
  <c r="A18" i="11"/>
  <c r="G17" i="11"/>
  <c r="F17" i="11"/>
  <c r="E17" i="11"/>
  <c r="C17" i="11"/>
  <c r="B17" i="11"/>
  <c r="A17" i="11"/>
  <c r="G16" i="11"/>
  <c r="F16" i="11"/>
  <c r="E16" i="11"/>
  <c r="C16" i="11"/>
  <c r="B16" i="11"/>
  <c r="A16" i="11"/>
  <c r="G15" i="11"/>
  <c r="F15" i="11"/>
  <c r="E15" i="11"/>
  <c r="C15" i="11"/>
  <c r="B15" i="11"/>
  <c r="A15" i="11"/>
  <c r="G14" i="11"/>
  <c r="F14" i="11"/>
  <c r="E14" i="11"/>
  <c r="C14" i="11"/>
  <c r="B14" i="11"/>
  <c r="A14" i="11"/>
  <c r="G13" i="11"/>
  <c r="F13" i="11"/>
  <c r="E13" i="11"/>
  <c r="C13" i="11"/>
  <c r="B13" i="11"/>
  <c r="A13" i="11"/>
  <c r="G12" i="11"/>
  <c r="F12" i="11"/>
  <c r="E12" i="11"/>
  <c r="C12" i="11"/>
  <c r="B12" i="11"/>
  <c r="A12" i="11"/>
  <c r="G11" i="11"/>
  <c r="F11" i="11"/>
  <c r="E11" i="11"/>
  <c r="C11" i="11"/>
  <c r="B11" i="11"/>
  <c r="A11" i="11"/>
  <c r="G10" i="11"/>
  <c r="F10" i="11"/>
  <c r="E10" i="11"/>
  <c r="C10" i="11"/>
  <c r="B10" i="11"/>
  <c r="A10" i="11"/>
  <c r="G9" i="11"/>
  <c r="F9" i="11"/>
  <c r="E9" i="11"/>
  <c r="C9" i="11"/>
  <c r="B9" i="11"/>
  <c r="A9" i="11"/>
  <c r="G8" i="11"/>
  <c r="F8" i="11"/>
  <c r="E8" i="11"/>
  <c r="C8" i="11"/>
  <c r="B8" i="11"/>
  <c r="A8" i="11"/>
  <c r="G7" i="11"/>
  <c r="F7" i="11"/>
  <c r="E7" i="11"/>
  <c r="C7" i="11"/>
  <c r="B7" i="11"/>
  <c r="A7" i="11"/>
  <c r="G6" i="11"/>
  <c r="F6" i="11"/>
  <c r="E6" i="11"/>
  <c r="C6" i="11"/>
  <c r="B6" i="11"/>
  <c r="A6" i="11"/>
  <c r="B8" i="9"/>
  <c r="B7" i="9"/>
  <c r="B6" i="9"/>
  <c r="Q505" i="8"/>
  <c r="P505" i="8"/>
  <c r="O505" i="8"/>
  <c r="L505" i="8"/>
  <c r="R505" i="8" s="1"/>
  <c r="K505" i="8"/>
  <c r="R504" i="8"/>
  <c r="Q504" i="8"/>
  <c r="P504" i="8"/>
  <c r="O504" i="8"/>
  <c r="L504" i="8"/>
  <c r="K504" i="8"/>
  <c r="Q503" i="8"/>
  <c r="P503" i="8"/>
  <c r="O503" i="8"/>
  <c r="L503" i="8"/>
  <c r="R503" i="8" s="1"/>
  <c r="K503" i="8"/>
  <c r="P502" i="8"/>
  <c r="O502" i="8"/>
  <c r="L502" i="8"/>
  <c r="R502" i="8" s="1"/>
  <c r="K502" i="8"/>
  <c r="R501" i="8"/>
  <c r="Q501" i="8"/>
  <c r="P501" i="8"/>
  <c r="O501" i="8"/>
  <c r="L501" i="8"/>
  <c r="K501" i="8"/>
  <c r="R500" i="8"/>
  <c r="Q500" i="8"/>
  <c r="P500" i="8"/>
  <c r="O500" i="8"/>
  <c r="L500" i="8"/>
  <c r="K500" i="8"/>
  <c r="Q499" i="8"/>
  <c r="P499" i="8"/>
  <c r="O499" i="8"/>
  <c r="L499" i="8"/>
  <c r="R499" i="8" s="1"/>
  <c r="K499" i="8"/>
  <c r="R498" i="8"/>
  <c r="P498" i="8"/>
  <c r="O498" i="8"/>
  <c r="L498" i="8"/>
  <c r="Q498" i="8" s="1"/>
  <c r="K498" i="8"/>
  <c r="R497" i="8"/>
  <c r="Q497" i="8"/>
  <c r="P497" i="8"/>
  <c r="O497" i="8"/>
  <c r="L497" i="8"/>
  <c r="K497" i="8"/>
  <c r="P496" i="8"/>
  <c r="O496" i="8"/>
  <c r="L496" i="8"/>
  <c r="R496" i="8" s="1"/>
  <c r="K496" i="8"/>
  <c r="Q495" i="8"/>
  <c r="P495" i="8"/>
  <c r="O495" i="8"/>
  <c r="L495" i="8"/>
  <c r="R495" i="8" s="1"/>
  <c r="K495" i="8"/>
  <c r="Q494" i="8"/>
  <c r="P494" i="8"/>
  <c r="O494" i="8"/>
  <c r="L494" i="8"/>
  <c r="R494" i="8" s="1"/>
  <c r="K494" i="8"/>
  <c r="R493" i="8"/>
  <c r="Q493" i="8"/>
  <c r="P493" i="8"/>
  <c r="O493" i="8"/>
  <c r="L493" i="8"/>
  <c r="K493" i="8"/>
  <c r="R492" i="8"/>
  <c r="Q492" i="8"/>
  <c r="P492" i="8"/>
  <c r="O492" i="8"/>
  <c r="L492" i="8"/>
  <c r="K492" i="8"/>
  <c r="Q491" i="8"/>
  <c r="P491" i="8"/>
  <c r="O491" i="8"/>
  <c r="L491" i="8"/>
  <c r="R491" i="8" s="1"/>
  <c r="K491" i="8"/>
  <c r="R490" i="8"/>
  <c r="Q490" i="8"/>
  <c r="P490" i="8"/>
  <c r="O490" i="8"/>
  <c r="L490" i="8"/>
  <c r="K490" i="8"/>
  <c r="R489" i="8"/>
  <c r="Q489" i="8"/>
  <c r="P489" i="8"/>
  <c r="O489" i="8"/>
  <c r="L489" i="8"/>
  <c r="K489" i="8"/>
  <c r="Q488" i="8"/>
  <c r="P488" i="8"/>
  <c r="O488" i="8"/>
  <c r="L488" i="8"/>
  <c r="R488" i="8" s="1"/>
  <c r="K488" i="8"/>
  <c r="Q487" i="8"/>
  <c r="P487" i="8"/>
  <c r="O487" i="8"/>
  <c r="L487" i="8"/>
  <c r="R487" i="8" s="1"/>
  <c r="K487" i="8"/>
  <c r="R486" i="8"/>
  <c r="Q486" i="8"/>
  <c r="P486" i="8"/>
  <c r="O486" i="8"/>
  <c r="L486" i="8"/>
  <c r="K486" i="8"/>
  <c r="R485" i="8"/>
  <c r="Q485" i="8"/>
  <c r="P485" i="8"/>
  <c r="O485" i="8"/>
  <c r="L485" i="8"/>
  <c r="K485" i="8"/>
  <c r="P484" i="8"/>
  <c r="O484" i="8"/>
  <c r="L484" i="8"/>
  <c r="R484" i="8" s="1"/>
  <c r="K484" i="8"/>
  <c r="Q483" i="8"/>
  <c r="P483" i="8"/>
  <c r="O483" i="8"/>
  <c r="L483" i="8"/>
  <c r="R483" i="8" s="1"/>
  <c r="K483" i="8"/>
  <c r="P482" i="8"/>
  <c r="O482" i="8"/>
  <c r="L482" i="8"/>
  <c r="R482" i="8" s="1"/>
  <c r="K482" i="8"/>
  <c r="R481" i="8"/>
  <c r="Q481" i="8"/>
  <c r="P481" i="8"/>
  <c r="O481" i="8"/>
  <c r="L481" i="8"/>
  <c r="K481" i="8"/>
  <c r="R480" i="8"/>
  <c r="P480" i="8"/>
  <c r="O480" i="8"/>
  <c r="L480" i="8"/>
  <c r="Q480" i="8" s="1"/>
  <c r="K480" i="8"/>
  <c r="Q479" i="8"/>
  <c r="P479" i="8"/>
  <c r="O479" i="8"/>
  <c r="L479" i="8"/>
  <c r="R479" i="8" s="1"/>
  <c r="K479" i="8"/>
  <c r="R478" i="8"/>
  <c r="Q478" i="8"/>
  <c r="P478" i="8"/>
  <c r="O478" i="8"/>
  <c r="L478" i="8"/>
  <c r="K478" i="8"/>
  <c r="R477" i="8"/>
  <c r="Q477" i="8"/>
  <c r="P477" i="8"/>
  <c r="O477" i="8"/>
  <c r="L477" i="8"/>
  <c r="K477" i="8"/>
  <c r="Q476" i="8"/>
  <c r="P476" i="8"/>
  <c r="O476" i="8"/>
  <c r="L476" i="8"/>
  <c r="R476" i="8" s="1"/>
  <c r="K476" i="8"/>
  <c r="Q475" i="8"/>
  <c r="P475" i="8"/>
  <c r="O475" i="8"/>
  <c r="L475" i="8"/>
  <c r="R475" i="8" s="1"/>
  <c r="K475" i="8"/>
  <c r="Q474" i="8"/>
  <c r="P474" i="8"/>
  <c r="O474" i="8"/>
  <c r="L474" i="8"/>
  <c r="R474" i="8" s="1"/>
  <c r="K474" i="8"/>
  <c r="R473" i="8"/>
  <c r="Q473" i="8"/>
  <c r="P473" i="8"/>
  <c r="O473" i="8"/>
  <c r="L473" i="8"/>
  <c r="K473" i="8"/>
  <c r="R472" i="8"/>
  <c r="Q472" i="8"/>
  <c r="P472" i="8"/>
  <c r="O472" i="8"/>
  <c r="L472" i="8"/>
  <c r="K472" i="8"/>
  <c r="Q471" i="8"/>
  <c r="P471" i="8"/>
  <c r="O471" i="8"/>
  <c r="L471" i="8"/>
  <c r="R471" i="8" s="1"/>
  <c r="K471" i="8"/>
  <c r="P470" i="8"/>
  <c r="O470" i="8"/>
  <c r="L470" i="8"/>
  <c r="R470" i="8" s="1"/>
  <c r="K470" i="8"/>
  <c r="R469" i="8"/>
  <c r="Q469" i="8"/>
  <c r="P469" i="8"/>
  <c r="O469" i="8"/>
  <c r="L469" i="8"/>
  <c r="K469" i="8"/>
  <c r="R468" i="8"/>
  <c r="Q468" i="8"/>
  <c r="P468" i="8"/>
  <c r="O468" i="8"/>
  <c r="L468" i="8"/>
  <c r="K468" i="8"/>
  <c r="Q467" i="8"/>
  <c r="P467" i="8"/>
  <c r="O467" i="8"/>
  <c r="L467" i="8"/>
  <c r="R467" i="8" s="1"/>
  <c r="K467" i="8"/>
  <c r="R466" i="8"/>
  <c r="P466" i="8"/>
  <c r="O466" i="8"/>
  <c r="L466" i="8"/>
  <c r="Q466" i="8" s="1"/>
  <c r="K466" i="8"/>
  <c r="R465" i="8"/>
  <c r="Q465" i="8"/>
  <c r="P465" i="8"/>
  <c r="O465" i="8"/>
  <c r="L465" i="8"/>
  <c r="K465" i="8"/>
  <c r="P464" i="8"/>
  <c r="O464" i="8"/>
  <c r="L464" i="8"/>
  <c r="R464" i="8" s="1"/>
  <c r="K464" i="8"/>
  <c r="Q463" i="8"/>
  <c r="P463" i="8"/>
  <c r="O463" i="8"/>
  <c r="L463" i="8"/>
  <c r="R463" i="8" s="1"/>
  <c r="K463" i="8"/>
  <c r="Q462" i="8"/>
  <c r="P462" i="8"/>
  <c r="O462" i="8"/>
  <c r="L462" i="8"/>
  <c r="R462" i="8" s="1"/>
  <c r="K462" i="8"/>
  <c r="R461" i="8"/>
  <c r="Q461" i="8"/>
  <c r="P461" i="8"/>
  <c r="O461" i="8"/>
  <c r="L461" i="8"/>
  <c r="K461" i="8"/>
  <c r="R460" i="8"/>
  <c r="Q460" i="8"/>
  <c r="P460" i="8"/>
  <c r="O460" i="8"/>
  <c r="L460" i="8"/>
  <c r="K460" i="8"/>
  <c r="Q459" i="8"/>
  <c r="P459" i="8"/>
  <c r="O459" i="8"/>
  <c r="L459" i="8"/>
  <c r="R459" i="8" s="1"/>
  <c r="K459" i="8"/>
  <c r="R458" i="8"/>
  <c r="Q458" i="8"/>
  <c r="P458" i="8"/>
  <c r="O458" i="8"/>
  <c r="L458" i="8"/>
  <c r="K458" i="8"/>
  <c r="R457" i="8"/>
  <c r="Q457" i="8"/>
  <c r="P457" i="8"/>
  <c r="O457" i="8"/>
  <c r="L457" i="8"/>
  <c r="K457" i="8"/>
  <c r="Q456" i="8"/>
  <c r="P456" i="8"/>
  <c r="O456" i="8"/>
  <c r="L456" i="8"/>
  <c r="R456" i="8" s="1"/>
  <c r="K456" i="8"/>
  <c r="Q455" i="8"/>
  <c r="P455" i="8"/>
  <c r="O455" i="8"/>
  <c r="L455" i="8"/>
  <c r="R455" i="8" s="1"/>
  <c r="K455" i="8"/>
  <c r="R454" i="8"/>
  <c r="Q454" i="8"/>
  <c r="P454" i="8"/>
  <c r="O454" i="8"/>
  <c r="L454" i="8"/>
  <c r="K454" i="8"/>
  <c r="R453" i="8"/>
  <c r="Q453" i="8"/>
  <c r="P453" i="8"/>
  <c r="O453" i="8"/>
  <c r="L453" i="8"/>
  <c r="K453" i="8"/>
  <c r="P452" i="8"/>
  <c r="O452" i="8"/>
  <c r="L452" i="8"/>
  <c r="R452" i="8" s="1"/>
  <c r="K452" i="8"/>
  <c r="Q451" i="8"/>
  <c r="P451" i="8"/>
  <c r="O451" i="8"/>
  <c r="L451" i="8"/>
  <c r="R451" i="8" s="1"/>
  <c r="K451" i="8"/>
  <c r="P450" i="8"/>
  <c r="O450" i="8"/>
  <c r="L450" i="8"/>
  <c r="R450" i="8" s="1"/>
  <c r="K450" i="8"/>
  <c r="Q449" i="8"/>
  <c r="P449" i="8"/>
  <c r="O449" i="8"/>
  <c r="L449" i="8"/>
  <c r="R449" i="8" s="1"/>
  <c r="K449" i="8"/>
  <c r="R448" i="8"/>
  <c r="P448" i="8"/>
  <c r="O448" i="8"/>
  <c r="L448" i="8"/>
  <c r="Q448" i="8" s="1"/>
  <c r="K448" i="8"/>
  <c r="R447" i="8"/>
  <c r="Q447" i="8"/>
  <c r="P447" i="8"/>
  <c r="O447" i="8"/>
  <c r="L447" i="8"/>
  <c r="K447" i="8"/>
  <c r="P446" i="8"/>
  <c r="O446" i="8"/>
  <c r="L446" i="8"/>
  <c r="R446" i="8" s="1"/>
  <c r="K446" i="8"/>
  <c r="Q445" i="8"/>
  <c r="P445" i="8"/>
  <c r="O445" i="8"/>
  <c r="L445" i="8"/>
  <c r="R445" i="8" s="1"/>
  <c r="K445" i="8"/>
  <c r="R444" i="8"/>
  <c r="P444" i="8"/>
  <c r="O444" i="8"/>
  <c r="L444" i="8"/>
  <c r="Q444" i="8" s="1"/>
  <c r="K444" i="8"/>
  <c r="R443" i="8"/>
  <c r="Q443" i="8"/>
  <c r="P443" i="8"/>
  <c r="O443" i="8"/>
  <c r="L443" i="8"/>
  <c r="K443" i="8"/>
  <c r="P442" i="8"/>
  <c r="O442" i="8"/>
  <c r="L442" i="8"/>
  <c r="R442" i="8" s="1"/>
  <c r="K442" i="8"/>
  <c r="Q441" i="8"/>
  <c r="P441" i="8"/>
  <c r="O441" i="8"/>
  <c r="L441" i="8"/>
  <c r="R441" i="8" s="1"/>
  <c r="K441" i="8"/>
  <c r="R440" i="8"/>
  <c r="P440" i="8"/>
  <c r="O440" i="8"/>
  <c r="L440" i="8"/>
  <c r="Q440" i="8" s="1"/>
  <c r="K440" i="8"/>
  <c r="R439" i="8"/>
  <c r="Q439" i="8"/>
  <c r="P439" i="8"/>
  <c r="O439" i="8"/>
  <c r="L439" i="8"/>
  <c r="K439" i="8"/>
  <c r="P438" i="8"/>
  <c r="O438" i="8"/>
  <c r="L438" i="8"/>
  <c r="R438" i="8" s="1"/>
  <c r="K438" i="8"/>
  <c r="Q437" i="8"/>
  <c r="P437" i="8"/>
  <c r="O437" i="8"/>
  <c r="L437" i="8"/>
  <c r="R437" i="8" s="1"/>
  <c r="K437" i="8"/>
  <c r="R436" i="8"/>
  <c r="P436" i="8"/>
  <c r="O436" i="8"/>
  <c r="L436" i="8"/>
  <c r="Q436" i="8" s="1"/>
  <c r="K436" i="8"/>
  <c r="R435" i="8"/>
  <c r="Q435" i="8"/>
  <c r="P435" i="8"/>
  <c r="O435" i="8"/>
  <c r="L435" i="8"/>
  <c r="K435" i="8"/>
  <c r="P434" i="8"/>
  <c r="O434" i="8"/>
  <c r="L434" i="8"/>
  <c r="R434" i="8" s="1"/>
  <c r="K434" i="8"/>
  <c r="Q433" i="8"/>
  <c r="P433" i="8"/>
  <c r="O433" i="8"/>
  <c r="L433" i="8"/>
  <c r="R433" i="8" s="1"/>
  <c r="K433" i="8"/>
  <c r="R432" i="8"/>
  <c r="P432" i="8"/>
  <c r="O432" i="8"/>
  <c r="L432" i="8"/>
  <c r="Q432" i="8" s="1"/>
  <c r="K432" i="8"/>
  <c r="R431" i="8"/>
  <c r="Q431" i="8"/>
  <c r="P431" i="8"/>
  <c r="O431" i="8"/>
  <c r="L431" i="8"/>
  <c r="K431" i="8"/>
  <c r="P430" i="8"/>
  <c r="O430" i="8"/>
  <c r="L430" i="8"/>
  <c r="R430" i="8" s="1"/>
  <c r="K430" i="8"/>
  <c r="Q429" i="8"/>
  <c r="P429" i="8"/>
  <c r="O429" i="8"/>
  <c r="L429" i="8"/>
  <c r="R429" i="8" s="1"/>
  <c r="K429" i="8"/>
  <c r="R428" i="8"/>
  <c r="P428" i="8"/>
  <c r="O428" i="8"/>
  <c r="L428" i="8"/>
  <c r="Q428" i="8" s="1"/>
  <c r="K428" i="8"/>
  <c r="R427" i="8"/>
  <c r="Q427" i="8"/>
  <c r="P427" i="8"/>
  <c r="O427" i="8"/>
  <c r="L427" i="8"/>
  <c r="K427" i="8"/>
  <c r="P426" i="8"/>
  <c r="O426" i="8"/>
  <c r="L426" i="8"/>
  <c r="R426" i="8" s="1"/>
  <c r="K426" i="8"/>
  <c r="Q425" i="8"/>
  <c r="P425" i="8"/>
  <c r="O425" i="8"/>
  <c r="L425" i="8"/>
  <c r="R425" i="8" s="1"/>
  <c r="K425" i="8"/>
  <c r="R424" i="8"/>
  <c r="P424" i="8"/>
  <c r="O424" i="8"/>
  <c r="L424" i="8"/>
  <c r="Q424" i="8" s="1"/>
  <c r="K424" i="8"/>
  <c r="R423" i="8"/>
  <c r="Q423" i="8"/>
  <c r="P423" i="8"/>
  <c r="O423" i="8"/>
  <c r="L423" i="8"/>
  <c r="K423" i="8"/>
  <c r="P422" i="8"/>
  <c r="O422" i="8"/>
  <c r="L422" i="8"/>
  <c r="R422" i="8" s="1"/>
  <c r="K422" i="8"/>
  <c r="Q421" i="8"/>
  <c r="P421" i="8"/>
  <c r="O421" i="8"/>
  <c r="L421" i="8"/>
  <c r="R421" i="8" s="1"/>
  <c r="K421" i="8"/>
  <c r="R420" i="8"/>
  <c r="P420" i="8"/>
  <c r="O420" i="8"/>
  <c r="L420" i="8"/>
  <c r="Q420" i="8" s="1"/>
  <c r="K420" i="8"/>
  <c r="R419" i="8"/>
  <c r="Q419" i="8"/>
  <c r="P419" i="8"/>
  <c r="O419" i="8"/>
  <c r="L419" i="8"/>
  <c r="K419" i="8"/>
  <c r="P418" i="8"/>
  <c r="O418" i="8"/>
  <c r="L418" i="8"/>
  <c r="R418" i="8" s="1"/>
  <c r="K418" i="8"/>
  <c r="Q417" i="8"/>
  <c r="P417" i="8"/>
  <c r="O417" i="8"/>
  <c r="L417" i="8"/>
  <c r="R417" i="8" s="1"/>
  <c r="K417" i="8"/>
  <c r="R416" i="8"/>
  <c r="P416" i="8"/>
  <c r="O416" i="8"/>
  <c r="L416" i="8"/>
  <c r="Q416" i="8" s="1"/>
  <c r="K416" i="8"/>
  <c r="R415" i="8"/>
  <c r="Q415" i="8"/>
  <c r="P415" i="8"/>
  <c r="O415" i="8"/>
  <c r="L415" i="8"/>
  <c r="K415" i="8"/>
  <c r="P414" i="8"/>
  <c r="O414" i="8"/>
  <c r="L414" i="8"/>
  <c r="R414" i="8" s="1"/>
  <c r="K414" i="8"/>
  <c r="Q413" i="8"/>
  <c r="P413" i="8"/>
  <c r="O413" i="8"/>
  <c r="L413" i="8"/>
  <c r="R413" i="8" s="1"/>
  <c r="K413" i="8"/>
  <c r="R412" i="8"/>
  <c r="P412" i="8"/>
  <c r="O412" i="8"/>
  <c r="L412" i="8"/>
  <c r="Q412" i="8" s="1"/>
  <c r="K412" i="8"/>
  <c r="R411" i="8"/>
  <c r="Q411" i="8"/>
  <c r="P411" i="8"/>
  <c r="O411" i="8"/>
  <c r="L411" i="8"/>
  <c r="K411" i="8"/>
  <c r="P410" i="8"/>
  <c r="O410" i="8"/>
  <c r="L410" i="8"/>
  <c r="R410" i="8" s="1"/>
  <c r="K410" i="8"/>
  <c r="Q409" i="8"/>
  <c r="P409" i="8"/>
  <c r="O409" i="8"/>
  <c r="L409" i="8"/>
  <c r="R409" i="8" s="1"/>
  <c r="K409" i="8"/>
  <c r="R408" i="8"/>
  <c r="P408" i="8"/>
  <c r="O408" i="8"/>
  <c r="L408" i="8"/>
  <c r="Q408" i="8" s="1"/>
  <c r="K408" i="8"/>
  <c r="R407" i="8"/>
  <c r="Q407" i="8"/>
  <c r="P407" i="8"/>
  <c r="O407" i="8"/>
  <c r="L407" i="8"/>
  <c r="K407" i="8"/>
  <c r="P406" i="8"/>
  <c r="O406" i="8"/>
  <c r="L406" i="8"/>
  <c r="R406" i="8" s="1"/>
  <c r="K406" i="8"/>
  <c r="Q405" i="8"/>
  <c r="P405" i="8"/>
  <c r="O405" i="8"/>
  <c r="L405" i="8"/>
  <c r="R405" i="8" s="1"/>
  <c r="K405" i="8"/>
  <c r="R404" i="8"/>
  <c r="P404" i="8"/>
  <c r="O404" i="8"/>
  <c r="L404" i="8"/>
  <c r="Q404" i="8" s="1"/>
  <c r="K404" i="8"/>
  <c r="R403" i="8"/>
  <c r="Q403" i="8"/>
  <c r="P403" i="8"/>
  <c r="O403" i="8"/>
  <c r="L403" i="8"/>
  <c r="K403" i="8"/>
  <c r="P402" i="8"/>
  <c r="O402" i="8"/>
  <c r="L402" i="8"/>
  <c r="R402" i="8" s="1"/>
  <c r="K402" i="8"/>
  <c r="Q401" i="8"/>
  <c r="P401" i="8"/>
  <c r="O401" i="8"/>
  <c r="L401" i="8"/>
  <c r="R401" i="8" s="1"/>
  <c r="K401" i="8"/>
  <c r="R400" i="8"/>
  <c r="P400" i="8"/>
  <c r="O400" i="8"/>
  <c r="L400" i="8"/>
  <c r="Q400" i="8" s="1"/>
  <c r="K400" i="8"/>
  <c r="R399" i="8"/>
  <c r="Q399" i="8"/>
  <c r="P399" i="8"/>
  <c r="O399" i="8"/>
  <c r="L399" i="8"/>
  <c r="K399" i="8"/>
  <c r="P398" i="8"/>
  <c r="O398" i="8"/>
  <c r="L398" i="8"/>
  <c r="R398" i="8" s="1"/>
  <c r="K398" i="8"/>
  <c r="Q397" i="8"/>
  <c r="P397" i="8"/>
  <c r="O397" i="8"/>
  <c r="L397" i="8"/>
  <c r="R397" i="8" s="1"/>
  <c r="K397" i="8"/>
  <c r="R396" i="8"/>
  <c r="P396" i="8"/>
  <c r="O396" i="8"/>
  <c r="L396" i="8"/>
  <c r="Q396" i="8" s="1"/>
  <c r="K396" i="8"/>
  <c r="R395" i="8"/>
  <c r="Q395" i="8"/>
  <c r="P395" i="8"/>
  <c r="O395" i="8"/>
  <c r="L395" i="8"/>
  <c r="K395" i="8"/>
  <c r="P394" i="8"/>
  <c r="O394" i="8"/>
  <c r="L394" i="8"/>
  <c r="R394" i="8" s="1"/>
  <c r="K394" i="8"/>
  <c r="Q393" i="8"/>
  <c r="P393" i="8"/>
  <c r="O393" i="8"/>
  <c r="L393" i="8"/>
  <c r="R393" i="8" s="1"/>
  <c r="K393" i="8"/>
  <c r="R392" i="8"/>
  <c r="P392" i="8"/>
  <c r="O392" i="8"/>
  <c r="L392" i="8"/>
  <c r="Q392" i="8" s="1"/>
  <c r="K392" i="8"/>
  <c r="R391" i="8"/>
  <c r="Q391" i="8"/>
  <c r="P391" i="8"/>
  <c r="O391" i="8"/>
  <c r="L391" i="8"/>
  <c r="K391" i="8"/>
  <c r="P390" i="8"/>
  <c r="O390" i="8"/>
  <c r="L390" i="8"/>
  <c r="R390" i="8" s="1"/>
  <c r="K390" i="8"/>
  <c r="Q389" i="8"/>
  <c r="P389" i="8"/>
  <c r="O389" i="8"/>
  <c r="L389" i="8"/>
  <c r="R389" i="8" s="1"/>
  <c r="K389" i="8"/>
  <c r="R388" i="8"/>
  <c r="P388" i="8"/>
  <c r="O388" i="8"/>
  <c r="L388" i="8"/>
  <c r="Q388" i="8" s="1"/>
  <c r="K388" i="8"/>
  <c r="R387" i="8"/>
  <c r="Q387" i="8"/>
  <c r="P387" i="8"/>
  <c r="O387" i="8"/>
  <c r="L387" i="8"/>
  <c r="K387" i="8"/>
  <c r="P386" i="8"/>
  <c r="O386" i="8"/>
  <c r="L386" i="8"/>
  <c r="R386" i="8" s="1"/>
  <c r="K386" i="8"/>
  <c r="Q385" i="8"/>
  <c r="P385" i="8"/>
  <c r="O385" i="8"/>
  <c r="L385" i="8"/>
  <c r="R385" i="8" s="1"/>
  <c r="K385" i="8"/>
  <c r="R384" i="8"/>
  <c r="P384" i="8"/>
  <c r="O384" i="8"/>
  <c r="L384" i="8"/>
  <c r="Q384" i="8" s="1"/>
  <c r="K384" i="8"/>
  <c r="R383" i="8"/>
  <c r="Q383" i="8"/>
  <c r="P383" i="8"/>
  <c r="O383" i="8"/>
  <c r="L383" i="8"/>
  <c r="K383" i="8"/>
  <c r="P382" i="8"/>
  <c r="O382" i="8"/>
  <c r="L382" i="8"/>
  <c r="R382" i="8" s="1"/>
  <c r="K382" i="8"/>
  <c r="Q381" i="8"/>
  <c r="P381" i="8"/>
  <c r="O381" i="8"/>
  <c r="L381" i="8"/>
  <c r="R381" i="8" s="1"/>
  <c r="K381" i="8"/>
  <c r="R380" i="8"/>
  <c r="P380" i="8"/>
  <c r="O380" i="8"/>
  <c r="L380" i="8"/>
  <c r="Q380" i="8" s="1"/>
  <c r="K380" i="8"/>
  <c r="R379" i="8"/>
  <c r="Q379" i="8"/>
  <c r="P379" i="8"/>
  <c r="O379" i="8"/>
  <c r="L379" i="8"/>
  <c r="K379" i="8"/>
  <c r="P378" i="8"/>
  <c r="O378" i="8"/>
  <c r="L378" i="8"/>
  <c r="R378" i="8" s="1"/>
  <c r="K378" i="8"/>
  <c r="Q377" i="8"/>
  <c r="P377" i="8"/>
  <c r="O377" i="8"/>
  <c r="L377" i="8"/>
  <c r="R377" i="8" s="1"/>
  <c r="K377" i="8"/>
  <c r="R376" i="8"/>
  <c r="P376" i="8"/>
  <c r="O376" i="8"/>
  <c r="L376" i="8"/>
  <c r="Q376" i="8" s="1"/>
  <c r="K376" i="8"/>
  <c r="R375" i="8"/>
  <c r="Q375" i="8"/>
  <c r="P375" i="8"/>
  <c r="O375" i="8"/>
  <c r="L375" i="8"/>
  <c r="K375" i="8"/>
  <c r="P374" i="8"/>
  <c r="O374" i="8"/>
  <c r="L374" i="8"/>
  <c r="R374" i="8" s="1"/>
  <c r="K374" i="8"/>
  <c r="Q373" i="8"/>
  <c r="P373" i="8"/>
  <c r="O373" i="8"/>
  <c r="L373" i="8"/>
  <c r="R373" i="8" s="1"/>
  <c r="K373" i="8"/>
  <c r="R372" i="8"/>
  <c r="P372" i="8"/>
  <c r="O372" i="8"/>
  <c r="L372" i="8"/>
  <c r="Q372" i="8" s="1"/>
  <c r="K372" i="8"/>
  <c r="R371" i="8"/>
  <c r="Q371" i="8"/>
  <c r="P371" i="8"/>
  <c r="O371" i="8"/>
  <c r="L371" i="8"/>
  <c r="K371" i="8"/>
  <c r="P370" i="8"/>
  <c r="O370" i="8"/>
  <c r="L370" i="8"/>
  <c r="R370" i="8" s="1"/>
  <c r="K370" i="8"/>
  <c r="Q369" i="8"/>
  <c r="P369" i="8"/>
  <c r="O369" i="8"/>
  <c r="L369" i="8"/>
  <c r="R369" i="8" s="1"/>
  <c r="K369" i="8"/>
  <c r="R368" i="8"/>
  <c r="P368" i="8"/>
  <c r="O368" i="8"/>
  <c r="L368" i="8"/>
  <c r="Q368" i="8" s="1"/>
  <c r="K368" i="8"/>
  <c r="R367" i="8"/>
  <c r="Q367" i="8"/>
  <c r="P367" i="8"/>
  <c r="O367" i="8"/>
  <c r="L367" i="8"/>
  <c r="K367" i="8"/>
  <c r="P366" i="8"/>
  <c r="O366" i="8"/>
  <c r="L366" i="8"/>
  <c r="R366" i="8" s="1"/>
  <c r="K366" i="8"/>
  <c r="Q365" i="8"/>
  <c r="P365" i="8"/>
  <c r="O365" i="8"/>
  <c r="L365" i="8"/>
  <c r="R365" i="8" s="1"/>
  <c r="K365" i="8"/>
  <c r="R364" i="8"/>
  <c r="P364" i="8"/>
  <c r="O364" i="8"/>
  <c r="L364" i="8"/>
  <c r="Q364" i="8" s="1"/>
  <c r="K364" i="8"/>
  <c r="R363" i="8"/>
  <c r="Q363" i="8"/>
  <c r="P363" i="8"/>
  <c r="O363" i="8"/>
  <c r="L363" i="8"/>
  <c r="K363" i="8"/>
  <c r="P362" i="8"/>
  <c r="O362" i="8"/>
  <c r="L362" i="8"/>
  <c r="R362" i="8" s="1"/>
  <c r="K362" i="8"/>
  <c r="Q361" i="8"/>
  <c r="P361" i="8"/>
  <c r="O361" i="8"/>
  <c r="L361" i="8"/>
  <c r="R361" i="8" s="1"/>
  <c r="K361" i="8"/>
  <c r="R360" i="8"/>
  <c r="P360" i="8"/>
  <c r="O360" i="8"/>
  <c r="L360" i="8"/>
  <c r="Q360" i="8" s="1"/>
  <c r="K360" i="8"/>
  <c r="R359" i="8"/>
  <c r="Q359" i="8"/>
  <c r="P359" i="8"/>
  <c r="O359" i="8"/>
  <c r="L359" i="8"/>
  <c r="K359" i="8"/>
  <c r="P358" i="8"/>
  <c r="O358" i="8"/>
  <c r="L358" i="8"/>
  <c r="R358" i="8" s="1"/>
  <c r="K358" i="8"/>
  <c r="Q357" i="8"/>
  <c r="P357" i="8"/>
  <c r="O357" i="8"/>
  <c r="L357" i="8"/>
  <c r="R357" i="8" s="1"/>
  <c r="K357" i="8"/>
  <c r="R356" i="8"/>
  <c r="P356" i="8"/>
  <c r="O356" i="8"/>
  <c r="L356" i="8"/>
  <c r="Q356" i="8" s="1"/>
  <c r="K356" i="8"/>
  <c r="R355" i="8"/>
  <c r="Q355" i="8"/>
  <c r="P355" i="8"/>
  <c r="O355" i="8"/>
  <c r="L355" i="8"/>
  <c r="K355" i="8"/>
  <c r="P354" i="8"/>
  <c r="O354" i="8"/>
  <c r="L354" i="8"/>
  <c r="R354" i="8" s="1"/>
  <c r="K354" i="8"/>
  <c r="Q353" i="8"/>
  <c r="P353" i="8"/>
  <c r="O353" i="8"/>
  <c r="L353" i="8"/>
  <c r="R353" i="8" s="1"/>
  <c r="K353" i="8"/>
  <c r="R352" i="8"/>
  <c r="P352" i="8"/>
  <c r="O352" i="8"/>
  <c r="L352" i="8"/>
  <c r="Q352" i="8" s="1"/>
  <c r="K352" i="8"/>
  <c r="R351" i="8"/>
  <c r="Q351" i="8"/>
  <c r="P351" i="8"/>
  <c r="O351" i="8"/>
  <c r="L351" i="8"/>
  <c r="K351" i="8"/>
  <c r="P350" i="8"/>
  <c r="O350" i="8"/>
  <c r="L350" i="8"/>
  <c r="R350" i="8" s="1"/>
  <c r="K350" i="8"/>
  <c r="Q349" i="8"/>
  <c r="P349" i="8"/>
  <c r="O349" i="8"/>
  <c r="L349" i="8"/>
  <c r="R349" i="8" s="1"/>
  <c r="K349" i="8"/>
  <c r="R348" i="8"/>
  <c r="P348" i="8"/>
  <c r="O348" i="8"/>
  <c r="L348" i="8"/>
  <c r="Q348" i="8" s="1"/>
  <c r="K348" i="8"/>
  <c r="R347" i="8"/>
  <c r="Q347" i="8"/>
  <c r="P347" i="8"/>
  <c r="O347" i="8"/>
  <c r="L347" i="8"/>
  <c r="K347" i="8"/>
  <c r="P346" i="8"/>
  <c r="O346" i="8"/>
  <c r="L346" i="8"/>
  <c r="R346" i="8" s="1"/>
  <c r="K346" i="8"/>
  <c r="Q345" i="8"/>
  <c r="P345" i="8"/>
  <c r="O345" i="8"/>
  <c r="L345" i="8"/>
  <c r="R345" i="8" s="1"/>
  <c r="K345" i="8"/>
  <c r="R344" i="8"/>
  <c r="P344" i="8"/>
  <c r="O344" i="8"/>
  <c r="L344" i="8"/>
  <c r="Q344" i="8" s="1"/>
  <c r="K344" i="8"/>
  <c r="R343" i="8"/>
  <c r="Q343" i="8"/>
  <c r="P343" i="8"/>
  <c r="O343" i="8"/>
  <c r="L343" i="8"/>
  <c r="K343" i="8"/>
  <c r="P342" i="8"/>
  <c r="O342" i="8"/>
  <c r="L342" i="8"/>
  <c r="R342" i="8" s="1"/>
  <c r="K342" i="8"/>
  <c r="Q341" i="8"/>
  <c r="P341" i="8"/>
  <c r="O341" i="8"/>
  <c r="L341" i="8"/>
  <c r="R341" i="8" s="1"/>
  <c r="K341" i="8"/>
  <c r="R340" i="8"/>
  <c r="P340" i="8"/>
  <c r="O340" i="8"/>
  <c r="L340" i="8"/>
  <c r="Q340" i="8" s="1"/>
  <c r="K340" i="8"/>
  <c r="R339" i="8"/>
  <c r="Q339" i="8"/>
  <c r="P339" i="8"/>
  <c r="O339" i="8"/>
  <c r="L339" i="8"/>
  <c r="K339" i="8"/>
  <c r="P338" i="8"/>
  <c r="O338" i="8"/>
  <c r="L338" i="8"/>
  <c r="R338" i="8" s="1"/>
  <c r="K338" i="8"/>
  <c r="Q337" i="8"/>
  <c r="P337" i="8"/>
  <c r="O337" i="8"/>
  <c r="L337" i="8"/>
  <c r="R337" i="8" s="1"/>
  <c r="K337" i="8"/>
  <c r="R336" i="8"/>
  <c r="P336" i="8"/>
  <c r="O336" i="8"/>
  <c r="L336" i="8"/>
  <c r="Q336" i="8" s="1"/>
  <c r="K336" i="8"/>
  <c r="R335" i="8"/>
  <c r="Q335" i="8"/>
  <c r="P335" i="8"/>
  <c r="O335" i="8"/>
  <c r="L335" i="8"/>
  <c r="K335" i="8"/>
  <c r="P334" i="8"/>
  <c r="O334" i="8"/>
  <c r="L334" i="8"/>
  <c r="R334" i="8" s="1"/>
  <c r="K334" i="8"/>
  <c r="Q333" i="8"/>
  <c r="P333" i="8"/>
  <c r="O333" i="8"/>
  <c r="L333" i="8"/>
  <c r="R333" i="8" s="1"/>
  <c r="K333" i="8"/>
  <c r="R332" i="8"/>
  <c r="P332" i="8"/>
  <c r="O332" i="8"/>
  <c r="L332" i="8"/>
  <c r="Q332" i="8" s="1"/>
  <c r="K332" i="8"/>
  <c r="R331" i="8"/>
  <c r="Q331" i="8"/>
  <c r="P331" i="8"/>
  <c r="O331" i="8"/>
  <c r="L331" i="8"/>
  <c r="K331" i="8"/>
  <c r="P330" i="8"/>
  <c r="O330" i="8"/>
  <c r="L330" i="8"/>
  <c r="R330" i="8" s="1"/>
  <c r="K330" i="8"/>
  <c r="Q329" i="8"/>
  <c r="P329" i="8"/>
  <c r="O329" i="8"/>
  <c r="L329" i="8"/>
  <c r="R329" i="8" s="1"/>
  <c r="K329" i="8"/>
  <c r="R328" i="8"/>
  <c r="P328" i="8"/>
  <c r="O328" i="8"/>
  <c r="L328" i="8"/>
  <c r="Q328" i="8" s="1"/>
  <c r="K328" i="8"/>
  <c r="R327" i="8"/>
  <c r="Q327" i="8"/>
  <c r="P327" i="8"/>
  <c r="O327" i="8"/>
  <c r="L327" i="8"/>
  <c r="K327" i="8"/>
  <c r="P326" i="8"/>
  <c r="O326" i="8"/>
  <c r="L326" i="8"/>
  <c r="R326" i="8" s="1"/>
  <c r="K326" i="8"/>
  <c r="Q325" i="8"/>
  <c r="P325" i="8"/>
  <c r="O325" i="8"/>
  <c r="L325" i="8"/>
  <c r="R325" i="8" s="1"/>
  <c r="K325" i="8"/>
  <c r="R324" i="8"/>
  <c r="P324" i="8"/>
  <c r="O324" i="8"/>
  <c r="L324" i="8"/>
  <c r="Q324" i="8" s="1"/>
  <c r="K324" i="8"/>
  <c r="R323" i="8"/>
  <c r="Q323" i="8"/>
  <c r="P323" i="8"/>
  <c r="O323" i="8"/>
  <c r="L323" i="8"/>
  <c r="K323" i="8"/>
  <c r="P322" i="8"/>
  <c r="O322" i="8"/>
  <c r="L322" i="8"/>
  <c r="R322" i="8" s="1"/>
  <c r="K322" i="8"/>
  <c r="Q321" i="8"/>
  <c r="P321" i="8"/>
  <c r="O321" i="8"/>
  <c r="L321" i="8"/>
  <c r="R321" i="8" s="1"/>
  <c r="K321" i="8"/>
  <c r="R320" i="8"/>
  <c r="P320" i="8"/>
  <c r="O320" i="8"/>
  <c r="L320" i="8"/>
  <c r="Q320" i="8" s="1"/>
  <c r="K320" i="8"/>
  <c r="R319" i="8"/>
  <c r="Q319" i="8"/>
  <c r="P319" i="8"/>
  <c r="O319" i="8"/>
  <c r="L319" i="8"/>
  <c r="K319" i="8"/>
  <c r="P318" i="8"/>
  <c r="O318" i="8"/>
  <c r="L318" i="8"/>
  <c r="R318" i="8" s="1"/>
  <c r="K318" i="8"/>
  <c r="Q317" i="8"/>
  <c r="P317" i="8"/>
  <c r="O317" i="8"/>
  <c r="L317" i="8"/>
  <c r="R317" i="8" s="1"/>
  <c r="K317" i="8"/>
  <c r="R316" i="8"/>
  <c r="P316" i="8"/>
  <c r="O316" i="8"/>
  <c r="L316" i="8"/>
  <c r="Q316" i="8" s="1"/>
  <c r="K316" i="8"/>
  <c r="R315" i="8"/>
  <c r="Q315" i="8"/>
  <c r="P315" i="8"/>
  <c r="O315" i="8"/>
  <c r="L315" i="8"/>
  <c r="K315" i="8"/>
  <c r="P314" i="8"/>
  <c r="O314" i="8"/>
  <c r="L314" i="8"/>
  <c r="R314" i="8" s="1"/>
  <c r="K314" i="8"/>
  <c r="Q313" i="8"/>
  <c r="P313" i="8"/>
  <c r="O313" i="8"/>
  <c r="L313" i="8"/>
  <c r="R313" i="8" s="1"/>
  <c r="K313" i="8"/>
  <c r="R312" i="8"/>
  <c r="P312" i="8"/>
  <c r="O312" i="8"/>
  <c r="L312" i="8"/>
  <c r="Q312" i="8" s="1"/>
  <c r="K312" i="8"/>
  <c r="R311" i="8"/>
  <c r="Q311" i="8"/>
  <c r="P311" i="8"/>
  <c r="O311" i="8"/>
  <c r="L311" i="8"/>
  <c r="K311" i="8"/>
  <c r="P310" i="8"/>
  <c r="O310" i="8"/>
  <c r="L310" i="8"/>
  <c r="R310" i="8" s="1"/>
  <c r="K310" i="8"/>
  <c r="Q309" i="8"/>
  <c r="P309" i="8"/>
  <c r="O309" i="8"/>
  <c r="L309" i="8"/>
  <c r="R309" i="8" s="1"/>
  <c r="K309" i="8"/>
  <c r="R308" i="8"/>
  <c r="P308" i="8"/>
  <c r="O308" i="8"/>
  <c r="L308" i="8"/>
  <c r="Q308" i="8" s="1"/>
  <c r="K308" i="8"/>
  <c r="R307" i="8"/>
  <c r="Q307" i="8"/>
  <c r="P307" i="8"/>
  <c r="O307" i="8"/>
  <c r="L307" i="8"/>
  <c r="K307" i="8"/>
  <c r="P306" i="8"/>
  <c r="O306" i="8"/>
  <c r="L306" i="8"/>
  <c r="R306" i="8" s="1"/>
  <c r="K306" i="8"/>
  <c r="Q305" i="8"/>
  <c r="P305" i="8"/>
  <c r="O305" i="8"/>
  <c r="L305" i="8"/>
  <c r="R305" i="8" s="1"/>
  <c r="K305" i="8"/>
  <c r="R304" i="8"/>
  <c r="P304" i="8"/>
  <c r="O304" i="8"/>
  <c r="L304" i="8"/>
  <c r="Q304" i="8" s="1"/>
  <c r="K304" i="8"/>
  <c r="R303" i="8"/>
  <c r="Q303" i="8"/>
  <c r="P303" i="8"/>
  <c r="O303" i="8"/>
  <c r="L303" i="8"/>
  <c r="K303" i="8"/>
  <c r="P302" i="8"/>
  <c r="O302" i="8"/>
  <c r="L302" i="8"/>
  <c r="R302" i="8" s="1"/>
  <c r="K302" i="8"/>
  <c r="Q301" i="8"/>
  <c r="P301" i="8"/>
  <c r="O301" i="8"/>
  <c r="L301" i="8"/>
  <c r="R301" i="8" s="1"/>
  <c r="K301" i="8"/>
  <c r="R300" i="8"/>
  <c r="P300" i="8"/>
  <c r="O300" i="8"/>
  <c r="L300" i="8"/>
  <c r="Q300" i="8" s="1"/>
  <c r="K300" i="8"/>
  <c r="R299" i="8"/>
  <c r="Q299" i="8"/>
  <c r="P299" i="8"/>
  <c r="O299" i="8"/>
  <c r="L299" i="8"/>
  <c r="K299" i="8"/>
  <c r="P298" i="8"/>
  <c r="O298" i="8"/>
  <c r="L298" i="8"/>
  <c r="R298" i="8" s="1"/>
  <c r="K298" i="8"/>
  <c r="Q297" i="8"/>
  <c r="P297" i="8"/>
  <c r="O297" i="8"/>
  <c r="L297" i="8"/>
  <c r="R297" i="8" s="1"/>
  <c r="K297" i="8"/>
  <c r="R296" i="8"/>
  <c r="P296" i="8"/>
  <c r="O296" i="8"/>
  <c r="L296" i="8"/>
  <c r="Q296" i="8" s="1"/>
  <c r="K296" i="8"/>
  <c r="R295" i="8"/>
  <c r="Q295" i="8"/>
  <c r="P295" i="8"/>
  <c r="O295" i="8"/>
  <c r="L295" i="8"/>
  <c r="K295" i="8"/>
  <c r="P294" i="8"/>
  <c r="O294" i="8"/>
  <c r="L294" i="8"/>
  <c r="R294" i="8" s="1"/>
  <c r="K294" i="8"/>
  <c r="Q293" i="8"/>
  <c r="P293" i="8"/>
  <c r="O293" i="8"/>
  <c r="L293" i="8"/>
  <c r="R293" i="8" s="1"/>
  <c r="K293" i="8"/>
  <c r="R292" i="8"/>
  <c r="P292" i="8"/>
  <c r="O292" i="8"/>
  <c r="L292" i="8"/>
  <c r="Q292" i="8" s="1"/>
  <c r="K292" i="8"/>
  <c r="R291" i="8"/>
  <c r="Q291" i="8"/>
  <c r="P291" i="8"/>
  <c r="O291" i="8"/>
  <c r="L291" i="8"/>
  <c r="K291" i="8"/>
  <c r="P290" i="8"/>
  <c r="O290" i="8"/>
  <c r="L290" i="8"/>
  <c r="R290" i="8" s="1"/>
  <c r="K290" i="8"/>
  <c r="Q289" i="8"/>
  <c r="P289" i="8"/>
  <c r="O289" i="8"/>
  <c r="L289" i="8"/>
  <c r="R289" i="8" s="1"/>
  <c r="K289" i="8"/>
  <c r="R288" i="8"/>
  <c r="P288" i="8"/>
  <c r="O288" i="8"/>
  <c r="L288" i="8"/>
  <c r="Q288" i="8" s="1"/>
  <c r="K288" i="8"/>
  <c r="R287" i="8"/>
  <c r="Q287" i="8"/>
  <c r="P287" i="8"/>
  <c r="O287" i="8"/>
  <c r="L287" i="8"/>
  <c r="K287" i="8"/>
  <c r="P286" i="8"/>
  <c r="O286" i="8"/>
  <c r="L286" i="8"/>
  <c r="R286" i="8" s="1"/>
  <c r="K286" i="8"/>
  <c r="Q285" i="8"/>
  <c r="P285" i="8"/>
  <c r="O285" i="8"/>
  <c r="L285" i="8"/>
  <c r="R285" i="8" s="1"/>
  <c r="K285" i="8"/>
  <c r="R284" i="8"/>
  <c r="P284" i="8"/>
  <c r="O284" i="8"/>
  <c r="L284" i="8"/>
  <c r="Q284" i="8" s="1"/>
  <c r="K284" i="8"/>
  <c r="R283" i="8"/>
  <c r="Q283" i="8"/>
  <c r="P283" i="8"/>
  <c r="O283" i="8"/>
  <c r="L283" i="8"/>
  <c r="K283" i="8"/>
  <c r="P282" i="8"/>
  <c r="O282" i="8"/>
  <c r="L282" i="8"/>
  <c r="R282" i="8" s="1"/>
  <c r="K282" i="8"/>
  <c r="Q281" i="8"/>
  <c r="P281" i="8"/>
  <c r="O281" i="8"/>
  <c r="L281" i="8"/>
  <c r="R281" i="8" s="1"/>
  <c r="K281" i="8"/>
  <c r="R280" i="8"/>
  <c r="P280" i="8"/>
  <c r="O280" i="8"/>
  <c r="L280" i="8"/>
  <c r="Q280" i="8" s="1"/>
  <c r="K280" i="8"/>
  <c r="R279" i="8"/>
  <c r="Q279" i="8"/>
  <c r="P279" i="8"/>
  <c r="O279" i="8"/>
  <c r="L279" i="8"/>
  <c r="K279" i="8"/>
  <c r="P278" i="8"/>
  <c r="O278" i="8"/>
  <c r="L278" i="8"/>
  <c r="R278" i="8" s="1"/>
  <c r="K278" i="8"/>
  <c r="Q277" i="8"/>
  <c r="P277" i="8"/>
  <c r="O277" i="8"/>
  <c r="L277" i="8"/>
  <c r="R277" i="8" s="1"/>
  <c r="K277" i="8"/>
  <c r="R276" i="8"/>
  <c r="P276" i="8"/>
  <c r="O276" i="8"/>
  <c r="L276" i="8"/>
  <c r="Q276" i="8" s="1"/>
  <c r="K276" i="8"/>
  <c r="R275" i="8"/>
  <c r="Q275" i="8"/>
  <c r="P275" i="8"/>
  <c r="O275" i="8"/>
  <c r="L275" i="8"/>
  <c r="K275" i="8"/>
  <c r="P274" i="8"/>
  <c r="O274" i="8"/>
  <c r="L274" i="8"/>
  <c r="R274" i="8" s="1"/>
  <c r="K274" i="8"/>
  <c r="Q273" i="8"/>
  <c r="P273" i="8"/>
  <c r="O273" i="8"/>
  <c r="L273" i="8"/>
  <c r="R273" i="8" s="1"/>
  <c r="K273" i="8"/>
  <c r="R272" i="8"/>
  <c r="P272" i="8"/>
  <c r="O272" i="8"/>
  <c r="L272" i="8"/>
  <c r="Q272" i="8" s="1"/>
  <c r="K272" i="8"/>
  <c r="R271" i="8"/>
  <c r="Q271" i="8"/>
  <c r="P271" i="8"/>
  <c r="O271" i="8"/>
  <c r="L271" i="8"/>
  <c r="K271" i="8"/>
  <c r="P270" i="8"/>
  <c r="O270" i="8"/>
  <c r="L270" i="8"/>
  <c r="R270" i="8" s="1"/>
  <c r="K270" i="8"/>
  <c r="Q269" i="8"/>
  <c r="P269" i="8"/>
  <c r="O269" i="8"/>
  <c r="L269" i="8"/>
  <c r="R269" i="8" s="1"/>
  <c r="K269" i="8"/>
  <c r="R268" i="8"/>
  <c r="P268" i="8"/>
  <c r="O268" i="8"/>
  <c r="L268" i="8"/>
  <c r="Q268" i="8" s="1"/>
  <c r="K268" i="8"/>
  <c r="R267" i="8"/>
  <c r="Q267" i="8"/>
  <c r="P267" i="8"/>
  <c r="O267" i="8"/>
  <c r="L267" i="8"/>
  <c r="K267" i="8"/>
  <c r="P266" i="8"/>
  <c r="O266" i="8"/>
  <c r="L266" i="8"/>
  <c r="R266" i="8" s="1"/>
  <c r="K266" i="8"/>
  <c r="Q265" i="8"/>
  <c r="P265" i="8"/>
  <c r="O265" i="8"/>
  <c r="L265" i="8"/>
  <c r="R265" i="8" s="1"/>
  <c r="K265" i="8"/>
  <c r="R264" i="8"/>
  <c r="P264" i="8"/>
  <c r="O264" i="8"/>
  <c r="L264" i="8"/>
  <c r="Q264" i="8" s="1"/>
  <c r="K264" i="8"/>
  <c r="R263" i="8"/>
  <c r="Q263" i="8"/>
  <c r="P263" i="8"/>
  <c r="O263" i="8"/>
  <c r="L263" i="8"/>
  <c r="K263" i="8"/>
  <c r="P262" i="8"/>
  <c r="O262" i="8"/>
  <c r="L262" i="8"/>
  <c r="R262" i="8" s="1"/>
  <c r="K262" i="8"/>
  <c r="Q261" i="8"/>
  <c r="P261" i="8"/>
  <c r="O261" i="8"/>
  <c r="L261" i="8"/>
  <c r="R261" i="8" s="1"/>
  <c r="K261" i="8"/>
  <c r="R260" i="8"/>
  <c r="P260" i="8"/>
  <c r="O260" i="8"/>
  <c r="L260" i="8"/>
  <c r="Q260" i="8" s="1"/>
  <c r="K260" i="8"/>
  <c r="R259" i="8"/>
  <c r="Q259" i="8"/>
  <c r="P259" i="8"/>
  <c r="O259" i="8"/>
  <c r="L259" i="8"/>
  <c r="K259" i="8"/>
  <c r="P258" i="8"/>
  <c r="O258" i="8"/>
  <c r="L258" i="8"/>
  <c r="R258" i="8" s="1"/>
  <c r="K258" i="8"/>
  <c r="Q257" i="8"/>
  <c r="P257" i="8"/>
  <c r="O257" i="8"/>
  <c r="L257" i="8"/>
  <c r="R257" i="8" s="1"/>
  <c r="K257" i="8"/>
  <c r="R256" i="8"/>
  <c r="P256" i="8"/>
  <c r="O256" i="8"/>
  <c r="L256" i="8"/>
  <c r="Q256" i="8" s="1"/>
  <c r="K256" i="8"/>
  <c r="R255" i="8"/>
  <c r="Q255" i="8"/>
  <c r="P255" i="8"/>
  <c r="O255" i="8"/>
  <c r="L255" i="8"/>
  <c r="K255" i="8"/>
  <c r="P254" i="8"/>
  <c r="O254" i="8"/>
  <c r="L254" i="8"/>
  <c r="R254" i="8" s="1"/>
  <c r="K254" i="8"/>
  <c r="Q253" i="8"/>
  <c r="P253" i="8"/>
  <c r="O253" i="8"/>
  <c r="L253" i="8"/>
  <c r="R253" i="8" s="1"/>
  <c r="K253" i="8"/>
  <c r="R252" i="8"/>
  <c r="P252" i="8"/>
  <c r="O252" i="8"/>
  <c r="L252" i="8"/>
  <c r="Q252" i="8" s="1"/>
  <c r="K252" i="8"/>
  <c r="R251" i="8"/>
  <c r="Q251" i="8"/>
  <c r="P251" i="8"/>
  <c r="O251" i="8"/>
  <c r="L251" i="8"/>
  <c r="K251" i="8"/>
  <c r="P250" i="8"/>
  <c r="O250" i="8"/>
  <c r="L250" i="8"/>
  <c r="R250" i="8" s="1"/>
  <c r="K250" i="8"/>
  <c r="Q249" i="8"/>
  <c r="P249" i="8"/>
  <c r="O249" i="8"/>
  <c r="L249" i="8"/>
  <c r="R249" i="8" s="1"/>
  <c r="K249" i="8"/>
  <c r="R248" i="8"/>
  <c r="P248" i="8"/>
  <c r="O248" i="8"/>
  <c r="L248" i="8"/>
  <c r="Q248" i="8" s="1"/>
  <c r="K248" i="8"/>
  <c r="R247" i="8"/>
  <c r="Q247" i="8"/>
  <c r="P247" i="8"/>
  <c r="O247" i="8"/>
  <c r="L247" i="8"/>
  <c r="K247" i="8"/>
  <c r="P246" i="8"/>
  <c r="O246" i="8"/>
  <c r="L246" i="8"/>
  <c r="R246" i="8" s="1"/>
  <c r="K246" i="8"/>
  <c r="Q245" i="8"/>
  <c r="P245" i="8"/>
  <c r="O245" i="8"/>
  <c r="L245" i="8"/>
  <c r="R245" i="8" s="1"/>
  <c r="K245" i="8"/>
  <c r="R244" i="8"/>
  <c r="P244" i="8"/>
  <c r="O244" i="8"/>
  <c r="L244" i="8"/>
  <c r="Q244" i="8" s="1"/>
  <c r="K244" i="8"/>
  <c r="R243" i="8"/>
  <c r="Q243" i="8"/>
  <c r="P243" i="8"/>
  <c r="O243" i="8"/>
  <c r="L243" i="8"/>
  <c r="K243" i="8"/>
  <c r="P242" i="8"/>
  <c r="O242" i="8"/>
  <c r="L242" i="8"/>
  <c r="R242" i="8" s="1"/>
  <c r="K242" i="8"/>
  <c r="Q241" i="8"/>
  <c r="P241" i="8"/>
  <c r="O241" i="8"/>
  <c r="L241" i="8"/>
  <c r="R241" i="8" s="1"/>
  <c r="K241" i="8"/>
  <c r="R240" i="8"/>
  <c r="P240" i="8"/>
  <c r="O240" i="8"/>
  <c r="L240" i="8"/>
  <c r="Q240" i="8" s="1"/>
  <c r="K240" i="8"/>
  <c r="R239" i="8"/>
  <c r="Q239" i="8"/>
  <c r="P239" i="8"/>
  <c r="O239" i="8"/>
  <c r="L239" i="8"/>
  <c r="K239" i="8"/>
  <c r="P238" i="8"/>
  <c r="O238" i="8"/>
  <c r="L238" i="8"/>
  <c r="R238" i="8" s="1"/>
  <c r="K238" i="8"/>
  <c r="Q237" i="8"/>
  <c r="P237" i="8"/>
  <c r="O237" i="8"/>
  <c r="L237" i="8"/>
  <c r="R237" i="8" s="1"/>
  <c r="K237" i="8"/>
  <c r="R236" i="8"/>
  <c r="P236" i="8"/>
  <c r="O236" i="8"/>
  <c r="L236" i="8"/>
  <c r="Q236" i="8" s="1"/>
  <c r="K236" i="8"/>
  <c r="R235" i="8"/>
  <c r="Q235" i="8"/>
  <c r="P235" i="8"/>
  <c r="O235" i="8"/>
  <c r="L235" i="8"/>
  <c r="K235" i="8"/>
  <c r="P234" i="8"/>
  <c r="O234" i="8"/>
  <c r="L234" i="8"/>
  <c r="K234" i="8"/>
  <c r="Q233" i="8"/>
  <c r="P233" i="8"/>
  <c r="O233" i="8"/>
  <c r="L233" i="8"/>
  <c r="R233" i="8" s="1"/>
  <c r="K233" i="8"/>
  <c r="R232" i="8"/>
  <c r="P232" i="8"/>
  <c r="O232" i="8"/>
  <c r="L232" i="8"/>
  <c r="Q232" i="8" s="1"/>
  <c r="K232" i="8"/>
  <c r="R231" i="8"/>
  <c r="Q231" i="8"/>
  <c r="P231" i="8"/>
  <c r="O231" i="8"/>
  <c r="L231" i="8"/>
  <c r="K231" i="8"/>
  <c r="P230" i="8"/>
  <c r="O230" i="8"/>
  <c r="L230" i="8"/>
  <c r="K230" i="8"/>
  <c r="Q229" i="8"/>
  <c r="P229" i="8"/>
  <c r="O229" i="8"/>
  <c r="L229" i="8"/>
  <c r="R229" i="8" s="1"/>
  <c r="K229" i="8"/>
  <c r="R228" i="8"/>
  <c r="P228" i="8"/>
  <c r="O228" i="8"/>
  <c r="L228" i="8"/>
  <c r="Q228" i="8" s="1"/>
  <c r="K228" i="8"/>
  <c r="R227" i="8"/>
  <c r="Q227" i="8"/>
  <c r="P227" i="8"/>
  <c r="O227" i="8"/>
  <c r="L227" i="8"/>
  <c r="K227" i="8"/>
  <c r="P226" i="8"/>
  <c r="O226" i="8"/>
  <c r="L226" i="8"/>
  <c r="K226" i="8"/>
  <c r="Q225" i="8"/>
  <c r="P225" i="8"/>
  <c r="O225" i="8"/>
  <c r="L225" i="8"/>
  <c r="R225" i="8" s="1"/>
  <c r="K225" i="8"/>
  <c r="R224" i="8"/>
  <c r="P224" i="8"/>
  <c r="O224" i="8"/>
  <c r="L224" i="8"/>
  <c r="Q224" i="8" s="1"/>
  <c r="K224" i="8"/>
  <c r="R223" i="8"/>
  <c r="Q223" i="8"/>
  <c r="P223" i="8"/>
  <c r="O223" i="8"/>
  <c r="L223" i="8"/>
  <c r="K223" i="8"/>
  <c r="P222" i="8"/>
  <c r="O222" i="8"/>
  <c r="L222" i="8"/>
  <c r="K222" i="8"/>
  <c r="Q221" i="8"/>
  <c r="P221" i="8"/>
  <c r="O221" i="8"/>
  <c r="L221" i="8"/>
  <c r="R221" i="8" s="1"/>
  <c r="K221" i="8"/>
  <c r="R220" i="8"/>
  <c r="P220" i="8"/>
  <c r="O220" i="8"/>
  <c r="L220" i="8"/>
  <c r="Q220" i="8" s="1"/>
  <c r="K220" i="8"/>
  <c r="R219" i="8"/>
  <c r="Q219" i="8"/>
  <c r="P219" i="8"/>
  <c r="O219" i="8"/>
  <c r="L219" i="8"/>
  <c r="K219" i="8"/>
  <c r="P218" i="8"/>
  <c r="O218" i="8"/>
  <c r="L218" i="8"/>
  <c r="K218" i="8"/>
  <c r="Q217" i="8"/>
  <c r="P217" i="8"/>
  <c r="O217" i="8"/>
  <c r="L217" i="8"/>
  <c r="R217" i="8" s="1"/>
  <c r="K217" i="8"/>
  <c r="R216" i="8"/>
  <c r="P216" i="8"/>
  <c r="O216" i="8"/>
  <c r="L216" i="8"/>
  <c r="Q216" i="8" s="1"/>
  <c r="K216" i="8"/>
  <c r="R215" i="8"/>
  <c r="Q215" i="8"/>
  <c r="P215" i="8"/>
  <c r="O215" i="8"/>
  <c r="L215" i="8"/>
  <c r="K215" i="8"/>
  <c r="P214" i="8"/>
  <c r="O214" i="8"/>
  <c r="L214" i="8"/>
  <c r="K214" i="8"/>
  <c r="Q213" i="8"/>
  <c r="P213" i="8"/>
  <c r="O213" i="8"/>
  <c r="L213" i="8"/>
  <c r="R213" i="8" s="1"/>
  <c r="K213" i="8"/>
  <c r="R212" i="8"/>
  <c r="P212" i="8"/>
  <c r="O212" i="8"/>
  <c r="L212" i="8"/>
  <c r="Q212" i="8" s="1"/>
  <c r="K212" i="8"/>
  <c r="R211" i="8"/>
  <c r="Q211" i="8"/>
  <c r="P211" i="8"/>
  <c r="O211" i="8"/>
  <c r="L211" i="8"/>
  <c r="K211" i="8"/>
  <c r="P210" i="8"/>
  <c r="O210" i="8"/>
  <c r="L210" i="8"/>
  <c r="K210" i="8"/>
  <c r="Q209" i="8"/>
  <c r="P209" i="8"/>
  <c r="O209" i="8"/>
  <c r="L209" i="8"/>
  <c r="R209" i="8" s="1"/>
  <c r="K209" i="8"/>
  <c r="R208" i="8"/>
  <c r="P208" i="8"/>
  <c r="O208" i="8"/>
  <c r="L208" i="8"/>
  <c r="Q208" i="8" s="1"/>
  <c r="K208" i="8"/>
  <c r="R207" i="8"/>
  <c r="Q207" i="8"/>
  <c r="P207" i="8"/>
  <c r="O207" i="8"/>
  <c r="L207" i="8"/>
  <c r="K207" i="8"/>
  <c r="P206" i="8"/>
  <c r="O206" i="8"/>
  <c r="L206" i="8"/>
  <c r="K206" i="8"/>
  <c r="Q205" i="8"/>
  <c r="P205" i="8"/>
  <c r="O205" i="8"/>
  <c r="L205" i="8"/>
  <c r="R205" i="8" s="1"/>
  <c r="K205" i="8"/>
  <c r="R204" i="8"/>
  <c r="P204" i="8"/>
  <c r="O204" i="8"/>
  <c r="L204" i="8"/>
  <c r="Q204" i="8" s="1"/>
  <c r="K204" i="8"/>
  <c r="R203" i="8"/>
  <c r="Q203" i="8"/>
  <c r="P203" i="8"/>
  <c r="O203" i="8"/>
  <c r="L203" i="8"/>
  <c r="K203" i="8"/>
  <c r="P202" i="8"/>
  <c r="O202" i="8"/>
  <c r="L202" i="8"/>
  <c r="K202" i="8"/>
  <c r="Q201" i="8"/>
  <c r="P201" i="8"/>
  <c r="O201" i="8"/>
  <c r="L201" i="8"/>
  <c r="R201" i="8" s="1"/>
  <c r="K201" i="8"/>
  <c r="R200" i="8"/>
  <c r="P200" i="8"/>
  <c r="O200" i="8"/>
  <c r="L200" i="8"/>
  <c r="Q200" i="8" s="1"/>
  <c r="K200" i="8"/>
  <c r="R199" i="8"/>
  <c r="Q199" i="8"/>
  <c r="P199" i="8"/>
  <c r="O199" i="8"/>
  <c r="L199" i="8"/>
  <c r="K199" i="8"/>
  <c r="P198" i="8"/>
  <c r="O198" i="8"/>
  <c r="L198" i="8"/>
  <c r="K198" i="8"/>
  <c r="Q197" i="8"/>
  <c r="P197" i="8"/>
  <c r="O197" i="8"/>
  <c r="L197" i="8"/>
  <c r="R197" i="8" s="1"/>
  <c r="K197" i="8"/>
  <c r="R196" i="8"/>
  <c r="P196" i="8"/>
  <c r="O196" i="8"/>
  <c r="L196" i="8"/>
  <c r="Q196" i="8" s="1"/>
  <c r="K196" i="8"/>
  <c r="R195" i="8"/>
  <c r="Q195" i="8"/>
  <c r="P195" i="8"/>
  <c r="O195" i="8"/>
  <c r="L195" i="8"/>
  <c r="K195" i="8"/>
  <c r="P194" i="8"/>
  <c r="O194" i="8"/>
  <c r="L194" i="8"/>
  <c r="K194" i="8"/>
  <c r="Q193" i="8"/>
  <c r="P193" i="8"/>
  <c r="O193" i="8"/>
  <c r="L193" i="8"/>
  <c r="R193" i="8" s="1"/>
  <c r="K193" i="8"/>
  <c r="R192" i="8"/>
  <c r="P192" i="8"/>
  <c r="O192" i="8"/>
  <c r="L192" i="8"/>
  <c r="Q192" i="8" s="1"/>
  <c r="K192" i="8"/>
  <c r="R191" i="8"/>
  <c r="Q191" i="8"/>
  <c r="P191" i="8"/>
  <c r="O191" i="8"/>
  <c r="L191" i="8"/>
  <c r="K191" i="8"/>
  <c r="P190" i="8"/>
  <c r="O190" i="8"/>
  <c r="L190" i="8"/>
  <c r="K190" i="8"/>
  <c r="Q189" i="8"/>
  <c r="P189" i="8"/>
  <c r="O189" i="8"/>
  <c r="L189" i="8"/>
  <c r="R189" i="8" s="1"/>
  <c r="K189" i="8"/>
  <c r="R188" i="8"/>
  <c r="P188" i="8"/>
  <c r="O188" i="8"/>
  <c r="L188" i="8"/>
  <c r="Q188" i="8" s="1"/>
  <c r="K188" i="8"/>
  <c r="R187" i="8"/>
  <c r="Q187" i="8"/>
  <c r="P187" i="8"/>
  <c r="O187" i="8"/>
  <c r="L187" i="8"/>
  <c r="K187" i="8"/>
  <c r="P186" i="8"/>
  <c r="O186" i="8"/>
  <c r="L186" i="8"/>
  <c r="K186" i="8"/>
  <c r="Q185" i="8"/>
  <c r="P185" i="8"/>
  <c r="O185" i="8"/>
  <c r="L185" i="8"/>
  <c r="R185" i="8" s="1"/>
  <c r="K185" i="8"/>
  <c r="R184" i="8"/>
  <c r="P184" i="8"/>
  <c r="O184" i="8"/>
  <c r="L184" i="8"/>
  <c r="Q184" i="8" s="1"/>
  <c r="K184" i="8"/>
  <c r="R183" i="8"/>
  <c r="Q183" i="8"/>
  <c r="P183" i="8"/>
  <c r="O183" i="8"/>
  <c r="L183" i="8"/>
  <c r="K183" i="8"/>
  <c r="P182" i="8"/>
  <c r="O182" i="8"/>
  <c r="L182" i="8"/>
  <c r="K182" i="8"/>
  <c r="Q181" i="8"/>
  <c r="P181" i="8"/>
  <c r="O181" i="8"/>
  <c r="L181" i="8"/>
  <c r="R181" i="8" s="1"/>
  <c r="K181" i="8"/>
  <c r="R180" i="8"/>
  <c r="P180" i="8"/>
  <c r="O180" i="8"/>
  <c r="L180" i="8"/>
  <c r="Q180" i="8" s="1"/>
  <c r="K180" i="8"/>
  <c r="R179" i="8"/>
  <c r="Q179" i="8"/>
  <c r="P179" i="8"/>
  <c r="O179" i="8"/>
  <c r="L179" i="8"/>
  <c r="K179" i="8"/>
  <c r="P178" i="8"/>
  <c r="O178" i="8"/>
  <c r="L178" i="8"/>
  <c r="K178" i="8"/>
  <c r="Q177" i="8"/>
  <c r="P177" i="8"/>
  <c r="O177" i="8"/>
  <c r="L177" i="8"/>
  <c r="R177" i="8" s="1"/>
  <c r="K177" i="8"/>
  <c r="R176" i="8"/>
  <c r="P176" i="8"/>
  <c r="O176" i="8"/>
  <c r="L176" i="8"/>
  <c r="Q176" i="8" s="1"/>
  <c r="K176" i="8"/>
  <c r="R175" i="8"/>
  <c r="Q175" i="8"/>
  <c r="P175" i="8"/>
  <c r="O175" i="8"/>
  <c r="L175" i="8"/>
  <c r="K175" i="8"/>
  <c r="P174" i="8"/>
  <c r="O174" i="8"/>
  <c r="L174" i="8"/>
  <c r="K174" i="8"/>
  <c r="Q173" i="8"/>
  <c r="P173" i="8"/>
  <c r="O173" i="8"/>
  <c r="N173" i="8"/>
  <c r="M173" i="8"/>
  <c r="L173" i="8"/>
  <c r="K173" i="8"/>
  <c r="P172" i="8"/>
  <c r="O172" i="8"/>
  <c r="N172" i="8"/>
  <c r="M172" i="8"/>
  <c r="L172" i="8"/>
  <c r="K172" i="8"/>
  <c r="P171" i="8"/>
  <c r="O171" i="8"/>
  <c r="N171" i="8"/>
  <c r="M171" i="8"/>
  <c r="L171" i="8"/>
  <c r="K171" i="8"/>
  <c r="P170" i="8"/>
  <c r="O170" i="8"/>
  <c r="N170" i="8"/>
  <c r="M170" i="8"/>
  <c r="L170" i="8"/>
  <c r="Q170" i="8" s="1"/>
  <c r="K170" i="8"/>
  <c r="Q169" i="8"/>
  <c r="P169" i="8"/>
  <c r="O169" i="8"/>
  <c r="N169" i="8"/>
  <c r="M169" i="8"/>
  <c r="L169" i="8"/>
  <c r="K169" i="8"/>
  <c r="Q168" i="8"/>
  <c r="P168" i="8"/>
  <c r="O168" i="8"/>
  <c r="N168" i="8"/>
  <c r="M168" i="8"/>
  <c r="L168" i="8"/>
  <c r="K168" i="8"/>
  <c r="Q167" i="8"/>
  <c r="P167" i="8"/>
  <c r="O167" i="8"/>
  <c r="N167" i="8"/>
  <c r="M167" i="8"/>
  <c r="L167" i="8"/>
  <c r="K167" i="8"/>
  <c r="P166" i="8"/>
  <c r="O166" i="8"/>
  <c r="N166" i="8"/>
  <c r="M166" i="8"/>
  <c r="L166" i="8"/>
  <c r="Q166" i="8" s="1"/>
  <c r="K166" i="8"/>
  <c r="Q165" i="8"/>
  <c r="P165" i="8"/>
  <c r="O165" i="8"/>
  <c r="N165" i="8"/>
  <c r="M165" i="8"/>
  <c r="L165" i="8"/>
  <c r="K165" i="8"/>
  <c r="P164" i="8"/>
  <c r="O164" i="8"/>
  <c r="N164" i="8"/>
  <c r="M164" i="8"/>
  <c r="L164" i="8"/>
  <c r="K164" i="8"/>
  <c r="Q163" i="8"/>
  <c r="P163" i="8"/>
  <c r="O163" i="8"/>
  <c r="N163" i="8"/>
  <c r="M163" i="8"/>
  <c r="L163" i="8"/>
  <c r="K163" i="8"/>
  <c r="P162" i="8"/>
  <c r="O162" i="8"/>
  <c r="N162" i="8"/>
  <c r="M162" i="8"/>
  <c r="L162" i="8"/>
  <c r="Q162" i="8" s="1"/>
  <c r="K162" i="8"/>
  <c r="Q161" i="8"/>
  <c r="P161" i="8"/>
  <c r="O161" i="8"/>
  <c r="N161" i="8"/>
  <c r="M161" i="8"/>
  <c r="L161" i="8"/>
  <c r="K161" i="8"/>
  <c r="Q160" i="8"/>
  <c r="P160" i="8"/>
  <c r="O160" i="8"/>
  <c r="N160" i="8"/>
  <c r="M160" i="8"/>
  <c r="L160" i="8"/>
  <c r="K160" i="8"/>
  <c r="Q159" i="8"/>
  <c r="P159" i="8"/>
  <c r="O159" i="8"/>
  <c r="N159" i="8"/>
  <c r="M159" i="8"/>
  <c r="L159" i="8"/>
  <c r="K159" i="8"/>
  <c r="P158" i="8"/>
  <c r="O158" i="8"/>
  <c r="N158" i="8"/>
  <c r="M158" i="8"/>
  <c r="L158" i="8"/>
  <c r="Q158" i="8" s="1"/>
  <c r="K158" i="8"/>
  <c r="Q157" i="8"/>
  <c r="P157" i="8"/>
  <c r="O157" i="8"/>
  <c r="N157" i="8"/>
  <c r="M157" i="8"/>
  <c r="L157" i="8"/>
  <c r="K157" i="8"/>
  <c r="P156" i="8"/>
  <c r="O156" i="8"/>
  <c r="N156" i="8"/>
  <c r="M156" i="8"/>
  <c r="L156" i="8"/>
  <c r="K156" i="8"/>
  <c r="P155" i="8"/>
  <c r="O155" i="8"/>
  <c r="N155" i="8"/>
  <c r="M155" i="8"/>
  <c r="L155" i="8"/>
  <c r="K155" i="8"/>
  <c r="P154" i="8"/>
  <c r="O154" i="8"/>
  <c r="N154" i="8"/>
  <c r="M154" i="8"/>
  <c r="L154" i="8"/>
  <c r="Q154" i="8" s="1"/>
  <c r="K154" i="8"/>
  <c r="Q153" i="8"/>
  <c r="P153" i="8"/>
  <c r="O153" i="8"/>
  <c r="N153" i="8"/>
  <c r="M153" i="8"/>
  <c r="L153" i="8"/>
  <c r="K153" i="8"/>
  <c r="Q152" i="8"/>
  <c r="P152" i="8"/>
  <c r="O152" i="8"/>
  <c r="N152" i="8"/>
  <c r="M152" i="8"/>
  <c r="L152" i="8"/>
  <c r="K152" i="8"/>
  <c r="Q151" i="8"/>
  <c r="P151" i="8"/>
  <c r="O151" i="8"/>
  <c r="N151" i="8"/>
  <c r="M151" i="8"/>
  <c r="L151" i="8"/>
  <c r="K151" i="8"/>
  <c r="P150" i="8"/>
  <c r="O150" i="8"/>
  <c r="N150" i="8"/>
  <c r="M150" i="8"/>
  <c r="L150" i="8"/>
  <c r="Q150" i="8" s="1"/>
  <c r="K150" i="8"/>
  <c r="Q149" i="8"/>
  <c r="P149" i="8"/>
  <c r="O149" i="8"/>
  <c r="N149" i="8"/>
  <c r="M149" i="8"/>
  <c r="L149" i="8"/>
  <c r="K149" i="8"/>
  <c r="P148" i="8"/>
  <c r="O148" i="8"/>
  <c r="N148" i="8"/>
  <c r="M148" i="8"/>
  <c r="L148" i="8"/>
  <c r="K148" i="8"/>
  <c r="P147" i="8"/>
  <c r="O147" i="8"/>
  <c r="N147" i="8"/>
  <c r="M147" i="8"/>
  <c r="L147" i="8"/>
  <c r="K147" i="8"/>
  <c r="P146" i="8"/>
  <c r="O146" i="8"/>
  <c r="N146" i="8"/>
  <c r="M146" i="8"/>
  <c r="L146" i="8"/>
  <c r="Q146" i="8" s="1"/>
  <c r="K146" i="8"/>
  <c r="Q145" i="8"/>
  <c r="P145" i="8"/>
  <c r="O145" i="8"/>
  <c r="N145" i="8"/>
  <c r="M145" i="8"/>
  <c r="L145" i="8"/>
  <c r="K145" i="8"/>
  <c r="Q144" i="8"/>
  <c r="P144" i="8"/>
  <c r="O144" i="8"/>
  <c r="N144" i="8"/>
  <c r="M144" i="8"/>
  <c r="L144" i="8"/>
  <c r="K144" i="8"/>
  <c r="Q143" i="8"/>
  <c r="P143" i="8"/>
  <c r="O143" i="8"/>
  <c r="N143" i="8"/>
  <c r="M143" i="8"/>
  <c r="L143" i="8"/>
  <c r="K143" i="8"/>
  <c r="P142" i="8"/>
  <c r="O142" i="8"/>
  <c r="N142" i="8"/>
  <c r="M142" i="8"/>
  <c r="L142" i="8"/>
  <c r="Q142" i="8" s="1"/>
  <c r="K142" i="8"/>
  <c r="Q141" i="8"/>
  <c r="P141" i="8"/>
  <c r="O141" i="8"/>
  <c r="N141" i="8"/>
  <c r="M141" i="8"/>
  <c r="L141" i="8"/>
  <c r="K141" i="8"/>
  <c r="P140" i="8"/>
  <c r="O140" i="8"/>
  <c r="N140" i="8"/>
  <c r="M140" i="8"/>
  <c r="L140" i="8"/>
  <c r="K140" i="8"/>
  <c r="P139" i="8"/>
  <c r="O139" i="8"/>
  <c r="N139" i="8"/>
  <c r="M139" i="8"/>
  <c r="L139" i="8"/>
  <c r="K139" i="8"/>
  <c r="P138" i="8"/>
  <c r="O138" i="8"/>
  <c r="N138" i="8"/>
  <c r="M138" i="8"/>
  <c r="L138" i="8"/>
  <c r="Q138" i="8" s="1"/>
  <c r="K138" i="8"/>
  <c r="Q137" i="8"/>
  <c r="P137" i="8"/>
  <c r="O137" i="8"/>
  <c r="N137" i="8"/>
  <c r="M137" i="8"/>
  <c r="L137" i="8"/>
  <c r="K137" i="8"/>
  <c r="Q136" i="8"/>
  <c r="P136" i="8"/>
  <c r="O136" i="8"/>
  <c r="N136" i="8"/>
  <c r="M136" i="8"/>
  <c r="L136" i="8"/>
  <c r="K136" i="8"/>
  <c r="Q135" i="8"/>
  <c r="P135" i="8"/>
  <c r="O135" i="8"/>
  <c r="N135" i="8"/>
  <c r="M135" i="8"/>
  <c r="L135" i="8"/>
  <c r="K135" i="8"/>
  <c r="P134" i="8"/>
  <c r="O134" i="8"/>
  <c r="N134" i="8"/>
  <c r="M134" i="8"/>
  <c r="L134" i="8"/>
  <c r="Q134" i="8" s="1"/>
  <c r="K134" i="8"/>
  <c r="Q133" i="8"/>
  <c r="P133" i="8"/>
  <c r="O133" i="8"/>
  <c r="N133" i="8"/>
  <c r="M133" i="8"/>
  <c r="L133" i="8"/>
  <c r="K133" i="8"/>
  <c r="P132" i="8"/>
  <c r="O132" i="8"/>
  <c r="N132" i="8"/>
  <c r="M132" i="8"/>
  <c r="L132" i="8"/>
  <c r="K132" i="8"/>
  <c r="P131" i="8"/>
  <c r="O131" i="8"/>
  <c r="N131" i="8"/>
  <c r="M131" i="8"/>
  <c r="L131" i="8"/>
  <c r="K131" i="8"/>
  <c r="P130" i="8"/>
  <c r="O130" i="8"/>
  <c r="N130" i="8"/>
  <c r="M130" i="8"/>
  <c r="L130" i="8"/>
  <c r="Q130" i="8" s="1"/>
  <c r="K130" i="8"/>
  <c r="Q129" i="8"/>
  <c r="P129" i="8"/>
  <c r="O129" i="8"/>
  <c r="N129" i="8"/>
  <c r="M129" i="8"/>
  <c r="L129" i="8"/>
  <c r="K129" i="8"/>
  <c r="Q128" i="8"/>
  <c r="P128" i="8"/>
  <c r="O128" i="8"/>
  <c r="N128" i="8"/>
  <c r="M128" i="8"/>
  <c r="L128" i="8"/>
  <c r="K128" i="8"/>
  <c r="Q127" i="8"/>
  <c r="P127" i="8"/>
  <c r="O127" i="8"/>
  <c r="N127" i="8"/>
  <c r="M127" i="8"/>
  <c r="L127" i="8"/>
  <c r="K127" i="8"/>
  <c r="P126" i="8"/>
  <c r="O126" i="8"/>
  <c r="N126" i="8"/>
  <c r="M126" i="8"/>
  <c r="L126" i="8"/>
  <c r="Q126" i="8" s="1"/>
  <c r="K126" i="8"/>
  <c r="Q125" i="8"/>
  <c r="P125" i="8"/>
  <c r="O125" i="8"/>
  <c r="N125" i="8"/>
  <c r="M125" i="8"/>
  <c r="L125" i="8"/>
  <c r="K125" i="8"/>
  <c r="P124" i="8"/>
  <c r="O124" i="8"/>
  <c r="N124" i="8"/>
  <c r="M124" i="8"/>
  <c r="L124" i="8"/>
  <c r="K124" i="8"/>
  <c r="P123" i="8"/>
  <c r="O123" i="8"/>
  <c r="N123" i="8"/>
  <c r="M123" i="8"/>
  <c r="L123" i="8"/>
  <c r="K123" i="8"/>
  <c r="P122" i="8"/>
  <c r="O122" i="8"/>
  <c r="N122" i="8"/>
  <c r="M122" i="8"/>
  <c r="L122" i="8"/>
  <c r="Q122" i="8" s="1"/>
  <c r="K122" i="8"/>
  <c r="Q121" i="8"/>
  <c r="P121" i="8"/>
  <c r="O121" i="8"/>
  <c r="N121" i="8"/>
  <c r="M121" i="8"/>
  <c r="L121" i="8"/>
  <c r="K121" i="8"/>
  <c r="Q120" i="8"/>
  <c r="P120" i="8"/>
  <c r="O120" i="8"/>
  <c r="N120" i="8"/>
  <c r="M120" i="8"/>
  <c r="L120" i="8"/>
  <c r="K120" i="8"/>
  <c r="Q119" i="8"/>
  <c r="P119" i="8"/>
  <c r="O119" i="8"/>
  <c r="N119" i="8"/>
  <c r="M119" i="8"/>
  <c r="L119" i="8"/>
  <c r="K119" i="8"/>
  <c r="P118" i="8"/>
  <c r="O118" i="8"/>
  <c r="N118" i="8"/>
  <c r="M118" i="8"/>
  <c r="L118" i="8"/>
  <c r="Q118" i="8" s="1"/>
  <c r="K118" i="8"/>
  <c r="Q117" i="8"/>
  <c r="P117" i="8"/>
  <c r="O117" i="8"/>
  <c r="N117" i="8"/>
  <c r="M117" i="8"/>
  <c r="L117" i="8"/>
  <c r="K117" i="8"/>
  <c r="P116" i="8"/>
  <c r="O116" i="8"/>
  <c r="N116" i="8"/>
  <c r="M116" i="8"/>
  <c r="L116" i="8"/>
  <c r="K116" i="8"/>
  <c r="Q115" i="8"/>
  <c r="P115" i="8"/>
  <c r="O115" i="8"/>
  <c r="N115" i="8"/>
  <c r="M115" i="8"/>
  <c r="L115" i="8"/>
  <c r="K115" i="8"/>
  <c r="P114" i="8"/>
  <c r="O114" i="8"/>
  <c r="N114" i="8"/>
  <c r="M114" i="8"/>
  <c r="L114" i="8"/>
  <c r="Q114" i="8" s="1"/>
  <c r="K114" i="8"/>
  <c r="Q113" i="8"/>
  <c r="P113" i="8"/>
  <c r="O113" i="8"/>
  <c r="N113" i="8"/>
  <c r="M113" i="8"/>
  <c r="L113" i="8"/>
  <c r="K113" i="8"/>
  <c r="Q112" i="8"/>
  <c r="P112" i="8"/>
  <c r="O112" i="8"/>
  <c r="N112" i="8"/>
  <c r="M112" i="8"/>
  <c r="L112" i="8"/>
  <c r="K112" i="8"/>
  <c r="Q111" i="8"/>
  <c r="P111" i="8"/>
  <c r="O111" i="8"/>
  <c r="N111" i="8"/>
  <c r="M111" i="8"/>
  <c r="L111" i="8"/>
  <c r="K111" i="8"/>
  <c r="P110" i="8"/>
  <c r="O110" i="8"/>
  <c r="N110" i="8"/>
  <c r="M110" i="8"/>
  <c r="L110" i="8"/>
  <c r="Q110" i="8" s="1"/>
  <c r="K110" i="8"/>
  <c r="Q109" i="8"/>
  <c r="P109" i="8"/>
  <c r="O109" i="8"/>
  <c r="N109" i="8"/>
  <c r="M109" i="8"/>
  <c r="L109" i="8"/>
  <c r="K109" i="8"/>
  <c r="P108" i="8"/>
  <c r="O108" i="8"/>
  <c r="N108" i="8"/>
  <c r="M108" i="8"/>
  <c r="L108" i="8"/>
  <c r="K108" i="8"/>
  <c r="Q107" i="8"/>
  <c r="P107" i="8"/>
  <c r="O107" i="8"/>
  <c r="N107" i="8"/>
  <c r="M107" i="8"/>
  <c r="L107" i="8"/>
  <c r="K107" i="8"/>
  <c r="P106" i="8"/>
  <c r="O106" i="8"/>
  <c r="N106" i="8"/>
  <c r="M106" i="8"/>
  <c r="L106" i="8"/>
  <c r="Q106" i="8" s="1"/>
  <c r="K106" i="8"/>
  <c r="Q105" i="8"/>
  <c r="P105" i="8"/>
  <c r="O105" i="8"/>
  <c r="N105" i="8"/>
  <c r="M105" i="8"/>
  <c r="L105" i="8"/>
  <c r="K105" i="8"/>
  <c r="Q104" i="8"/>
  <c r="P104" i="8"/>
  <c r="O104" i="8"/>
  <c r="N104" i="8"/>
  <c r="M104" i="8"/>
  <c r="L104" i="8"/>
  <c r="K104" i="8"/>
  <c r="Q103" i="8"/>
  <c r="P103" i="8"/>
  <c r="O103" i="8"/>
  <c r="N103" i="8"/>
  <c r="M103" i="8"/>
  <c r="L103" i="8"/>
  <c r="K103" i="8"/>
  <c r="P102" i="8"/>
  <c r="O102" i="8"/>
  <c r="N102" i="8"/>
  <c r="M102" i="8"/>
  <c r="L102" i="8"/>
  <c r="Q102" i="8" s="1"/>
  <c r="K102" i="8"/>
  <c r="Q101" i="8"/>
  <c r="P101" i="8"/>
  <c r="O101" i="8"/>
  <c r="N101" i="8"/>
  <c r="M101" i="8"/>
  <c r="L101" i="8"/>
  <c r="K101" i="8"/>
  <c r="P100" i="8"/>
  <c r="O100" i="8"/>
  <c r="N100" i="8"/>
  <c r="M100" i="8"/>
  <c r="L100" i="8"/>
  <c r="K100" i="8"/>
  <c r="Q99" i="8"/>
  <c r="P99" i="8"/>
  <c r="O99" i="8"/>
  <c r="N99" i="8"/>
  <c r="M99" i="8"/>
  <c r="L99" i="8"/>
  <c r="K99" i="8"/>
  <c r="P98" i="8"/>
  <c r="O98" i="8"/>
  <c r="N98" i="8"/>
  <c r="M98" i="8"/>
  <c r="L98" i="8"/>
  <c r="Q98" i="8" s="1"/>
  <c r="K98" i="8"/>
  <c r="Q97" i="8"/>
  <c r="P97" i="8"/>
  <c r="O97" i="8"/>
  <c r="N97" i="8"/>
  <c r="M97" i="8"/>
  <c r="L97" i="8"/>
  <c r="K97" i="8"/>
  <c r="Q96" i="8"/>
  <c r="P96" i="8"/>
  <c r="O96" i="8"/>
  <c r="N96" i="8"/>
  <c r="M96" i="8"/>
  <c r="L96" i="8"/>
  <c r="K96" i="8"/>
  <c r="Q95" i="8"/>
  <c r="P95" i="8"/>
  <c r="O95" i="8"/>
  <c r="N95" i="8"/>
  <c r="M95" i="8"/>
  <c r="L95" i="8"/>
  <c r="K95" i="8"/>
  <c r="P94" i="8"/>
  <c r="O94" i="8"/>
  <c r="N94" i="8"/>
  <c r="M94" i="8"/>
  <c r="L94" i="8"/>
  <c r="Q94" i="8" s="1"/>
  <c r="K94" i="8"/>
  <c r="Q93" i="8"/>
  <c r="P93" i="8"/>
  <c r="O93" i="8"/>
  <c r="N93" i="8"/>
  <c r="M93" i="8"/>
  <c r="L93" i="8"/>
  <c r="K93" i="8"/>
  <c r="P92" i="8"/>
  <c r="O92" i="8"/>
  <c r="N92" i="8"/>
  <c r="M92" i="8"/>
  <c r="L92" i="8"/>
  <c r="K92" i="8"/>
  <c r="Q91" i="8"/>
  <c r="P91" i="8"/>
  <c r="O91" i="8"/>
  <c r="N91" i="8"/>
  <c r="M91" i="8"/>
  <c r="L91" i="8"/>
  <c r="K91" i="8"/>
  <c r="P90" i="8"/>
  <c r="O90" i="8"/>
  <c r="N90" i="8"/>
  <c r="M90" i="8"/>
  <c r="L90" i="8"/>
  <c r="Q90" i="8" s="1"/>
  <c r="K90" i="8"/>
  <c r="Q89" i="8"/>
  <c r="P89" i="8"/>
  <c r="O89" i="8"/>
  <c r="N89" i="8"/>
  <c r="M89" i="8"/>
  <c r="L89" i="8"/>
  <c r="K89" i="8"/>
  <c r="Q88" i="8"/>
  <c r="P88" i="8"/>
  <c r="O88" i="8"/>
  <c r="N88" i="8"/>
  <c r="M88" i="8"/>
  <c r="L88" i="8"/>
  <c r="K88" i="8"/>
  <c r="Q87" i="8"/>
  <c r="P87" i="8"/>
  <c r="O87" i="8"/>
  <c r="M87" i="8"/>
  <c r="L87" i="8"/>
  <c r="K87" i="8"/>
  <c r="P86" i="8"/>
  <c r="O86" i="8"/>
  <c r="N86" i="8"/>
  <c r="M86" i="8"/>
  <c r="L86" i="8"/>
  <c r="Q86" i="8" s="1"/>
  <c r="K86" i="8"/>
  <c r="Q85" i="8"/>
  <c r="P85" i="8"/>
  <c r="O85" i="8"/>
  <c r="N85" i="8"/>
  <c r="M85" i="8"/>
  <c r="L85" i="8"/>
  <c r="K85" i="8"/>
  <c r="R84" i="8"/>
  <c r="Q84" i="8"/>
  <c r="P84" i="8"/>
  <c r="O84" i="8"/>
  <c r="N84" i="8"/>
  <c r="M84" i="8"/>
  <c r="L84" i="8"/>
  <c r="K84" i="8"/>
  <c r="R83" i="8"/>
  <c r="Q83" i="8"/>
  <c r="P83" i="8"/>
  <c r="O83" i="8"/>
  <c r="N83" i="8"/>
  <c r="M83" i="8"/>
  <c r="L83" i="8"/>
  <c r="K83" i="8"/>
  <c r="R82" i="8"/>
  <c r="Q82" i="8"/>
  <c r="P82" i="8"/>
  <c r="O82" i="8"/>
  <c r="N82" i="8"/>
  <c r="M82" i="8"/>
  <c r="L82" i="8"/>
  <c r="K82" i="8"/>
  <c r="R81" i="8"/>
  <c r="Q81" i="8"/>
  <c r="P81" i="8"/>
  <c r="O81" i="8"/>
  <c r="N81" i="8"/>
  <c r="M81" i="8"/>
  <c r="L81" i="8"/>
  <c r="K81" i="8"/>
  <c r="R80" i="8"/>
  <c r="Q80" i="8"/>
  <c r="P80" i="8"/>
  <c r="O80" i="8"/>
  <c r="N80" i="8"/>
  <c r="M80" i="8"/>
  <c r="L80" i="8"/>
  <c r="K80" i="8"/>
  <c r="R79" i="8"/>
  <c r="Q79" i="8"/>
  <c r="P79" i="8"/>
  <c r="O79" i="8"/>
  <c r="N79" i="8"/>
  <c r="M79" i="8"/>
  <c r="L79" i="8"/>
  <c r="K79" i="8"/>
  <c r="R78" i="8"/>
  <c r="Q78" i="8"/>
  <c r="P78" i="8"/>
  <c r="O78" i="8"/>
  <c r="N78" i="8"/>
  <c r="M78" i="8"/>
  <c r="L78" i="8"/>
  <c r="K78" i="8"/>
  <c r="R77" i="8"/>
  <c r="Q77" i="8"/>
  <c r="P77" i="8"/>
  <c r="O77" i="8"/>
  <c r="N77" i="8"/>
  <c r="M77" i="8"/>
  <c r="L77" i="8"/>
  <c r="K77" i="8"/>
  <c r="R76" i="8"/>
  <c r="Q76" i="8"/>
  <c r="P76" i="8"/>
  <c r="O76" i="8"/>
  <c r="N76" i="8"/>
  <c r="M76" i="8"/>
  <c r="L76" i="8"/>
  <c r="K76" i="8"/>
  <c r="R75" i="8"/>
  <c r="Q75" i="8"/>
  <c r="P75" i="8"/>
  <c r="O75" i="8"/>
  <c r="N75" i="8"/>
  <c r="M75" i="8"/>
  <c r="L75" i="8"/>
  <c r="K75" i="8"/>
  <c r="R74" i="8"/>
  <c r="Q74" i="8"/>
  <c r="P74" i="8"/>
  <c r="O74" i="8"/>
  <c r="N74" i="8"/>
  <c r="M74" i="8"/>
  <c r="L74" i="8"/>
  <c r="K74" i="8"/>
  <c r="R73" i="8"/>
  <c r="Q73" i="8"/>
  <c r="P73" i="8"/>
  <c r="O73" i="8"/>
  <c r="N73" i="8"/>
  <c r="M73" i="8"/>
  <c r="L73" i="8"/>
  <c r="K73" i="8"/>
  <c r="R72" i="8"/>
  <c r="Q72" i="8"/>
  <c r="P72" i="8"/>
  <c r="O72" i="8"/>
  <c r="N72" i="8"/>
  <c r="M72" i="8"/>
  <c r="L72" i="8"/>
  <c r="K72" i="8"/>
  <c r="R71" i="8"/>
  <c r="Q71" i="8"/>
  <c r="P71" i="8"/>
  <c r="O71" i="8"/>
  <c r="N71" i="8"/>
  <c r="M71" i="8"/>
  <c r="L71" i="8"/>
  <c r="K71" i="8"/>
  <c r="R70" i="8"/>
  <c r="Q70" i="8"/>
  <c r="P70" i="8"/>
  <c r="O70" i="8"/>
  <c r="N70" i="8"/>
  <c r="M70" i="8"/>
  <c r="L70" i="8"/>
  <c r="K70" i="8"/>
  <c r="R69" i="8"/>
  <c r="Q69" i="8"/>
  <c r="P69" i="8"/>
  <c r="O69" i="8"/>
  <c r="N69" i="8"/>
  <c r="M69" i="8"/>
  <c r="L69" i="8"/>
  <c r="K69" i="8"/>
  <c r="R68" i="8"/>
  <c r="Q68" i="8"/>
  <c r="P68" i="8"/>
  <c r="O68" i="8"/>
  <c r="N68" i="8"/>
  <c r="M68" i="8"/>
  <c r="L68" i="8"/>
  <c r="K68" i="8"/>
  <c r="R67" i="8"/>
  <c r="Q67" i="8"/>
  <c r="P67" i="8"/>
  <c r="O67" i="8"/>
  <c r="N67" i="8"/>
  <c r="M67" i="8"/>
  <c r="L67" i="8"/>
  <c r="K67" i="8"/>
  <c r="R66" i="8"/>
  <c r="Q66" i="8"/>
  <c r="P66" i="8"/>
  <c r="O66" i="8"/>
  <c r="N66" i="8"/>
  <c r="M66" i="8"/>
  <c r="L66" i="8"/>
  <c r="K66" i="8"/>
  <c r="R65" i="8"/>
  <c r="Q65" i="8"/>
  <c r="P65" i="8"/>
  <c r="O65" i="8"/>
  <c r="N65" i="8"/>
  <c r="M65" i="8"/>
  <c r="L65" i="8"/>
  <c r="K65" i="8"/>
  <c r="R64" i="8"/>
  <c r="Q64" i="8"/>
  <c r="P64" i="8"/>
  <c r="O64" i="8"/>
  <c r="N64" i="8"/>
  <c r="M64" i="8"/>
  <c r="L64" i="8"/>
  <c r="K64" i="8"/>
  <c r="R63" i="8"/>
  <c r="Q63" i="8"/>
  <c r="P63" i="8"/>
  <c r="O63" i="8"/>
  <c r="N63" i="8"/>
  <c r="M63" i="8"/>
  <c r="L63" i="8"/>
  <c r="K63" i="8"/>
  <c r="R62" i="8"/>
  <c r="Q62" i="8"/>
  <c r="P62" i="8"/>
  <c r="O62" i="8"/>
  <c r="N62" i="8"/>
  <c r="M62" i="8"/>
  <c r="L62" i="8"/>
  <c r="K62" i="8"/>
  <c r="R61" i="8"/>
  <c r="Q61" i="8"/>
  <c r="P61" i="8"/>
  <c r="O61" i="8"/>
  <c r="N61" i="8"/>
  <c r="M61" i="8"/>
  <c r="L61" i="8"/>
  <c r="K61" i="8"/>
  <c r="R60" i="8"/>
  <c r="Q60" i="8"/>
  <c r="P60" i="8"/>
  <c r="O60" i="8"/>
  <c r="N60" i="8"/>
  <c r="M60" i="8"/>
  <c r="L60" i="8"/>
  <c r="K60" i="8"/>
  <c r="R59" i="8"/>
  <c r="Q59" i="8"/>
  <c r="P59" i="8"/>
  <c r="O59" i="8"/>
  <c r="N59" i="8"/>
  <c r="M59" i="8"/>
  <c r="L59" i="8"/>
  <c r="K59" i="8"/>
  <c r="R58" i="8"/>
  <c r="Q58" i="8"/>
  <c r="P58" i="8"/>
  <c r="O58" i="8"/>
  <c r="N58" i="8"/>
  <c r="M58" i="8"/>
  <c r="L58" i="8"/>
  <c r="K58" i="8"/>
  <c r="R57" i="8"/>
  <c r="Q57" i="8"/>
  <c r="P57" i="8"/>
  <c r="O57" i="8"/>
  <c r="N57" i="8"/>
  <c r="M57" i="8"/>
  <c r="L57" i="8"/>
  <c r="K57" i="8"/>
  <c r="R56" i="8"/>
  <c r="Q56" i="8"/>
  <c r="P56" i="8"/>
  <c r="O56" i="8"/>
  <c r="N56" i="8"/>
  <c r="M56" i="8"/>
  <c r="L56" i="8"/>
  <c r="K56" i="8"/>
  <c r="R55" i="8"/>
  <c r="Q55" i="8"/>
  <c r="P55" i="8"/>
  <c r="O55" i="8"/>
  <c r="N55" i="8"/>
  <c r="M55" i="8"/>
  <c r="L55" i="8"/>
  <c r="K55" i="8"/>
  <c r="R54" i="8"/>
  <c r="P54" i="8"/>
  <c r="O54" i="8"/>
  <c r="N54" i="8"/>
  <c r="M54" i="8"/>
  <c r="L54" i="8"/>
  <c r="K54" i="8"/>
  <c r="R53" i="8"/>
  <c r="P53" i="8"/>
  <c r="O53" i="8"/>
  <c r="N53" i="8"/>
  <c r="M53" i="8"/>
  <c r="L53" i="8"/>
  <c r="K53" i="8"/>
  <c r="R52" i="8"/>
  <c r="P52" i="8"/>
  <c r="O52" i="8"/>
  <c r="N52" i="8"/>
  <c r="M52" i="8"/>
  <c r="L52" i="8"/>
  <c r="K52" i="8"/>
  <c r="R51" i="8"/>
  <c r="P51" i="8"/>
  <c r="O51" i="8"/>
  <c r="N51" i="8"/>
  <c r="M51" i="8"/>
  <c r="L51" i="8"/>
  <c r="K51" i="8"/>
  <c r="R50" i="8"/>
  <c r="P50" i="8"/>
  <c r="O50" i="8"/>
  <c r="N50" i="8"/>
  <c r="M50" i="8"/>
  <c r="L50" i="8"/>
  <c r="K50" i="8"/>
  <c r="R49" i="8"/>
  <c r="P49" i="8"/>
  <c r="O49" i="8"/>
  <c r="N49" i="8"/>
  <c r="M49" i="8"/>
  <c r="L49" i="8"/>
  <c r="K49" i="8"/>
  <c r="R48" i="8"/>
  <c r="P48" i="8"/>
  <c r="O48" i="8"/>
  <c r="N48" i="8"/>
  <c r="M48" i="8"/>
  <c r="L48" i="8"/>
  <c r="K48" i="8"/>
  <c r="R47" i="8"/>
  <c r="P47" i="8"/>
  <c r="O47" i="8"/>
  <c r="N47" i="8"/>
  <c r="M47" i="8"/>
  <c r="L47" i="8"/>
  <c r="K47" i="8"/>
  <c r="R46" i="8"/>
  <c r="P46" i="8"/>
  <c r="O46" i="8"/>
  <c r="N46" i="8"/>
  <c r="M46" i="8"/>
  <c r="L46" i="8"/>
  <c r="K46" i="8"/>
  <c r="P45" i="8"/>
  <c r="O45" i="8"/>
  <c r="N45" i="8"/>
  <c r="M45" i="8"/>
  <c r="L45" i="8"/>
  <c r="K45" i="8"/>
  <c r="P44" i="8"/>
  <c r="O44" i="8"/>
  <c r="N44" i="8"/>
  <c r="M44" i="8"/>
  <c r="L44" i="8"/>
  <c r="K44" i="8"/>
  <c r="P43" i="8"/>
  <c r="O43" i="8"/>
  <c r="N43" i="8"/>
  <c r="M43" i="8"/>
  <c r="L43" i="8"/>
  <c r="K43" i="8"/>
  <c r="P42" i="8"/>
  <c r="O42" i="8"/>
  <c r="N42" i="8"/>
  <c r="M42" i="8"/>
  <c r="L42" i="8"/>
  <c r="K42" i="8"/>
  <c r="P41" i="8"/>
  <c r="O41" i="8"/>
  <c r="N41" i="8"/>
  <c r="M41" i="8"/>
  <c r="L41" i="8"/>
  <c r="K41" i="8"/>
  <c r="P40" i="8"/>
  <c r="O40" i="8"/>
  <c r="N40" i="8"/>
  <c r="M40" i="8"/>
  <c r="L40" i="8"/>
  <c r="K40" i="8"/>
  <c r="P39" i="8"/>
  <c r="O39" i="8"/>
  <c r="M39" i="8"/>
  <c r="L39" i="8"/>
  <c r="K39" i="8"/>
  <c r="P38" i="8"/>
  <c r="O38" i="8"/>
  <c r="N38" i="8"/>
  <c r="M38" i="8"/>
  <c r="L38" i="8"/>
  <c r="K38" i="8"/>
  <c r="P37" i="8"/>
  <c r="O37" i="8"/>
  <c r="N37" i="8"/>
  <c r="M37" i="8"/>
  <c r="L37" i="8"/>
  <c r="K37" i="8"/>
  <c r="P36" i="8"/>
  <c r="O36" i="8"/>
  <c r="N36" i="8"/>
  <c r="M36" i="8"/>
  <c r="L36" i="8"/>
  <c r="K36" i="8"/>
  <c r="P35" i="8"/>
  <c r="O35" i="8"/>
  <c r="N35" i="8"/>
  <c r="M35" i="8"/>
  <c r="L35" i="8"/>
  <c r="K35" i="8"/>
  <c r="P34" i="8"/>
  <c r="O34" i="8"/>
  <c r="N34" i="8"/>
  <c r="M34" i="8"/>
  <c r="L34" i="8"/>
  <c r="K34" i="8"/>
  <c r="P33" i="8"/>
  <c r="O33" i="8"/>
  <c r="N33" i="8"/>
  <c r="M33" i="8"/>
  <c r="L33" i="8"/>
  <c r="K33" i="8"/>
  <c r="P32" i="8"/>
  <c r="O32" i="8"/>
  <c r="N32" i="8"/>
  <c r="M32" i="8"/>
  <c r="L32" i="8"/>
  <c r="K32" i="8"/>
  <c r="P31" i="8"/>
  <c r="O31" i="8"/>
  <c r="N31" i="8"/>
  <c r="M31" i="8"/>
  <c r="L31" i="8"/>
  <c r="K31" i="8"/>
  <c r="P30" i="8"/>
  <c r="O30" i="8"/>
  <c r="N30" i="8"/>
  <c r="M30" i="8"/>
  <c r="L30" i="8"/>
  <c r="K30" i="8"/>
  <c r="P29" i="8"/>
  <c r="O29" i="8"/>
  <c r="N29" i="8"/>
  <c r="M29" i="8"/>
  <c r="L29" i="8"/>
  <c r="K29" i="8"/>
  <c r="P28" i="8"/>
  <c r="O28" i="8"/>
  <c r="N28" i="8"/>
  <c r="M28" i="8"/>
  <c r="L28" i="8"/>
  <c r="K28" i="8"/>
  <c r="P27" i="8"/>
  <c r="O27" i="8"/>
  <c r="N27" i="8"/>
  <c r="M27" i="8"/>
  <c r="L27" i="8"/>
  <c r="K27" i="8"/>
  <c r="P26" i="8"/>
  <c r="O26" i="8"/>
  <c r="N26" i="8"/>
  <c r="M26" i="8"/>
  <c r="L26" i="8"/>
  <c r="K26" i="8"/>
  <c r="P25" i="8"/>
  <c r="O25" i="8"/>
  <c r="N25" i="8"/>
  <c r="M25" i="8"/>
  <c r="L25" i="8"/>
  <c r="K25" i="8"/>
  <c r="P24" i="8"/>
  <c r="O24" i="8"/>
  <c r="N24" i="8"/>
  <c r="M24" i="8"/>
  <c r="L24" i="8"/>
  <c r="K24" i="8"/>
  <c r="P23" i="8"/>
  <c r="O23" i="8"/>
  <c r="N23" i="8"/>
  <c r="M23" i="8"/>
  <c r="L23" i="8"/>
  <c r="K23" i="8"/>
  <c r="P22" i="8"/>
  <c r="O22" i="8"/>
  <c r="N22" i="8"/>
  <c r="M22" i="8"/>
  <c r="L22" i="8"/>
  <c r="K22" i="8"/>
  <c r="P21" i="8"/>
  <c r="O21" i="8"/>
  <c r="N21" i="8"/>
  <c r="M21" i="8"/>
  <c r="L21" i="8"/>
  <c r="K21" i="8"/>
  <c r="P20" i="8"/>
  <c r="O20" i="8"/>
  <c r="N20" i="8"/>
  <c r="M20" i="8"/>
  <c r="L20" i="8"/>
  <c r="K20" i="8"/>
  <c r="P19" i="8"/>
  <c r="O19" i="8"/>
  <c r="N19" i="8"/>
  <c r="M19" i="8"/>
  <c r="L19" i="8"/>
  <c r="K19" i="8"/>
  <c r="P18" i="8"/>
  <c r="O18" i="8"/>
  <c r="N18" i="8"/>
  <c r="M18" i="8"/>
  <c r="L18" i="8"/>
  <c r="K18" i="8"/>
  <c r="P17" i="8"/>
  <c r="O17" i="8"/>
  <c r="N17" i="8"/>
  <c r="M17" i="8"/>
  <c r="L17" i="8"/>
  <c r="K17" i="8"/>
  <c r="P16" i="8"/>
  <c r="O16" i="8"/>
  <c r="N16" i="8"/>
  <c r="M16" i="8"/>
  <c r="L16" i="8"/>
  <c r="K16" i="8"/>
  <c r="P15" i="8"/>
  <c r="O15" i="8"/>
  <c r="N15" i="8"/>
  <c r="M15" i="8"/>
  <c r="L15" i="8"/>
  <c r="K15" i="8"/>
  <c r="P14" i="8"/>
  <c r="O14" i="8"/>
  <c r="N14" i="8"/>
  <c r="M14" i="8"/>
  <c r="L14" i="8"/>
  <c r="K14" i="8"/>
  <c r="P13" i="8"/>
  <c r="O13" i="8"/>
  <c r="N13" i="8"/>
  <c r="M13" i="8"/>
  <c r="L13" i="8"/>
  <c r="K13" i="8"/>
  <c r="P12" i="8"/>
  <c r="O12" i="8"/>
  <c r="N12" i="8"/>
  <c r="M12" i="8"/>
  <c r="L12" i="8"/>
  <c r="K12" i="8"/>
  <c r="P11" i="8"/>
  <c r="O11" i="8"/>
  <c r="N11" i="8"/>
  <c r="M11" i="8"/>
  <c r="L11" i="8"/>
  <c r="K11" i="8"/>
  <c r="P10" i="8"/>
  <c r="O10" i="8"/>
  <c r="N10" i="8"/>
  <c r="M10" i="8"/>
  <c r="L10" i="8"/>
  <c r="K10" i="8"/>
  <c r="P9" i="8"/>
  <c r="O9" i="8"/>
  <c r="N9" i="8"/>
  <c r="M9" i="8"/>
  <c r="L9" i="8"/>
  <c r="K9" i="8"/>
  <c r="P8" i="8"/>
  <c r="O8" i="8"/>
  <c r="N8" i="8"/>
  <c r="M8" i="8"/>
  <c r="L8" i="8"/>
  <c r="K8" i="8"/>
  <c r="P7" i="8"/>
  <c r="O7" i="8"/>
  <c r="N7" i="8"/>
  <c r="M7" i="8"/>
  <c r="L7" i="8"/>
  <c r="K7" i="8"/>
  <c r="P6" i="8"/>
  <c r="O6" i="8"/>
  <c r="C6" i="9" s="1"/>
  <c r="D6" i="9" s="1"/>
  <c r="N6" i="8"/>
  <c r="M6" i="8"/>
  <c r="L6" i="8"/>
  <c r="K6" i="8"/>
  <c r="B16" i="12" s="1"/>
  <c r="D16" i="12" s="1"/>
  <c r="D19" i="2"/>
  <c r="D18" i="2"/>
  <c r="H174" i="11" l="1"/>
  <c r="I174" i="11" s="1"/>
  <c r="E6" i="9"/>
  <c r="F6" i="9" s="1"/>
  <c r="H6" i="11"/>
  <c r="I6" i="11" s="1"/>
  <c r="H175" i="11"/>
  <c r="I175" i="11" s="1"/>
  <c r="H7" i="11"/>
  <c r="I7" i="11" s="1"/>
  <c r="H176" i="11"/>
  <c r="I176" i="11" s="1"/>
  <c r="H8" i="11"/>
  <c r="I8" i="11" s="1"/>
  <c r="H177" i="11"/>
  <c r="I177" i="11" s="1"/>
  <c r="H9" i="11"/>
  <c r="I9" i="11" s="1"/>
  <c r="H178" i="11"/>
  <c r="I178" i="11" s="1"/>
  <c r="H10" i="11"/>
  <c r="I10" i="11" s="1"/>
  <c r="H179" i="11"/>
  <c r="I179" i="11" s="1"/>
  <c r="H11" i="11"/>
  <c r="I11" i="11" s="1"/>
  <c r="H180" i="11"/>
  <c r="I180" i="11" s="1"/>
  <c r="H12" i="11"/>
  <c r="I12" i="11" s="1"/>
  <c r="H181" i="11"/>
  <c r="I181" i="11" s="1"/>
  <c r="H13" i="11"/>
  <c r="I13" i="11" s="1"/>
  <c r="H182" i="11"/>
  <c r="I182" i="11" s="1"/>
  <c r="H14" i="11"/>
  <c r="I14" i="11" s="1"/>
  <c r="H183" i="11"/>
  <c r="I183" i="11" s="1"/>
  <c r="H15" i="11"/>
  <c r="I15" i="11" s="1"/>
  <c r="H184" i="11"/>
  <c r="I184" i="11" s="1"/>
  <c r="H16" i="11"/>
  <c r="I16" i="11" s="1"/>
  <c r="H185" i="11"/>
  <c r="I185" i="11" s="1"/>
  <c r="H17" i="11"/>
  <c r="I17" i="11" s="1"/>
  <c r="H186" i="11"/>
  <c r="I186" i="11" s="1"/>
  <c r="H18" i="11"/>
  <c r="I18" i="11" s="1"/>
  <c r="H187" i="11"/>
  <c r="I187" i="11" s="1"/>
  <c r="H19" i="11"/>
  <c r="I19" i="11" s="1"/>
  <c r="H188" i="11"/>
  <c r="I188" i="11" s="1"/>
  <c r="H20" i="11"/>
  <c r="I20" i="11" s="1"/>
  <c r="H189" i="11"/>
  <c r="I189" i="11" s="1"/>
  <c r="H21" i="11"/>
  <c r="I21" i="11" s="1"/>
  <c r="H190" i="11"/>
  <c r="I190" i="11" s="1"/>
  <c r="H22" i="11"/>
  <c r="I22" i="11" s="1"/>
  <c r="H191" i="11"/>
  <c r="I191" i="11" s="1"/>
  <c r="H23" i="11"/>
  <c r="I23" i="11" s="1"/>
  <c r="H192" i="11"/>
  <c r="I192" i="11" s="1"/>
  <c r="H24" i="11"/>
  <c r="I24" i="11" s="1"/>
  <c r="H193" i="11"/>
  <c r="I193" i="11" s="1"/>
  <c r="H25" i="11"/>
  <c r="I25" i="11" s="1"/>
  <c r="H194" i="11"/>
  <c r="I194" i="11" s="1"/>
  <c r="H26" i="11"/>
  <c r="I26" i="11" s="1"/>
  <c r="H195" i="11"/>
  <c r="I195" i="11" s="1"/>
  <c r="H27" i="11"/>
  <c r="I27" i="11" s="1"/>
  <c r="H196" i="11"/>
  <c r="I196" i="11" s="1"/>
  <c r="H28" i="11"/>
  <c r="I28" i="11" s="1"/>
  <c r="H197" i="11"/>
  <c r="I197" i="11" s="1"/>
  <c r="H29" i="11"/>
  <c r="I29" i="11" s="1"/>
  <c r="H198" i="11"/>
  <c r="I198" i="11" s="1"/>
  <c r="H30" i="11"/>
  <c r="I30" i="11" s="1"/>
  <c r="H199" i="11"/>
  <c r="I199" i="11" s="1"/>
  <c r="H31" i="11"/>
  <c r="I31" i="11" s="1"/>
  <c r="H200" i="11"/>
  <c r="I200" i="11" s="1"/>
  <c r="H32" i="11"/>
  <c r="I32" i="11" s="1"/>
  <c r="H201" i="11"/>
  <c r="I201" i="11" s="1"/>
  <c r="H33" i="11"/>
  <c r="I33" i="11" s="1"/>
  <c r="H202" i="11"/>
  <c r="I202" i="11" s="1"/>
  <c r="H34" i="11"/>
  <c r="I34" i="11" s="1"/>
  <c r="H203" i="11"/>
  <c r="I203" i="11" s="1"/>
  <c r="H35" i="11"/>
  <c r="I35" i="11" s="1"/>
  <c r="H204" i="11"/>
  <c r="I204" i="11" s="1"/>
  <c r="H36" i="11"/>
  <c r="I36" i="11" s="1"/>
  <c r="H205" i="11"/>
  <c r="I205" i="11" s="1"/>
  <c r="H37" i="11"/>
  <c r="I37" i="11" s="1"/>
  <c r="H206" i="11"/>
  <c r="I206" i="11" s="1"/>
  <c r="H38" i="11"/>
  <c r="I38" i="11" s="1"/>
  <c r="H207" i="11"/>
  <c r="I207" i="11" s="1"/>
  <c r="H39" i="11"/>
  <c r="I39" i="11" s="1"/>
  <c r="H208" i="11"/>
  <c r="I208" i="11" s="1"/>
  <c r="H40" i="11"/>
  <c r="I40" i="11" s="1"/>
  <c r="H209" i="11"/>
  <c r="I209" i="11" s="1"/>
  <c r="H41" i="11"/>
  <c r="I41" i="11" s="1"/>
  <c r="H210" i="11"/>
  <c r="I210" i="11" s="1"/>
  <c r="H42" i="11"/>
  <c r="I42" i="11" s="1"/>
  <c r="H211" i="11"/>
  <c r="I211" i="11" s="1"/>
  <c r="H43" i="11"/>
  <c r="I43" i="11" s="1"/>
  <c r="H212" i="11"/>
  <c r="I212" i="11" s="1"/>
  <c r="H44" i="11"/>
  <c r="I44" i="11" s="1"/>
  <c r="H213" i="11"/>
  <c r="I213" i="11" s="1"/>
  <c r="H45" i="11"/>
  <c r="I45" i="11" s="1"/>
  <c r="H214" i="11"/>
  <c r="I214" i="11" s="1"/>
  <c r="H46" i="11"/>
  <c r="I46" i="11" s="1"/>
  <c r="H215" i="11"/>
  <c r="I215" i="11" s="1"/>
  <c r="H47" i="11"/>
  <c r="I47" i="11" s="1"/>
  <c r="H216" i="11"/>
  <c r="I216" i="11" s="1"/>
  <c r="H48" i="11"/>
  <c r="I48" i="11" s="1"/>
  <c r="H217" i="11"/>
  <c r="I217" i="11" s="1"/>
  <c r="H49" i="11"/>
  <c r="I49" i="11" s="1"/>
  <c r="H218" i="11"/>
  <c r="I218" i="11" s="1"/>
  <c r="H50" i="11"/>
  <c r="I50" i="11" s="1"/>
  <c r="H219" i="11"/>
  <c r="I219" i="11" s="1"/>
  <c r="H51" i="11"/>
  <c r="I51" i="11" s="1"/>
  <c r="H220" i="11"/>
  <c r="I220" i="11" s="1"/>
  <c r="H52" i="11"/>
  <c r="I52" i="11" s="1"/>
  <c r="H221" i="11"/>
  <c r="I221" i="11" s="1"/>
  <c r="H53" i="11"/>
  <c r="I53" i="11" s="1"/>
  <c r="H222" i="11"/>
  <c r="I222" i="11" s="1"/>
  <c r="E7" i="9"/>
  <c r="F7" i="9" s="1"/>
  <c r="H54" i="11"/>
  <c r="I54" i="11" s="1"/>
  <c r="H223" i="11"/>
  <c r="I223" i="11" s="1"/>
  <c r="H55" i="11"/>
  <c r="I55" i="11" s="1"/>
  <c r="H224" i="11"/>
  <c r="I224" i="11" s="1"/>
  <c r="H56" i="11"/>
  <c r="I56" i="11" s="1"/>
  <c r="H225" i="11"/>
  <c r="I225" i="11" s="1"/>
  <c r="H57" i="11"/>
  <c r="I57" i="11" s="1"/>
  <c r="H226" i="11"/>
  <c r="I226" i="11" s="1"/>
  <c r="H58" i="11"/>
  <c r="I58" i="11" s="1"/>
  <c r="H227" i="11"/>
  <c r="I227" i="11" s="1"/>
  <c r="H59" i="11"/>
  <c r="I59" i="11" s="1"/>
  <c r="H228" i="11"/>
  <c r="I228" i="11" s="1"/>
  <c r="H60" i="11"/>
  <c r="I60" i="11" s="1"/>
  <c r="H229" i="11"/>
  <c r="I229" i="11" s="1"/>
  <c r="H61" i="11"/>
  <c r="I61" i="11" s="1"/>
  <c r="H230" i="11"/>
  <c r="I230" i="11" s="1"/>
  <c r="H62" i="11"/>
  <c r="I62" i="11" s="1"/>
  <c r="H231" i="11"/>
  <c r="I231" i="11" s="1"/>
  <c r="H63" i="11"/>
  <c r="I63" i="11" s="1"/>
  <c r="H232" i="11"/>
  <c r="I232" i="11" s="1"/>
  <c r="H64" i="11"/>
  <c r="I64" i="11" s="1"/>
  <c r="H233" i="11"/>
  <c r="I233" i="11" s="1"/>
  <c r="H65" i="11"/>
  <c r="I65" i="11" s="1"/>
  <c r="H234" i="11"/>
  <c r="I234" i="11" s="1"/>
  <c r="H66" i="11"/>
  <c r="I66" i="11" s="1"/>
  <c r="H235" i="11"/>
  <c r="I235" i="11" s="1"/>
  <c r="H67" i="11"/>
  <c r="I67" i="11" s="1"/>
  <c r="H236" i="11"/>
  <c r="I236" i="11" s="1"/>
  <c r="H68" i="11"/>
  <c r="I68" i="11" s="1"/>
  <c r="H237" i="11"/>
  <c r="I237" i="11" s="1"/>
  <c r="H69" i="11"/>
  <c r="I69" i="11" s="1"/>
  <c r="H238" i="11"/>
  <c r="I238" i="11" s="1"/>
  <c r="H70" i="11"/>
  <c r="I70" i="11" s="1"/>
  <c r="H239" i="11"/>
  <c r="I239" i="11" s="1"/>
  <c r="H71" i="11"/>
  <c r="I71" i="11" s="1"/>
  <c r="H240" i="11"/>
  <c r="I240" i="11" s="1"/>
  <c r="H72" i="11"/>
  <c r="I72" i="11" s="1"/>
  <c r="H241" i="11"/>
  <c r="I241" i="11" s="1"/>
  <c r="H73" i="11"/>
  <c r="I73" i="11" s="1"/>
  <c r="H242" i="11"/>
  <c r="I242" i="11" s="1"/>
  <c r="H74" i="11"/>
  <c r="I74" i="11" s="1"/>
  <c r="H243" i="11"/>
  <c r="I243" i="11" s="1"/>
  <c r="H75" i="11"/>
  <c r="I75" i="11" s="1"/>
  <c r="H244" i="11"/>
  <c r="I244" i="11" s="1"/>
  <c r="H76" i="11"/>
  <c r="I76" i="11" s="1"/>
  <c r="H245" i="11"/>
  <c r="I245" i="11" s="1"/>
  <c r="H77" i="11"/>
  <c r="I77" i="11" s="1"/>
  <c r="H246" i="11"/>
  <c r="I246" i="11" s="1"/>
  <c r="H78" i="11"/>
  <c r="I78" i="11" s="1"/>
  <c r="H247" i="11"/>
  <c r="I247" i="11" s="1"/>
  <c r="H79" i="11"/>
  <c r="I79" i="11" s="1"/>
  <c r="H248" i="11"/>
  <c r="I248" i="11" s="1"/>
  <c r="H80" i="11"/>
  <c r="I80" i="11" s="1"/>
  <c r="H249" i="11"/>
  <c r="I249" i="11" s="1"/>
  <c r="H81" i="11"/>
  <c r="I81" i="11" s="1"/>
  <c r="H250" i="11"/>
  <c r="I250" i="11" s="1"/>
  <c r="H82" i="11"/>
  <c r="I82" i="11" s="1"/>
  <c r="H251" i="11"/>
  <c r="I251" i="11" s="1"/>
  <c r="H83" i="11"/>
  <c r="I83" i="11" s="1"/>
  <c r="H252" i="11"/>
  <c r="I252" i="11" s="1"/>
  <c r="H84" i="11"/>
  <c r="I84" i="11" s="1"/>
  <c r="H253" i="11"/>
  <c r="I253" i="11" s="1"/>
  <c r="H85" i="11"/>
  <c r="I85" i="11" s="1"/>
  <c r="R85" i="8"/>
  <c r="H261" i="11"/>
  <c r="I261" i="11" s="1"/>
  <c r="H93" i="11"/>
  <c r="I93" i="11" s="1"/>
  <c r="R93" i="8"/>
  <c r="H269" i="11"/>
  <c r="I269" i="11" s="1"/>
  <c r="H101" i="11"/>
  <c r="I101" i="11" s="1"/>
  <c r="R101" i="8"/>
  <c r="G8" i="9"/>
  <c r="H8" i="9"/>
  <c r="H277" i="11"/>
  <c r="I277" i="11" s="1"/>
  <c r="H109" i="11"/>
  <c r="I109" i="11" s="1"/>
  <c r="R109" i="8"/>
  <c r="H285" i="11"/>
  <c r="I285" i="11" s="1"/>
  <c r="H117" i="11"/>
  <c r="I117" i="11" s="1"/>
  <c r="R117" i="8"/>
  <c r="H293" i="11"/>
  <c r="I293" i="11" s="1"/>
  <c r="H125" i="11"/>
  <c r="I125" i="11" s="1"/>
  <c r="R125" i="8"/>
  <c r="H301" i="11"/>
  <c r="I301" i="11" s="1"/>
  <c r="H133" i="11"/>
  <c r="I133" i="11" s="1"/>
  <c r="R133" i="8"/>
  <c r="H309" i="11"/>
  <c r="I309" i="11" s="1"/>
  <c r="H141" i="11"/>
  <c r="I141" i="11" s="1"/>
  <c r="R141" i="8"/>
  <c r="H317" i="11"/>
  <c r="I317" i="11" s="1"/>
  <c r="H149" i="11"/>
  <c r="I149" i="11" s="1"/>
  <c r="R149" i="8"/>
  <c r="H325" i="11"/>
  <c r="I325" i="11" s="1"/>
  <c r="H157" i="11"/>
  <c r="I157" i="11" s="1"/>
  <c r="R157" i="8"/>
  <c r="H333" i="11"/>
  <c r="I333" i="11" s="1"/>
  <c r="H165" i="11"/>
  <c r="I165" i="11" s="1"/>
  <c r="R165" i="8"/>
  <c r="H341" i="11"/>
  <c r="I341" i="11" s="1"/>
  <c r="H173" i="11"/>
  <c r="I173" i="11" s="1"/>
  <c r="R173" i="8"/>
  <c r="H7" i="9"/>
  <c r="G7" i="9"/>
  <c r="H276" i="11"/>
  <c r="I276" i="11" s="1"/>
  <c r="H108" i="11"/>
  <c r="I108" i="11" s="1"/>
  <c r="R108" i="8"/>
  <c r="H284" i="11"/>
  <c r="I284" i="11" s="1"/>
  <c r="H116" i="11"/>
  <c r="I116" i="11" s="1"/>
  <c r="R116" i="8"/>
  <c r="H292" i="11"/>
  <c r="I292" i="11" s="1"/>
  <c r="H124" i="11"/>
  <c r="I124" i="11" s="1"/>
  <c r="R124" i="8"/>
  <c r="H300" i="11"/>
  <c r="I300" i="11" s="1"/>
  <c r="H132" i="11"/>
  <c r="I132" i="11" s="1"/>
  <c r="R132" i="8"/>
  <c r="H308" i="11"/>
  <c r="I308" i="11" s="1"/>
  <c r="H140" i="11"/>
  <c r="I140" i="11" s="1"/>
  <c r="R140" i="8"/>
  <c r="H316" i="11"/>
  <c r="I316" i="11" s="1"/>
  <c r="H148" i="11"/>
  <c r="I148" i="11" s="1"/>
  <c r="R148" i="8"/>
  <c r="H324" i="11"/>
  <c r="I324" i="11" s="1"/>
  <c r="H156" i="11"/>
  <c r="I156" i="11" s="1"/>
  <c r="R156" i="8"/>
  <c r="H332" i="11"/>
  <c r="I332" i="11" s="1"/>
  <c r="H164" i="11"/>
  <c r="I164" i="11" s="1"/>
  <c r="R164" i="8"/>
  <c r="H340" i="11"/>
  <c r="I340" i="11" s="1"/>
  <c r="H172" i="11"/>
  <c r="I172" i="11" s="1"/>
  <c r="R172" i="8"/>
  <c r="H260" i="11"/>
  <c r="I260" i="11" s="1"/>
  <c r="H92" i="11"/>
  <c r="I92" i="11" s="1"/>
  <c r="R92" i="8"/>
  <c r="H268" i="11"/>
  <c r="I268" i="11" s="1"/>
  <c r="H100" i="11"/>
  <c r="I100" i="11" s="1"/>
  <c r="R100" i="8"/>
  <c r="H259" i="11"/>
  <c r="I259" i="11" s="1"/>
  <c r="H91" i="11"/>
  <c r="I91" i="11" s="1"/>
  <c r="R91" i="8"/>
  <c r="H267" i="11"/>
  <c r="I267" i="11" s="1"/>
  <c r="H99" i="11"/>
  <c r="I99" i="11" s="1"/>
  <c r="R99" i="8"/>
  <c r="C8" i="9"/>
  <c r="D8" i="9" s="1"/>
  <c r="H275" i="11"/>
  <c r="I275" i="11" s="1"/>
  <c r="H107" i="11"/>
  <c r="I107" i="11" s="1"/>
  <c r="R107" i="8"/>
  <c r="H283" i="11"/>
  <c r="I283" i="11" s="1"/>
  <c r="H115" i="11"/>
  <c r="I115" i="11" s="1"/>
  <c r="R115" i="8"/>
  <c r="H291" i="11"/>
  <c r="I291" i="11" s="1"/>
  <c r="H123" i="11"/>
  <c r="I123" i="11" s="1"/>
  <c r="R123" i="8"/>
  <c r="H299" i="11"/>
  <c r="I299" i="11" s="1"/>
  <c r="H131" i="11"/>
  <c r="I131" i="11" s="1"/>
  <c r="R131" i="8"/>
  <c r="H307" i="11"/>
  <c r="I307" i="11" s="1"/>
  <c r="H139" i="11"/>
  <c r="I139" i="11" s="1"/>
  <c r="R139" i="8"/>
  <c r="H315" i="11"/>
  <c r="I315" i="11" s="1"/>
  <c r="H147" i="11"/>
  <c r="I147" i="11" s="1"/>
  <c r="R147" i="8"/>
  <c r="H323" i="11"/>
  <c r="I323" i="11" s="1"/>
  <c r="H155" i="11"/>
  <c r="I155" i="11" s="1"/>
  <c r="R155" i="8"/>
  <c r="H331" i="11"/>
  <c r="I331" i="11" s="1"/>
  <c r="H163" i="11"/>
  <c r="I163" i="11" s="1"/>
  <c r="R163" i="8"/>
  <c r="H339" i="11"/>
  <c r="I339" i="11" s="1"/>
  <c r="H171" i="11"/>
  <c r="I171" i="11" s="1"/>
  <c r="R171" i="8"/>
  <c r="J6" i="9"/>
  <c r="J7" i="9"/>
  <c r="C7" i="9"/>
  <c r="D7" i="9" s="1"/>
  <c r="H258" i="11"/>
  <c r="I258" i="11" s="1"/>
  <c r="H90" i="11"/>
  <c r="I90" i="11" s="1"/>
  <c r="R90" i="8"/>
  <c r="H266" i="11"/>
  <c r="I266" i="11" s="1"/>
  <c r="H98" i="11"/>
  <c r="I98" i="11" s="1"/>
  <c r="R98" i="8"/>
  <c r="H274" i="11"/>
  <c r="I274" i="11" s="1"/>
  <c r="H106" i="11"/>
  <c r="I106" i="11" s="1"/>
  <c r="R106" i="8"/>
  <c r="H282" i="11"/>
  <c r="I282" i="11" s="1"/>
  <c r="H114" i="11"/>
  <c r="I114" i="11" s="1"/>
  <c r="R114" i="8"/>
  <c r="H290" i="11"/>
  <c r="I290" i="11" s="1"/>
  <c r="H122" i="11"/>
  <c r="I122" i="11" s="1"/>
  <c r="R122" i="8"/>
  <c r="H298" i="11"/>
  <c r="I298" i="11" s="1"/>
  <c r="H130" i="11"/>
  <c r="I130" i="11" s="1"/>
  <c r="R130" i="8"/>
  <c r="H306" i="11"/>
  <c r="I306" i="11" s="1"/>
  <c r="H138" i="11"/>
  <c r="I138" i="11" s="1"/>
  <c r="R138" i="8"/>
  <c r="H314" i="11"/>
  <c r="I314" i="11" s="1"/>
  <c r="H146" i="11"/>
  <c r="I146" i="11" s="1"/>
  <c r="R146" i="8"/>
  <c r="H322" i="11"/>
  <c r="I322" i="11" s="1"/>
  <c r="H154" i="11"/>
  <c r="I154" i="11" s="1"/>
  <c r="R154" i="8"/>
  <c r="H330" i="11"/>
  <c r="I330" i="11" s="1"/>
  <c r="H162" i="11"/>
  <c r="I162" i="11" s="1"/>
  <c r="R162" i="8"/>
  <c r="H338" i="11"/>
  <c r="I338" i="11" s="1"/>
  <c r="H170" i="11"/>
  <c r="I170" i="11" s="1"/>
  <c r="R170" i="8"/>
  <c r="R178" i="8"/>
  <c r="Q178" i="8"/>
  <c r="R186" i="8"/>
  <c r="Q186" i="8"/>
  <c r="R194" i="8"/>
  <c r="Q194" i="8"/>
  <c r="R202" i="8"/>
  <c r="Q202" i="8"/>
  <c r="R210" i="8"/>
  <c r="Q210" i="8"/>
  <c r="R218" i="8"/>
  <c r="Q218" i="8"/>
  <c r="R226" i="8"/>
  <c r="Q226" i="8"/>
  <c r="R234" i="8"/>
  <c r="Q234" i="8"/>
  <c r="H257" i="11"/>
  <c r="I257" i="11" s="1"/>
  <c r="H89" i="11"/>
  <c r="I89" i="11" s="1"/>
  <c r="R89" i="8"/>
  <c r="H265" i="11"/>
  <c r="I265" i="11" s="1"/>
  <c r="H97" i="11"/>
  <c r="I97" i="11" s="1"/>
  <c r="R97" i="8"/>
  <c r="H273" i="11"/>
  <c r="I273" i="11" s="1"/>
  <c r="H105" i="11"/>
  <c r="I105" i="11" s="1"/>
  <c r="R105" i="8"/>
  <c r="H281" i="11"/>
  <c r="I281" i="11" s="1"/>
  <c r="H113" i="11"/>
  <c r="I113" i="11" s="1"/>
  <c r="R113" i="8"/>
  <c r="H289" i="11"/>
  <c r="I289" i="11" s="1"/>
  <c r="H121" i="11"/>
  <c r="I121" i="11" s="1"/>
  <c r="R121" i="8"/>
  <c r="H297" i="11"/>
  <c r="I297" i="11" s="1"/>
  <c r="H129" i="11"/>
  <c r="I129" i="11" s="1"/>
  <c r="R129" i="8"/>
  <c r="H305" i="11"/>
  <c r="I305" i="11" s="1"/>
  <c r="H137" i="11"/>
  <c r="I137" i="11" s="1"/>
  <c r="R137" i="8"/>
  <c r="H313" i="11"/>
  <c r="I313" i="11" s="1"/>
  <c r="H145" i="11"/>
  <c r="I145" i="11" s="1"/>
  <c r="R145" i="8"/>
  <c r="H321" i="11"/>
  <c r="I321" i="11" s="1"/>
  <c r="H153" i="11"/>
  <c r="I153" i="11" s="1"/>
  <c r="R153" i="8"/>
  <c r="H329" i="11"/>
  <c r="I329" i="11" s="1"/>
  <c r="H161" i="11"/>
  <c r="I161" i="11" s="1"/>
  <c r="R161" i="8"/>
  <c r="H337" i="11"/>
  <c r="I337" i="11" s="1"/>
  <c r="H169" i="11"/>
  <c r="I169" i="11" s="1"/>
  <c r="R169" i="8"/>
  <c r="J8" i="9"/>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H256" i="11"/>
  <c r="I256" i="11" s="1"/>
  <c r="H88" i="11"/>
  <c r="I88" i="11" s="1"/>
  <c r="R88" i="8"/>
  <c r="H264" i="11"/>
  <c r="I264" i="11" s="1"/>
  <c r="H96" i="11"/>
  <c r="I96" i="11" s="1"/>
  <c r="R96" i="8"/>
  <c r="H272" i="11"/>
  <c r="I272" i="11" s="1"/>
  <c r="H104" i="11"/>
  <c r="I104" i="11" s="1"/>
  <c r="R104" i="8"/>
  <c r="H280" i="11"/>
  <c r="I280" i="11" s="1"/>
  <c r="H112" i="11"/>
  <c r="I112" i="11" s="1"/>
  <c r="R112" i="8"/>
  <c r="H288" i="11"/>
  <c r="I288" i="11" s="1"/>
  <c r="H120" i="11"/>
  <c r="I120" i="11" s="1"/>
  <c r="R120" i="8"/>
  <c r="H296" i="11"/>
  <c r="I296" i="11" s="1"/>
  <c r="H128" i="11"/>
  <c r="I128" i="11" s="1"/>
  <c r="R128" i="8"/>
  <c r="H304" i="11"/>
  <c r="I304" i="11" s="1"/>
  <c r="H136" i="11"/>
  <c r="I136" i="11" s="1"/>
  <c r="R136" i="8"/>
  <c r="H312" i="11"/>
  <c r="I312" i="11" s="1"/>
  <c r="H144" i="11"/>
  <c r="I144" i="11" s="1"/>
  <c r="R144" i="8"/>
  <c r="H320" i="11"/>
  <c r="I320" i="11" s="1"/>
  <c r="H152" i="11"/>
  <c r="I152" i="11" s="1"/>
  <c r="R152" i="8"/>
  <c r="H328" i="11"/>
  <c r="I328" i="11" s="1"/>
  <c r="H160" i="11"/>
  <c r="I160" i="11" s="1"/>
  <c r="R160" i="8"/>
  <c r="H336" i="11"/>
  <c r="I336" i="11" s="1"/>
  <c r="H168" i="11"/>
  <c r="I168" i="11" s="1"/>
  <c r="R168" i="8"/>
  <c r="B18" i="12"/>
  <c r="D18" i="12" s="1"/>
  <c r="H6" i="9"/>
  <c r="I6" i="9" s="1"/>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H255" i="11"/>
  <c r="I255" i="11" s="1"/>
  <c r="H87" i="11"/>
  <c r="I87" i="11" s="1"/>
  <c r="R87" i="8"/>
  <c r="Q92" i="8"/>
  <c r="H263" i="11"/>
  <c r="I263" i="11" s="1"/>
  <c r="H95" i="11"/>
  <c r="I95" i="11" s="1"/>
  <c r="R95" i="8"/>
  <c r="Q100" i="8"/>
  <c r="H271" i="11"/>
  <c r="I271" i="11" s="1"/>
  <c r="H103" i="11"/>
  <c r="I103" i="11" s="1"/>
  <c r="R103" i="8"/>
  <c r="Q108" i="8"/>
  <c r="H279" i="11"/>
  <c r="I279" i="11" s="1"/>
  <c r="H111" i="11"/>
  <c r="I111" i="11" s="1"/>
  <c r="R111" i="8"/>
  <c r="Q116" i="8"/>
  <c r="H287" i="11"/>
  <c r="I287" i="11" s="1"/>
  <c r="H119" i="11"/>
  <c r="I119" i="11" s="1"/>
  <c r="R119" i="8"/>
  <c r="Q124" i="8"/>
  <c r="H295" i="11"/>
  <c r="I295" i="11" s="1"/>
  <c r="H127" i="11"/>
  <c r="I127" i="11" s="1"/>
  <c r="R127" i="8"/>
  <c r="Q132" i="8"/>
  <c r="H303" i="11"/>
  <c r="I303" i="11" s="1"/>
  <c r="H135" i="11"/>
  <c r="I135" i="11" s="1"/>
  <c r="R135" i="8"/>
  <c r="Q140" i="8"/>
  <c r="H311" i="11"/>
  <c r="I311" i="11" s="1"/>
  <c r="H143" i="11"/>
  <c r="I143" i="11" s="1"/>
  <c r="R143" i="8"/>
  <c r="Q148" i="8"/>
  <c r="H319" i="11"/>
  <c r="I319" i="11" s="1"/>
  <c r="H151" i="11"/>
  <c r="I151" i="11" s="1"/>
  <c r="R151" i="8"/>
  <c r="Q156" i="8"/>
  <c r="H327" i="11"/>
  <c r="I327" i="11" s="1"/>
  <c r="H159" i="11"/>
  <c r="I159" i="11" s="1"/>
  <c r="R159" i="8"/>
  <c r="Q164" i="8"/>
  <c r="H335" i="11"/>
  <c r="I335" i="11" s="1"/>
  <c r="H167" i="11"/>
  <c r="I167" i="11" s="1"/>
  <c r="R167" i="8"/>
  <c r="Q172" i="8"/>
  <c r="H254" i="11"/>
  <c r="I254" i="11" s="1"/>
  <c r="H86" i="11"/>
  <c r="I86" i="11" s="1"/>
  <c r="R86" i="8"/>
  <c r="H262" i="11"/>
  <c r="I262" i="11" s="1"/>
  <c r="H94" i="11"/>
  <c r="I94" i="11" s="1"/>
  <c r="R94" i="8"/>
  <c r="H270" i="11"/>
  <c r="I270" i="11" s="1"/>
  <c r="H102" i="11"/>
  <c r="I102" i="11" s="1"/>
  <c r="E8" i="9"/>
  <c r="F8" i="9" s="1"/>
  <c r="R102" i="8"/>
  <c r="H278" i="11"/>
  <c r="I278" i="11" s="1"/>
  <c r="H110" i="11"/>
  <c r="I110" i="11" s="1"/>
  <c r="R110" i="8"/>
  <c r="H286" i="11"/>
  <c r="I286" i="11" s="1"/>
  <c r="H118" i="11"/>
  <c r="I118" i="11" s="1"/>
  <c r="R118" i="8"/>
  <c r="Q123" i="8"/>
  <c r="H294" i="11"/>
  <c r="I294" i="11" s="1"/>
  <c r="H126" i="11"/>
  <c r="I126" i="11" s="1"/>
  <c r="R126" i="8"/>
  <c r="Q131" i="8"/>
  <c r="H302" i="11"/>
  <c r="I302" i="11" s="1"/>
  <c r="H134" i="11"/>
  <c r="I134" i="11" s="1"/>
  <c r="R134" i="8"/>
  <c r="Q139" i="8"/>
  <c r="H310" i="11"/>
  <c r="I310" i="11" s="1"/>
  <c r="H142" i="11"/>
  <c r="I142" i="11" s="1"/>
  <c r="R142" i="8"/>
  <c r="Q147" i="8"/>
  <c r="H318" i="11"/>
  <c r="I318" i="11" s="1"/>
  <c r="H150" i="11"/>
  <c r="I150" i="11" s="1"/>
  <c r="R150" i="8"/>
  <c r="Q155" i="8"/>
  <c r="H326" i="11"/>
  <c r="I326" i="11" s="1"/>
  <c r="H158" i="11"/>
  <c r="I158" i="11" s="1"/>
  <c r="R158" i="8"/>
  <c r="H334" i="11"/>
  <c r="I334" i="11" s="1"/>
  <c r="H166" i="11"/>
  <c r="I166" i="11" s="1"/>
  <c r="R166" i="8"/>
  <c r="Q171" i="8"/>
  <c r="R174" i="8"/>
  <c r="Q174" i="8"/>
  <c r="R182" i="8"/>
  <c r="Q182" i="8"/>
  <c r="R190" i="8"/>
  <c r="Q190" i="8"/>
  <c r="R198" i="8"/>
  <c r="Q198" i="8"/>
  <c r="R206" i="8"/>
  <c r="Q206" i="8"/>
  <c r="R214" i="8"/>
  <c r="Q214" i="8"/>
  <c r="R222" i="8"/>
  <c r="Q222" i="8"/>
  <c r="R230" i="8"/>
  <c r="Q230" i="8"/>
  <c r="Q452" i="8"/>
  <c r="Q470" i="8"/>
  <c r="Q484" i="8"/>
  <c r="Q502" i="8"/>
  <c r="Q238" i="8"/>
  <c r="Q242" i="8"/>
  <c r="Q246" i="8"/>
  <c r="Q250" i="8"/>
  <c r="Q254" i="8"/>
  <c r="Q258" i="8"/>
  <c r="Q262" i="8"/>
  <c r="Q266" i="8"/>
  <c r="Q270" i="8"/>
  <c r="Q274" i="8"/>
  <c r="Q278" i="8"/>
  <c r="Q282" i="8"/>
  <c r="Q286" i="8"/>
  <c r="Q290" i="8"/>
  <c r="Q294" i="8"/>
  <c r="Q298" i="8"/>
  <c r="Q302" i="8"/>
  <c r="Q306" i="8"/>
  <c r="Q310" i="8"/>
  <c r="Q314" i="8"/>
  <c r="Q318" i="8"/>
  <c r="Q322" i="8"/>
  <c r="Q326" i="8"/>
  <c r="Q330" i="8"/>
  <c r="Q334" i="8"/>
  <c r="Q338" i="8"/>
  <c r="Q342" i="8"/>
  <c r="Q346" i="8"/>
  <c r="Q350" i="8"/>
  <c r="Q354" i="8"/>
  <c r="Q358" i="8"/>
  <c r="Q362" i="8"/>
  <c r="Q366" i="8"/>
  <c r="Q370" i="8"/>
  <c r="Q374" i="8"/>
  <c r="Q378" i="8"/>
  <c r="Q382" i="8"/>
  <c r="Q386" i="8"/>
  <c r="Q390" i="8"/>
  <c r="Q394" i="8"/>
  <c r="Q398" i="8"/>
  <c r="Q402" i="8"/>
  <c r="Q406" i="8"/>
  <c r="Q410" i="8"/>
  <c r="Q414" i="8"/>
  <c r="Q418" i="8"/>
  <c r="Q422" i="8"/>
  <c r="Q426" i="8"/>
  <c r="Q430" i="8"/>
  <c r="Q434" i="8"/>
  <c r="Q438" i="8"/>
  <c r="Q442" i="8"/>
  <c r="Q446" i="8"/>
  <c r="Q450" i="8"/>
  <c r="Q464" i="8"/>
  <c r="Q482" i="8"/>
  <c r="Q496" i="8"/>
  <c r="G115" i="11"/>
  <c r="C457" i="11"/>
  <c r="D456" i="11"/>
  <c r="E455" i="11"/>
  <c r="F454" i="11"/>
  <c r="G453" i="11"/>
  <c r="H452" i="11"/>
  <c r="J450" i="11"/>
  <c r="C449" i="11"/>
  <c r="D448" i="11"/>
  <c r="E447" i="11"/>
  <c r="F446" i="11"/>
  <c r="G445" i="11"/>
  <c r="H444" i="11"/>
  <c r="J442" i="11"/>
  <c r="C441" i="11"/>
  <c r="D440" i="11"/>
  <c r="E439" i="11"/>
  <c r="F438" i="11"/>
  <c r="G437" i="11"/>
  <c r="H436" i="11"/>
  <c r="J434" i="11"/>
  <c r="C433" i="11"/>
  <c r="D432" i="11"/>
  <c r="E431" i="11"/>
  <c r="F430" i="11"/>
  <c r="G429" i="11"/>
  <c r="H428" i="11"/>
  <c r="J426" i="11"/>
  <c r="C425" i="11"/>
  <c r="D424" i="11"/>
  <c r="E423" i="11"/>
  <c r="F422" i="11"/>
  <c r="G421" i="11"/>
  <c r="H420" i="11"/>
  <c r="J418" i="11"/>
  <c r="C417" i="11"/>
  <c r="D416" i="11"/>
  <c r="E415" i="11"/>
  <c r="F414" i="11"/>
  <c r="G413" i="11"/>
  <c r="H412" i="11"/>
  <c r="J410" i="11"/>
  <c r="C409" i="11"/>
  <c r="D408" i="11"/>
  <c r="E407" i="11"/>
  <c r="F406" i="11"/>
  <c r="G405" i="11"/>
  <c r="H404" i="11"/>
  <c r="J402" i="11"/>
  <c r="C401" i="11"/>
  <c r="D400" i="11"/>
  <c r="E399" i="11"/>
  <c r="F398" i="11"/>
  <c r="G397" i="11"/>
  <c r="H396" i="11"/>
  <c r="J394" i="11"/>
  <c r="C393" i="11"/>
  <c r="D392" i="11"/>
  <c r="E391" i="11"/>
  <c r="F390" i="11"/>
  <c r="G389" i="11"/>
  <c r="H388" i="11"/>
  <c r="J456" i="11"/>
  <c r="C455" i="11"/>
  <c r="D454" i="11"/>
  <c r="E453" i="11"/>
  <c r="F452" i="11"/>
  <c r="G451" i="11"/>
  <c r="H450" i="11"/>
  <c r="J448" i="11"/>
  <c r="C447" i="11"/>
  <c r="D446" i="11"/>
  <c r="E445" i="11"/>
  <c r="F444" i="11"/>
  <c r="G443" i="11"/>
  <c r="H442" i="11"/>
  <c r="J440" i="11"/>
  <c r="C439" i="11"/>
  <c r="D438" i="11"/>
  <c r="E437" i="11"/>
  <c r="F436" i="11"/>
  <c r="G435" i="11"/>
  <c r="H434" i="11"/>
  <c r="J432" i="11"/>
  <c r="C431" i="11"/>
  <c r="D430" i="11"/>
  <c r="E429" i="11"/>
  <c r="F428" i="11"/>
  <c r="G427" i="11"/>
  <c r="H426" i="11"/>
  <c r="J424" i="11"/>
  <c r="C423" i="11"/>
  <c r="D422" i="11"/>
  <c r="E421" i="11"/>
  <c r="F420" i="11"/>
  <c r="G419" i="11"/>
  <c r="H418" i="11"/>
  <c r="J416" i="11"/>
  <c r="C415" i="11"/>
  <c r="D414" i="11"/>
  <c r="E413" i="11"/>
  <c r="F412" i="11"/>
  <c r="G411" i="11"/>
  <c r="H410" i="11"/>
  <c r="J408" i="11"/>
  <c r="C407" i="11"/>
  <c r="D406" i="11"/>
  <c r="E405" i="11"/>
  <c r="F404" i="11"/>
  <c r="G403" i="11"/>
  <c r="H402" i="11"/>
  <c r="G457" i="11"/>
  <c r="H456" i="11"/>
  <c r="J454" i="11"/>
  <c r="C453" i="11"/>
  <c r="D452" i="11"/>
  <c r="E451" i="11"/>
  <c r="F450" i="11"/>
  <c r="G449" i="11"/>
  <c r="H448" i="11"/>
  <c r="J446" i="11"/>
  <c r="C445" i="11"/>
  <c r="D444" i="11"/>
  <c r="E443" i="11"/>
  <c r="F442" i="11"/>
  <c r="G441" i="11"/>
  <c r="H440" i="11"/>
  <c r="J438" i="11"/>
  <c r="C437" i="11"/>
  <c r="D436" i="11"/>
  <c r="E435" i="11"/>
  <c r="F434" i="11"/>
  <c r="G433" i="11"/>
  <c r="H432" i="11"/>
  <c r="J430" i="11"/>
  <c r="C429" i="11"/>
  <c r="D428" i="11"/>
  <c r="E427" i="11"/>
  <c r="F426" i="11"/>
  <c r="G425" i="11"/>
  <c r="H424" i="11"/>
  <c r="J422" i="11"/>
  <c r="C421" i="11"/>
  <c r="D420" i="11"/>
  <c r="E419" i="11"/>
  <c r="F418" i="11"/>
  <c r="G417" i="11"/>
  <c r="H416" i="11"/>
  <c r="J414" i="11"/>
  <c r="C413" i="11"/>
  <c r="D412" i="11"/>
  <c r="E411" i="11"/>
  <c r="F410" i="11"/>
  <c r="G409" i="11"/>
  <c r="H408" i="11"/>
  <c r="J406" i="11"/>
  <c r="C405" i="11"/>
  <c r="D404" i="11"/>
  <c r="E403" i="11"/>
  <c r="F402" i="11"/>
  <c r="G401" i="11"/>
  <c r="H400" i="11"/>
  <c r="J398" i="11"/>
  <c r="C397" i="11"/>
  <c r="D396" i="11"/>
  <c r="E395" i="11"/>
  <c r="F394" i="11"/>
  <c r="G393" i="11"/>
  <c r="H392" i="11"/>
  <c r="J390" i="11"/>
  <c r="C389" i="11"/>
  <c r="D388" i="11"/>
  <c r="E387" i="11"/>
  <c r="F386" i="11"/>
  <c r="E457" i="11"/>
  <c r="F456" i="11"/>
  <c r="G455" i="11"/>
  <c r="H454" i="11"/>
  <c r="J452" i="11"/>
  <c r="C451" i="11"/>
  <c r="D450" i="11"/>
  <c r="E449" i="11"/>
  <c r="F448" i="11"/>
  <c r="G447" i="11"/>
  <c r="H446" i="11"/>
  <c r="J444" i="11"/>
  <c r="C443" i="11"/>
  <c r="D442" i="11"/>
  <c r="E441" i="11"/>
  <c r="F440" i="11"/>
  <c r="G439" i="11"/>
  <c r="I439" i="11" s="1"/>
  <c r="K439" i="11" s="1"/>
  <c r="H438" i="11"/>
  <c r="J436" i="11"/>
  <c r="C435" i="11"/>
  <c r="D434" i="11"/>
  <c r="E433" i="11"/>
  <c r="F432" i="11"/>
  <c r="G431" i="11"/>
  <c r="H430" i="11"/>
  <c r="J428" i="11"/>
  <c r="C427" i="11"/>
  <c r="D426" i="11"/>
  <c r="E425" i="11"/>
  <c r="F424" i="11"/>
  <c r="G423" i="11"/>
  <c r="H422" i="11"/>
  <c r="J420" i="11"/>
  <c r="C419" i="11"/>
  <c r="D418" i="11"/>
  <c r="E417" i="11"/>
  <c r="F416" i="11"/>
  <c r="G415" i="11"/>
  <c r="H414" i="11"/>
  <c r="J412" i="11"/>
  <c r="C411" i="11"/>
  <c r="D410" i="11"/>
  <c r="E409" i="11"/>
  <c r="F408" i="11"/>
  <c r="G407" i="11"/>
  <c r="H406" i="11"/>
  <c r="J404" i="11"/>
  <c r="C403" i="11"/>
  <c r="D402" i="11"/>
  <c r="F457" i="11"/>
  <c r="H455" i="11"/>
  <c r="J453" i="11"/>
  <c r="C452" i="11"/>
  <c r="E450" i="11"/>
  <c r="G448" i="11"/>
  <c r="I448" i="11" s="1"/>
  <c r="K448" i="11" s="1"/>
  <c r="D443" i="11"/>
  <c r="F441" i="11"/>
  <c r="H439" i="11"/>
  <c r="J437" i="11"/>
  <c r="D457" i="11"/>
  <c r="F455" i="11"/>
  <c r="H453" i="11"/>
  <c r="J451" i="11"/>
  <c r="C450" i="11"/>
  <c r="E448" i="11"/>
  <c r="G446" i="11"/>
  <c r="I446" i="11" s="1"/>
  <c r="K446" i="11" s="1"/>
  <c r="D441" i="11"/>
  <c r="F439" i="11"/>
  <c r="H437" i="11"/>
  <c r="J435" i="11"/>
  <c r="C434" i="11"/>
  <c r="E432" i="11"/>
  <c r="G430" i="11"/>
  <c r="I430" i="11" s="1"/>
  <c r="K430" i="11" s="1"/>
  <c r="D425" i="11"/>
  <c r="F423" i="11"/>
  <c r="H421" i="11"/>
  <c r="J419" i="11"/>
  <c r="C418" i="11"/>
  <c r="E416" i="11"/>
  <c r="G414" i="11"/>
  <c r="I414" i="11" s="1"/>
  <c r="K414" i="11" s="1"/>
  <c r="D409" i="11"/>
  <c r="F407" i="11"/>
  <c r="H405" i="11"/>
  <c r="J403" i="11"/>
  <c r="C402" i="11"/>
  <c r="J400" i="11"/>
  <c r="H399" i="11"/>
  <c r="G398" i="11"/>
  <c r="E397" i="11"/>
  <c r="C396" i="11"/>
  <c r="G392" i="11"/>
  <c r="I392" i="11" s="1"/>
  <c r="K392" i="11" s="1"/>
  <c r="F391" i="11"/>
  <c r="D390" i="11"/>
  <c r="J387" i="11"/>
  <c r="J386" i="11"/>
  <c r="J385" i="11"/>
  <c r="C384" i="11"/>
  <c r="D383" i="11"/>
  <c r="E382" i="11"/>
  <c r="F381" i="11"/>
  <c r="G380" i="11"/>
  <c r="H379" i="11"/>
  <c r="J377" i="11"/>
  <c r="C376" i="11"/>
  <c r="D375" i="11"/>
  <c r="E374" i="11"/>
  <c r="F373" i="11"/>
  <c r="G372" i="11"/>
  <c r="H371" i="11"/>
  <c r="J369" i="11"/>
  <c r="C368" i="11"/>
  <c r="D367" i="11"/>
  <c r="E366" i="11"/>
  <c r="F365" i="11"/>
  <c r="D455" i="11"/>
  <c r="F453" i="11"/>
  <c r="H451" i="11"/>
  <c r="J449" i="11"/>
  <c r="C448" i="11"/>
  <c r="E446" i="11"/>
  <c r="G444" i="11"/>
  <c r="I444" i="11" s="1"/>
  <c r="K444" i="11" s="1"/>
  <c r="D439" i="11"/>
  <c r="F437" i="11"/>
  <c r="H435" i="11"/>
  <c r="J433" i="11"/>
  <c r="C432" i="11"/>
  <c r="E430" i="11"/>
  <c r="G428" i="11"/>
  <c r="I428" i="11" s="1"/>
  <c r="K428" i="11" s="1"/>
  <c r="D423" i="11"/>
  <c r="F421" i="11"/>
  <c r="H419" i="11"/>
  <c r="J417" i="11"/>
  <c r="C416" i="11"/>
  <c r="E414" i="11"/>
  <c r="G412" i="11"/>
  <c r="I412" i="11" s="1"/>
  <c r="K412" i="11" s="1"/>
  <c r="D407" i="11"/>
  <c r="F405" i="11"/>
  <c r="H403" i="11"/>
  <c r="J401" i="11"/>
  <c r="G399" i="11"/>
  <c r="I399" i="11" s="1"/>
  <c r="K399" i="11" s="1"/>
  <c r="E398" i="11"/>
  <c r="D397" i="11"/>
  <c r="H393" i="11"/>
  <c r="F392" i="11"/>
  <c r="D391" i="11"/>
  <c r="C390" i="11"/>
  <c r="J388" i="11"/>
  <c r="J384" i="11"/>
  <c r="C383" i="11"/>
  <c r="D382" i="11"/>
  <c r="E381" i="11"/>
  <c r="F380" i="11"/>
  <c r="G379" i="11"/>
  <c r="I379" i="11" s="1"/>
  <c r="K379" i="11" s="1"/>
  <c r="H378" i="11"/>
  <c r="J376" i="11"/>
  <c r="C375" i="11"/>
  <c r="D374" i="11"/>
  <c r="E373" i="11"/>
  <c r="F372" i="11"/>
  <c r="G371" i="11"/>
  <c r="I371" i="11" s="1"/>
  <c r="K371" i="11" s="1"/>
  <c r="H370" i="11"/>
  <c r="J368" i="11"/>
  <c r="C367" i="11"/>
  <c r="D366" i="11"/>
  <c r="E365" i="11"/>
  <c r="D453" i="11"/>
  <c r="F451" i="11"/>
  <c r="H449" i="11"/>
  <c r="J447" i="11"/>
  <c r="C446" i="11"/>
  <c r="E444" i="11"/>
  <c r="G442" i="11"/>
  <c r="I442" i="11" s="1"/>
  <c r="K442" i="11" s="1"/>
  <c r="D437" i="11"/>
  <c r="F435" i="11"/>
  <c r="H433" i="11"/>
  <c r="J431" i="11"/>
  <c r="C430" i="11"/>
  <c r="E428" i="11"/>
  <c r="G426" i="11"/>
  <c r="I426" i="11" s="1"/>
  <c r="K426" i="11" s="1"/>
  <c r="D421" i="11"/>
  <c r="F419" i="11"/>
  <c r="H417" i="11"/>
  <c r="J415" i="11"/>
  <c r="C414" i="11"/>
  <c r="E412" i="11"/>
  <c r="G410" i="11"/>
  <c r="I410" i="11" s="1"/>
  <c r="K410" i="11" s="1"/>
  <c r="D405" i="11"/>
  <c r="F403" i="11"/>
  <c r="G400" i="11"/>
  <c r="I400" i="11" s="1"/>
  <c r="K400" i="11" s="1"/>
  <c r="F399" i="11"/>
  <c r="D398" i="11"/>
  <c r="J395" i="11"/>
  <c r="H394" i="11"/>
  <c r="F393" i="11"/>
  <c r="E392" i="11"/>
  <c r="C391" i="11"/>
  <c r="J389" i="11"/>
  <c r="H387" i="11"/>
  <c r="H386" i="11"/>
  <c r="H385" i="11"/>
  <c r="J383" i="11"/>
  <c r="C382" i="11"/>
  <c r="D381" i="11"/>
  <c r="E380" i="11"/>
  <c r="F379" i="11"/>
  <c r="G378" i="11"/>
  <c r="I378" i="11" s="1"/>
  <c r="K378" i="11" s="1"/>
  <c r="H377" i="11"/>
  <c r="J375" i="11"/>
  <c r="C374" i="11"/>
  <c r="D373" i="11"/>
  <c r="E372" i="11"/>
  <c r="F371" i="11"/>
  <c r="G370" i="11"/>
  <c r="I370" i="11" s="1"/>
  <c r="K370" i="11" s="1"/>
  <c r="H369" i="11"/>
  <c r="J367" i="11"/>
  <c r="C366" i="11"/>
  <c r="D365" i="11"/>
  <c r="E364" i="11"/>
  <c r="F363" i="11"/>
  <c r="G362" i="11"/>
  <c r="H361" i="11"/>
  <c r="J359" i="11"/>
  <c r="C358" i="11"/>
  <c r="D357" i="11"/>
  <c r="E356" i="11"/>
  <c r="F355" i="11"/>
  <c r="G354" i="11"/>
  <c r="H353" i="11"/>
  <c r="J351" i="11"/>
  <c r="G456" i="11"/>
  <c r="I456" i="11" s="1"/>
  <c r="K456" i="11" s="1"/>
  <c r="D451" i="11"/>
  <c r="F449" i="11"/>
  <c r="H447" i="11"/>
  <c r="J445" i="11"/>
  <c r="C444" i="11"/>
  <c r="E442" i="11"/>
  <c r="G440" i="11"/>
  <c r="I440" i="11" s="1"/>
  <c r="K440" i="11" s="1"/>
  <c r="D435" i="11"/>
  <c r="F433" i="11"/>
  <c r="H431" i="11"/>
  <c r="J429" i="11"/>
  <c r="C428" i="11"/>
  <c r="E426" i="11"/>
  <c r="G424" i="11"/>
  <c r="I424" i="11" s="1"/>
  <c r="K424" i="11" s="1"/>
  <c r="D419" i="11"/>
  <c r="F417" i="11"/>
  <c r="H415" i="11"/>
  <c r="J413" i="11"/>
  <c r="C412" i="11"/>
  <c r="E410" i="11"/>
  <c r="G408" i="11"/>
  <c r="I408" i="11" s="1"/>
  <c r="K408" i="11" s="1"/>
  <c r="D403" i="11"/>
  <c r="H401" i="11"/>
  <c r="F400" i="11"/>
  <c r="D399" i="11"/>
  <c r="C398" i="11"/>
  <c r="J396" i="11"/>
  <c r="H395" i="11"/>
  <c r="G394" i="11"/>
  <c r="I394" i="11" s="1"/>
  <c r="K394" i="11" s="1"/>
  <c r="E393" i="11"/>
  <c r="C392" i="11"/>
  <c r="G388" i="11"/>
  <c r="I388" i="11" s="1"/>
  <c r="K388" i="11" s="1"/>
  <c r="G387" i="11"/>
  <c r="I387" i="11" s="1"/>
  <c r="K387" i="11" s="1"/>
  <c r="G386" i="11"/>
  <c r="I386" i="11" s="1"/>
  <c r="K386" i="11" s="1"/>
  <c r="G385" i="11"/>
  <c r="I385" i="11" s="1"/>
  <c r="K385" i="11" s="1"/>
  <c r="H384" i="11"/>
  <c r="J382" i="11"/>
  <c r="C381" i="11"/>
  <c r="D380" i="11"/>
  <c r="E379" i="11"/>
  <c r="F378" i="11"/>
  <c r="G377" i="11"/>
  <c r="I377" i="11" s="1"/>
  <c r="K377" i="11" s="1"/>
  <c r="H376" i="11"/>
  <c r="J374" i="11"/>
  <c r="E456" i="11"/>
  <c r="G454" i="11"/>
  <c r="I454" i="11" s="1"/>
  <c r="K454" i="11" s="1"/>
  <c r="D449" i="11"/>
  <c r="F447" i="11"/>
  <c r="H445" i="11"/>
  <c r="J443" i="11"/>
  <c r="C442" i="11"/>
  <c r="E440" i="11"/>
  <c r="G438" i="11"/>
  <c r="I438" i="11" s="1"/>
  <c r="K438" i="11" s="1"/>
  <c r="D433" i="11"/>
  <c r="F431" i="11"/>
  <c r="H429" i="11"/>
  <c r="J427" i="11"/>
  <c r="C426" i="11"/>
  <c r="E424" i="11"/>
  <c r="G422" i="11"/>
  <c r="I422" i="11" s="1"/>
  <c r="K422" i="11" s="1"/>
  <c r="D417" i="11"/>
  <c r="F415" i="11"/>
  <c r="H413" i="11"/>
  <c r="J411" i="11"/>
  <c r="C410" i="11"/>
  <c r="E408" i="11"/>
  <c r="G406" i="11"/>
  <c r="I406" i="11" s="1"/>
  <c r="K406" i="11" s="1"/>
  <c r="F401" i="11"/>
  <c r="E400" i="11"/>
  <c r="C399" i="11"/>
  <c r="J397" i="11"/>
  <c r="G395" i="11"/>
  <c r="I395" i="11" s="1"/>
  <c r="K395" i="11" s="1"/>
  <c r="E394" i="11"/>
  <c r="D393" i="11"/>
  <c r="H389" i="11"/>
  <c r="F388" i="11"/>
  <c r="F387" i="11"/>
  <c r="E386" i="11"/>
  <c r="F385" i="11"/>
  <c r="G384" i="11"/>
  <c r="I384" i="11" s="1"/>
  <c r="K384" i="11" s="1"/>
  <c r="H383" i="11"/>
  <c r="J381" i="11"/>
  <c r="C380" i="11"/>
  <c r="D379" i="11"/>
  <c r="E378" i="11"/>
  <c r="F377" i="11"/>
  <c r="G376" i="11"/>
  <c r="I376" i="11" s="1"/>
  <c r="K376" i="11" s="1"/>
  <c r="H375" i="11"/>
  <c r="J373" i="11"/>
  <c r="H457" i="11"/>
  <c r="J455" i="11"/>
  <c r="C454" i="11"/>
  <c r="E452" i="11"/>
  <c r="G450" i="11"/>
  <c r="I450" i="11" s="1"/>
  <c r="K450" i="11" s="1"/>
  <c r="D445" i="11"/>
  <c r="F443" i="11"/>
  <c r="H441" i="11"/>
  <c r="J439" i="11"/>
  <c r="C438" i="11"/>
  <c r="E436" i="11"/>
  <c r="G434" i="11"/>
  <c r="I434" i="11" s="1"/>
  <c r="K434" i="11" s="1"/>
  <c r="D429" i="11"/>
  <c r="F427" i="11"/>
  <c r="H425" i="11"/>
  <c r="J423" i="11"/>
  <c r="C422" i="11"/>
  <c r="E420" i="11"/>
  <c r="G418" i="11"/>
  <c r="I418" i="11" s="1"/>
  <c r="K418" i="11" s="1"/>
  <c r="D413" i="11"/>
  <c r="F411" i="11"/>
  <c r="H409" i="11"/>
  <c r="J407" i="11"/>
  <c r="C406" i="11"/>
  <c r="E404" i="11"/>
  <c r="G402" i="11"/>
  <c r="I402" i="11" s="1"/>
  <c r="K402" i="11" s="1"/>
  <c r="D401" i="11"/>
  <c r="H397" i="11"/>
  <c r="F396" i="11"/>
  <c r="D395" i="11"/>
  <c r="C394" i="11"/>
  <c r="J392" i="11"/>
  <c r="H391" i="11"/>
  <c r="G390" i="11"/>
  <c r="E389" i="11"/>
  <c r="C388" i="11"/>
  <c r="C387" i="11"/>
  <c r="C386" i="11"/>
  <c r="D385" i="11"/>
  <c r="E384" i="11"/>
  <c r="F383" i="11"/>
  <c r="G382" i="11"/>
  <c r="H381" i="11"/>
  <c r="J379" i="11"/>
  <c r="C378" i="11"/>
  <c r="D377" i="11"/>
  <c r="E376" i="11"/>
  <c r="F375" i="11"/>
  <c r="G374" i="11"/>
  <c r="H373" i="11"/>
  <c r="J371" i="11"/>
  <c r="C370" i="11"/>
  <c r="D369" i="11"/>
  <c r="E368" i="11"/>
  <c r="F367" i="11"/>
  <c r="C436" i="11"/>
  <c r="J421" i="11"/>
  <c r="H407" i="11"/>
  <c r="E396" i="11"/>
  <c r="G391" i="11"/>
  <c r="I391" i="11" s="1"/>
  <c r="K391" i="11" s="1"/>
  <c r="E383" i="11"/>
  <c r="D376" i="11"/>
  <c r="D371" i="11"/>
  <c r="F369" i="11"/>
  <c r="H367" i="11"/>
  <c r="H360" i="11"/>
  <c r="H359" i="11"/>
  <c r="H358" i="11"/>
  <c r="H357" i="11"/>
  <c r="H356" i="11"/>
  <c r="H355" i="11"/>
  <c r="H354" i="11"/>
  <c r="G353" i="11"/>
  <c r="I353" i="11" s="1"/>
  <c r="K353" i="11" s="1"/>
  <c r="G352" i="11"/>
  <c r="G351" i="11"/>
  <c r="H350" i="11"/>
  <c r="J348" i="11"/>
  <c r="C347" i="11"/>
  <c r="D346" i="11"/>
  <c r="D447" i="11"/>
  <c r="H427" i="11"/>
  <c r="G420" i="11"/>
  <c r="I420" i="11" s="1"/>
  <c r="K420" i="11" s="1"/>
  <c r="F413" i="11"/>
  <c r="E406" i="11"/>
  <c r="C400" i="11"/>
  <c r="F395" i="11"/>
  <c r="H390" i="11"/>
  <c r="D386" i="11"/>
  <c r="H382" i="11"/>
  <c r="C379" i="11"/>
  <c r="G375" i="11"/>
  <c r="I375" i="11" s="1"/>
  <c r="K375" i="11" s="1"/>
  <c r="J372" i="11"/>
  <c r="C371" i="11"/>
  <c r="E369" i="11"/>
  <c r="G367" i="11"/>
  <c r="I367" i="11" s="1"/>
  <c r="K367" i="11" s="1"/>
  <c r="J365" i="11"/>
  <c r="H364" i="11"/>
  <c r="H363" i="11"/>
  <c r="H362" i="11"/>
  <c r="G361" i="11"/>
  <c r="I361" i="11" s="1"/>
  <c r="K361" i="11" s="1"/>
  <c r="G360" i="11"/>
  <c r="I360" i="11" s="1"/>
  <c r="K360" i="11" s="1"/>
  <c r="G359" i="11"/>
  <c r="I359" i="11" s="1"/>
  <c r="K359" i="11" s="1"/>
  <c r="G358" i="11"/>
  <c r="I358" i="11" s="1"/>
  <c r="K358" i="11" s="1"/>
  <c r="G357" i="11"/>
  <c r="G356" i="11"/>
  <c r="I356" i="11" s="1"/>
  <c r="K356" i="11" s="1"/>
  <c r="G355" i="11"/>
  <c r="I355" i="11" s="1"/>
  <c r="K355" i="11" s="1"/>
  <c r="F354" i="11"/>
  <c r="F353" i="11"/>
  <c r="F352" i="11"/>
  <c r="F351" i="11"/>
  <c r="G350" i="11"/>
  <c r="I350" i="11" s="1"/>
  <c r="K350" i="11" s="1"/>
  <c r="H349" i="11"/>
  <c r="J347" i="11"/>
  <c r="C346" i="11"/>
  <c r="F445" i="11"/>
  <c r="E434" i="11"/>
  <c r="D427" i="11"/>
  <c r="C420" i="11"/>
  <c r="J405" i="11"/>
  <c r="J399" i="11"/>
  <c r="C395" i="11"/>
  <c r="E390" i="11"/>
  <c r="F382" i="11"/>
  <c r="J378" i="11"/>
  <c r="E375" i="11"/>
  <c r="H372" i="11"/>
  <c r="J370" i="11"/>
  <c r="C369" i="11"/>
  <c r="E367" i="11"/>
  <c r="G364" i="11"/>
  <c r="I364" i="11" s="1"/>
  <c r="K364" i="11" s="1"/>
  <c r="G363" i="11"/>
  <c r="F362" i="11"/>
  <c r="F361" i="11"/>
  <c r="F360" i="11"/>
  <c r="F359" i="11"/>
  <c r="F358" i="11"/>
  <c r="F357" i="11"/>
  <c r="F356" i="11"/>
  <c r="E355" i="11"/>
  <c r="J457" i="11"/>
  <c r="H443" i="11"/>
  <c r="J425" i="11"/>
  <c r="H411" i="11"/>
  <c r="G404" i="11"/>
  <c r="I404" i="11" s="1"/>
  <c r="K404" i="11" s="1"/>
  <c r="D394" i="11"/>
  <c r="F389" i="11"/>
  <c r="E385" i="11"/>
  <c r="D378" i="11"/>
  <c r="H374" i="11"/>
  <c r="D372" i="11"/>
  <c r="F370" i="11"/>
  <c r="H368" i="11"/>
  <c r="J366" i="11"/>
  <c r="H365" i="11"/>
  <c r="F364" i="11"/>
  <c r="E363" i="11"/>
  <c r="E362" i="11"/>
  <c r="E361" i="11"/>
  <c r="E360" i="11"/>
  <c r="E359" i="11"/>
  <c r="E358" i="11"/>
  <c r="E357" i="11"/>
  <c r="D356" i="11"/>
  <c r="D355" i="11"/>
  <c r="D354" i="11"/>
  <c r="D353" i="11"/>
  <c r="D352" i="11"/>
  <c r="D351" i="11"/>
  <c r="E350" i="11"/>
  <c r="F349" i="11"/>
  <c r="G348" i="11"/>
  <c r="H347" i="11"/>
  <c r="C456" i="11"/>
  <c r="J441" i="11"/>
  <c r="G432" i="11"/>
  <c r="I432" i="11" s="1"/>
  <c r="K432" i="11" s="1"/>
  <c r="F425" i="11"/>
  <c r="E418" i="11"/>
  <c r="D411" i="11"/>
  <c r="C404" i="11"/>
  <c r="H398" i="11"/>
  <c r="J393" i="11"/>
  <c r="D389" i="11"/>
  <c r="C385" i="11"/>
  <c r="G381" i="11"/>
  <c r="I381" i="11" s="1"/>
  <c r="K381" i="11" s="1"/>
  <c r="F374" i="11"/>
  <c r="C372" i="11"/>
  <c r="E370" i="11"/>
  <c r="G368" i="11"/>
  <c r="I368" i="11" s="1"/>
  <c r="K368" i="11" s="1"/>
  <c r="G365" i="11"/>
  <c r="I365" i="11" s="1"/>
  <c r="K365" i="11" s="1"/>
  <c r="D364" i="11"/>
  <c r="D363" i="11"/>
  <c r="D362" i="11"/>
  <c r="D361" i="11"/>
  <c r="D360" i="11"/>
  <c r="D359" i="11"/>
  <c r="D358" i="11"/>
  <c r="C357" i="11"/>
  <c r="C356" i="11"/>
  <c r="C355" i="11"/>
  <c r="C354" i="11"/>
  <c r="C353" i="11"/>
  <c r="C352" i="11"/>
  <c r="C351" i="11"/>
  <c r="D350" i="11"/>
  <c r="E349" i="11"/>
  <c r="F348" i="11"/>
  <c r="G347" i="11"/>
  <c r="I347" i="11" s="1"/>
  <c r="K347" i="11" s="1"/>
  <c r="H346" i="11"/>
  <c r="E454" i="11"/>
  <c r="C440" i="11"/>
  <c r="D431" i="11"/>
  <c r="C424" i="11"/>
  <c r="J409" i="11"/>
  <c r="E388" i="11"/>
  <c r="F384" i="11"/>
  <c r="J380" i="11"/>
  <c r="E377" i="11"/>
  <c r="D370" i="11"/>
  <c r="F368" i="11"/>
  <c r="H366" i="11"/>
  <c r="C365" i="11"/>
  <c r="C364" i="11"/>
  <c r="C363" i="11"/>
  <c r="C362" i="11"/>
  <c r="C361" i="11"/>
  <c r="C360" i="11"/>
  <c r="C359" i="11"/>
  <c r="C350" i="11"/>
  <c r="D349" i="11"/>
  <c r="E348" i="11"/>
  <c r="F347" i="11"/>
  <c r="G346" i="11"/>
  <c r="I346" i="11" s="1"/>
  <c r="G452" i="11"/>
  <c r="I452" i="11" s="1"/>
  <c r="K452" i="11" s="1"/>
  <c r="E438" i="11"/>
  <c r="H423" i="11"/>
  <c r="G416" i="11"/>
  <c r="I416" i="11" s="1"/>
  <c r="K416" i="11" s="1"/>
  <c r="F409" i="11"/>
  <c r="E402" i="11"/>
  <c r="F397" i="11"/>
  <c r="D384" i="11"/>
  <c r="H380" i="11"/>
  <c r="C377" i="11"/>
  <c r="G373" i="11"/>
  <c r="I373" i="11" s="1"/>
  <c r="K373" i="11" s="1"/>
  <c r="D368" i="11"/>
  <c r="G366" i="11"/>
  <c r="I366" i="11" s="1"/>
  <c r="K366" i="11" s="1"/>
  <c r="J358" i="11"/>
  <c r="J357" i="11"/>
  <c r="J356" i="11"/>
  <c r="J355" i="11"/>
  <c r="J354" i="11"/>
  <c r="J353" i="11"/>
  <c r="J352" i="11"/>
  <c r="J350" i="11"/>
  <c r="C349" i="11"/>
  <c r="G436" i="11"/>
  <c r="I436" i="11" s="1"/>
  <c r="K436" i="11" s="1"/>
  <c r="F429" i="11"/>
  <c r="E422" i="11"/>
  <c r="D415" i="11"/>
  <c r="C408" i="11"/>
  <c r="E401" i="11"/>
  <c r="G396" i="11"/>
  <c r="I396" i="11" s="1"/>
  <c r="K396" i="11" s="1"/>
  <c r="J391" i="11"/>
  <c r="D387" i="11"/>
  <c r="G383" i="11"/>
  <c r="I383" i="11" s="1"/>
  <c r="K383" i="11" s="1"/>
  <c r="F376" i="11"/>
  <c r="C373" i="11"/>
  <c r="E371" i="11"/>
  <c r="G369" i="11"/>
  <c r="I369" i="11" s="1"/>
  <c r="K369" i="11" s="1"/>
  <c r="F366" i="11"/>
  <c r="J364" i="11"/>
  <c r="J363" i="11"/>
  <c r="J362" i="11"/>
  <c r="J361" i="11"/>
  <c r="J360" i="11"/>
  <c r="H352" i="11"/>
  <c r="H351" i="11"/>
  <c r="J349" i="11"/>
  <c r="C348" i="11"/>
  <c r="D347" i="11"/>
  <c r="E346" i="11"/>
  <c r="G349" i="11"/>
  <c r="I349" i="11" s="1"/>
  <c r="K349" i="11" s="1"/>
  <c r="H348" i="11"/>
  <c r="D348" i="11"/>
  <c r="E354" i="11"/>
  <c r="E353" i="11"/>
  <c r="E347" i="11"/>
  <c r="E352" i="11"/>
  <c r="J346" i="11"/>
  <c r="E351" i="11"/>
  <c r="F346" i="11"/>
  <c r="F350" i="11"/>
  <c r="G113" i="11"/>
  <c r="G176" i="11"/>
  <c r="G184" i="11"/>
  <c r="G192" i="11"/>
  <c r="G200" i="11"/>
  <c r="G208" i="11"/>
  <c r="G214" i="11"/>
  <c r="G219" i="11"/>
  <c r="G230" i="11"/>
  <c r="G235" i="11"/>
  <c r="G175" i="11"/>
  <c r="G183" i="11"/>
  <c r="G191" i="11"/>
  <c r="G199" i="11"/>
  <c r="G207" i="11"/>
  <c r="G180" i="11"/>
  <c r="G188" i="11"/>
  <c r="G196" i="11"/>
  <c r="G204" i="11"/>
  <c r="G211" i="11"/>
  <c r="G222" i="11"/>
  <c r="G227" i="11"/>
  <c r="G178" i="11"/>
  <c r="G186" i="11"/>
  <c r="G194" i="11"/>
  <c r="G202" i="11"/>
  <c r="G210" i="11"/>
  <c r="G215" i="11"/>
  <c r="G226" i="11"/>
  <c r="G231" i="11"/>
  <c r="G216" i="11"/>
  <c r="G224" i="11"/>
  <c r="G232" i="11"/>
  <c r="G240" i="11"/>
  <c r="G248" i="11"/>
  <c r="G256" i="11"/>
  <c r="G264" i="11"/>
  <c r="G268" i="11"/>
  <c r="G272" i="11"/>
  <c r="G276" i="11"/>
  <c r="G280" i="11"/>
  <c r="G284" i="11"/>
  <c r="G288" i="11"/>
  <c r="G292" i="11"/>
  <c r="G239" i="11"/>
  <c r="G247" i="11"/>
  <c r="G255" i="11"/>
  <c r="G263" i="11"/>
  <c r="G212" i="11"/>
  <c r="G220" i="11"/>
  <c r="G228" i="11"/>
  <c r="G236" i="11"/>
  <c r="G244" i="11"/>
  <c r="G252" i="11"/>
  <c r="G260" i="11"/>
  <c r="G266" i="11"/>
  <c r="G270" i="11"/>
  <c r="G274" i="11"/>
  <c r="G278" i="11"/>
  <c r="G282" i="11"/>
  <c r="G286" i="11"/>
  <c r="G290" i="11"/>
  <c r="G294" i="11"/>
  <c r="G243" i="11"/>
  <c r="G251" i="11"/>
  <c r="G259" i="11"/>
  <c r="I7" i="9" l="1"/>
  <c r="I8" i="9"/>
  <c r="I348" i="11"/>
  <c r="K348" i="11" s="1"/>
  <c r="I363" i="11"/>
  <c r="K363" i="11" s="1"/>
  <c r="I351" i="11"/>
  <c r="K351" i="11" s="1"/>
  <c r="I447" i="11"/>
  <c r="K447" i="11" s="1"/>
  <c r="I393" i="11"/>
  <c r="K393" i="11" s="1"/>
  <c r="I457" i="11"/>
  <c r="K457" i="11" s="1"/>
  <c r="I419" i="11"/>
  <c r="K419" i="11" s="1"/>
  <c r="I413" i="11"/>
  <c r="K413" i="11" s="1"/>
  <c r="I352" i="11"/>
  <c r="K352" i="11" s="1"/>
  <c r="I382" i="11"/>
  <c r="K382" i="11" s="1"/>
  <c r="I390" i="11"/>
  <c r="K390" i="11" s="1"/>
  <c r="I449" i="11"/>
  <c r="K449" i="11" s="1"/>
  <c r="I411" i="11"/>
  <c r="K411" i="11" s="1"/>
  <c r="I405" i="11"/>
  <c r="K405" i="11" s="1"/>
  <c r="I374" i="11"/>
  <c r="K374" i="11" s="1"/>
  <c r="I398" i="11"/>
  <c r="K398" i="11" s="1"/>
  <c r="I431" i="11"/>
  <c r="K431" i="11" s="1"/>
  <c r="I441" i="11"/>
  <c r="K441" i="11" s="1"/>
  <c r="I403" i="11"/>
  <c r="K403" i="11" s="1"/>
  <c r="I397" i="11"/>
  <c r="K397" i="11" s="1"/>
  <c r="B464" i="11"/>
  <c r="C464" i="11" s="1"/>
  <c r="B463" i="11"/>
  <c r="C463" i="11" s="1"/>
  <c r="B462" i="11"/>
  <c r="C462" i="11" s="1"/>
  <c r="K346" i="11"/>
  <c r="I357" i="11"/>
  <c r="K357" i="11" s="1"/>
  <c r="I423" i="11"/>
  <c r="K423" i="11" s="1"/>
  <c r="I433" i="11"/>
  <c r="K433" i="11" s="1"/>
  <c r="I389" i="11"/>
  <c r="K389" i="11" s="1"/>
  <c r="I453" i="11"/>
  <c r="K453" i="11" s="1"/>
  <c r="I415" i="11"/>
  <c r="K415" i="11" s="1"/>
  <c r="I425" i="11"/>
  <c r="K425" i="11" s="1"/>
  <c r="I451" i="11"/>
  <c r="K451" i="11" s="1"/>
  <c r="I445" i="11"/>
  <c r="K445" i="11" s="1"/>
  <c r="I380" i="11"/>
  <c r="K380" i="11" s="1"/>
  <c r="I407" i="11"/>
  <c r="K407" i="11" s="1"/>
  <c r="I417" i="11"/>
  <c r="K417" i="11" s="1"/>
  <c r="I443" i="11"/>
  <c r="K443" i="11" s="1"/>
  <c r="I437" i="11"/>
  <c r="K437" i="11" s="1"/>
  <c r="I362" i="11"/>
  <c r="K362" i="11" s="1"/>
  <c r="I372" i="11"/>
  <c r="K372" i="11" s="1"/>
  <c r="I409" i="11"/>
  <c r="K409" i="11" s="1"/>
  <c r="I435" i="11"/>
  <c r="K435" i="11" s="1"/>
  <c r="I429" i="11"/>
  <c r="K429" i="11" s="1"/>
  <c r="I354" i="11"/>
  <c r="K354" i="11" s="1"/>
  <c r="I455" i="11"/>
  <c r="K455" i="11" s="1"/>
  <c r="I401" i="11"/>
  <c r="K401" i="11" s="1"/>
  <c r="I427" i="11"/>
  <c r="K427" i="11" s="1"/>
  <c r="I421" i="11"/>
  <c r="K421" i="11" s="1"/>
</calcChain>
</file>

<file path=xl/sharedStrings.xml><?xml version="1.0" encoding="utf-8"?>
<sst xmlns="http://schemas.openxmlformats.org/spreadsheetml/2006/main" count="4797" uniqueCount="1047">
  <si>
    <t>Laboratorio: Mundiales 2018, 2022 y 2026</t>
  </si>
  <si>
    <t>Preparación de datos con Excel y Python; transición al análisis supervisado. Se utiliza exclusivamente la fase de grupos para mantener comparable la etapa deportiva.</t>
  </si>
  <si>
    <t>Ruta de trabajo</t>
  </si>
  <si>
    <t>Paso</t>
  </si>
  <si>
    <t>Actividad</t>
  </si>
  <si>
    <t>Qué debe ocurrir</t>
  </si>
  <si>
    <t>Herramienta</t>
  </si>
  <si>
    <t>1</t>
  </si>
  <si>
    <t>Perfilar</t>
  </si>
  <si>
    <t>Revisar estructura, tipos, vacíos, valores extraños y duplicados.</t>
  </si>
  <si>
    <t>Excel</t>
  </si>
  <si>
    <t>2</t>
  </si>
  <si>
    <t>Definir reglas</t>
  </si>
  <si>
    <t>Documentar qué se corregirá y con qué evidencia.</t>
  </si>
  <si>
    <t>Bitácora</t>
  </si>
  <si>
    <t>3</t>
  </si>
  <si>
    <t>Limpiar</t>
  </si>
  <si>
    <t>Normalizar columnas, equipos, fechas, grupos, goles y booleanos.</t>
  </si>
  <si>
    <t>Excel / Python</t>
  </si>
  <si>
    <t>4</t>
  </si>
  <si>
    <t>Validar</t>
  </si>
  <si>
    <t>Comprobar conteos, unicidad, rangos y consistencia.</t>
  </si>
  <si>
    <t>Pruebas</t>
  </si>
  <si>
    <t>5</t>
  </si>
  <si>
    <t>Comparar</t>
  </si>
  <si>
    <t>Usar tasas y promedios; no solo totales.</t>
  </si>
  <si>
    <t>6</t>
  </si>
  <si>
    <t>Modelar</t>
  </si>
  <si>
    <t>Construir variables conocidas antes del partido.</t>
  </si>
  <si>
    <t>Python</t>
  </si>
  <si>
    <t>7</t>
  </si>
  <si>
    <t>Evaluar</t>
  </si>
  <si>
    <t>Comparar árbol, línea base y experimento con fuga.</t>
  </si>
  <si>
    <t>Resultados de control después de limpiar</t>
  </si>
  <si>
    <t>Mundial</t>
  </si>
  <si>
    <t>Partidos</t>
  </si>
  <si>
    <t>Goles</t>
  </si>
  <si>
    <t>Goles/partido</t>
  </si>
  <si>
    <t>Empates</t>
  </si>
  <si>
    <t>Cobertura</t>
  </si>
  <si>
    <t>32 equipos / 8 grupos</t>
  </si>
  <si>
    <t>48 equipos / 12 grupos</t>
  </si>
  <si>
    <t>Advertencia: los datos sucios contienen errores deliberados. No elimines registros ni imputes valores sin justificar la decisión. El objetivo no es únicamente obtener una tabla limpia, sino construir un proceso reproducible y explicar por qué cada transformación es necesaria.</t>
  </si>
  <si>
    <t>Diccionario de la base integrada</t>
  </si>
  <si>
    <t>Campos mínimos esperados después de unificar los tres archivos.</t>
  </si>
  <si>
    <t>Campo</t>
  </si>
  <si>
    <t>Tipo esperado</t>
  </si>
  <si>
    <t>Descripción</t>
  </si>
  <si>
    <t>Ejemplo</t>
  </si>
  <si>
    <t>Derivado</t>
  </si>
  <si>
    <t>partido_id</t>
  </si>
  <si>
    <t>Texto</t>
  </si>
  <si>
    <t>Identificador único del encuentro.</t>
  </si>
  <si>
    <t>M-2018-001</t>
  </si>
  <si>
    <t>No</t>
  </si>
  <si>
    <t>mundial</t>
  </si>
  <si>
    <t>Entero</t>
  </si>
  <si>
    <t>Año del torneo.</t>
  </si>
  <si>
    <t>fase</t>
  </si>
  <si>
    <t>Categoría</t>
  </si>
  <si>
    <t>Etapa del torneo; en el kit siempre será Fase de grupos.</t>
  </si>
  <si>
    <t>Fase de grupos</t>
  </si>
  <si>
    <t>grupo</t>
  </si>
  <si>
    <t>Grupo A-L.</t>
  </si>
  <si>
    <t>A</t>
  </si>
  <si>
    <t>jornada</t>
  </si>
  <si>
    <t>Jornada 1, 2 o 3.</t>
  </si>
  <si>
    <t>fecha</t>
  </si>
  <si>
    <t>Fecha</t>
  </si>
  <si>
    <t>Fecha real del partido.</t>
  </si>
  <si>
    <t>2018-06-14</t>
  </si>
  <si>
    <t>equipo_local</t>
  </si>
  <si>
    <t>Nombre canónico del equipo local.</t>
  </si>
  <si>
    <t>Russia</t>
  </si>
  <si>
    <t>equipo_visitante</t>
  </si>
  <si>
    <t>Nombre canónico del equipo visitante.</t>
  </si>
  <si>
    <t>Saudi Arabia</t>
  </si>
  <si>
    <t>goles_local</t>
  </si>
  <si>
    <t>Goles del equipo local; debe ser mayor o igual que cero.</t>
  </si>
  <si>
    <t>goles_visitante</t>
  </si>
  <si>
    <t>Goles del visitante; debe ser mayor o igual que cero.</t>
  </si>
  <si>
    <t>marcador</t>
  </si>
  <si>
    <t>Texto goles_local-goles_visitante.</t>
  </si>
  <si>
    <t>5-0</t>
  </si>
  <si>
    <t>Sí</t>
  </si>
  <si>
    <t>resultado_local</t>
  </si>
  <si>
    <t>Gana, Empata o Pierde desde la perspectiva local.</t>
  </si>
  <si>
    <t>Gana</t>
  </si>
  <si>
    <t>local_es_anfitrion</t>
  </si>
  <si>
    <t>Booleano</t>
  </si>
  <si>
    <t>Indica si el local pertenece a un país anfitrión.</t>
  </si>
  <si>
    <t>visitante_es_anfitrion</t>
  </si>
  <si>
    <t>Indica si el visitante pertenece a un país anfitrión.</t>
  </si>
  <si>
    <t>goles_totales</t>
  </si>
  <si>
    <t>Suma de los goles del partido.</t>
  </si>
  <si>
    <t>diferencia_goles</t>
  </si>
  <si>
    <t>Goles local menos goles visitante.</t>
  </si>
  <si>
    <t>puntos_local</t>
  </si>
  <si>
    <t>3 por victoria, 1 por empate y 0 por derrota.</t>
  </si>
  <si>
    <t>puntos_visitante</t>
  </si>
  <si>
    <t>fuente</t>
  </si>
  <si>
    <t>URL</t>
  </si>
  <si>
    <t>Origen del dato limpio.</t>
  </si>
  <si>
    <t>https://...</t>
  </si>
  <si>
    <t>Catálogo de equipos</t>
  </si>
  <si>
    <t>Utiliza la variante para buscar y devolver el nombre canónico. Conserva los acentos en el nombre que se mostrará.</t>
  </si>
  <si>
    <t>Variante</t>
  </si>
  <si>
    <t>Nombre canónico</t>
  </si>
  <si>
    <t>Código</t>
  </si>
  <si>
    <t>Observación del equipo</t>
  </si>
  <si>
    <t>Algeria</t>
  </si>
  <si>
    <t>DZA</t>
  </si>
  <si>
    <t>Argentina</t>
  </si>
  <si>
    <t>ARG</t>
  </si>
  <si>
    <t>Australia</t>
  </si>
  <si>
    <t>AUS</t>
  </si>
  <si>
    <t>Austria</t>
  </si>
  <si>
    <t>AUT</t>
  </si>
  <si>
    <t>Belgium</t>
  </si>
  <si>
    <t>BEL</t>
  </si>
  <si>
    <t>Bosnia</t>
  </si>
  <si>
    <t>Bosnia and Herzegovina</t>
  </si>
  <si>
    <t>BIH</t>
  </si>
  <si>
    <t>Bosnia &amp; Herzegovina</t>
  </si>
  <si>
    <t>Bosnia-Herzegovina</t>
  </si>
  <si>
    <t>Brasil</t>
  </si>
  <si>
    <t>Brazil</t>
  </si>
  <si>
    <t>BRA</t>
  </si>
  <si>
    <t>Cameroon</t>
  </si>
  <si>
    <t>CMR</t>
  </si>
  <si>
    <t>Canada</t>
  </si>
  <si>
    <t>CAN</t>
  </si>
  <si>
    <t>Cabo Verde</t>
  </si>
  <si>
    <t>Cape Verde</t>
  </si>
  <si>
    <t>CPV</t>
  </si>
  <si>
    <t>Cape-Verde</t>
  </si>
  <si>
    <t>Colombia</t>
  </si>
  <si>
    <t>COL</t>
  </si>
  <si>
    <t>Costa Rica</t>
  </si>
  <si>
    <t>CRI</t>
  </si>
  <si>
    <t>Croatia</t>
  </si>
  <si>
    <t>HRV</t>
  </si>
  <si>
    <t>CURACAO</t>
  </si>
  <si>
    <t>Curacao</t>
  </si>
  <si>
    <t>CUW</t>
  </si>
  <si>
    <t>Curaçao</t>
  </si>
  <si>
    <t>Czech Rep.</t>
  </si>
  <si>
    <t>Czechia</t>
  </si>
  <si>
    <t>CZE</t>
  </si>
  <si>
    <t>Czech Republic</t>
  </si>
  <si>
    <t>Congo DR</t>
  </si>
  <si>
    <t>DR Congo</t>
  </si>
  <si>
    <t>COD</t>
  </si>
  <si>
    <t>D.R. Congo</t>
  </si>
  <si>
    <t>Democratic Republic of the Congo</t>
  </si>
  <si>
    <t>Denmark</t>
  </si>
  <si>
    <t>DNK</t>
  </si>
  <si>
    <t>Ecuador</t>
  </si>
  <si>
    <t>ECU</t>
  </si>
  <si>
    <t>Egypt</t>
  </si>
  <si>
    <t>EGY</t>
  </si>
  <si>
    <t>England</t>
  </si>
  <si>
    <t>ENG</t>
  </si>
  <si>
    <t>France</t>
  </si>
  <si>
    <t>FRA</t>
  </si>
  <si>
    <t>Deutschland</t>
  </si>
  <si>
    <t>Germany</t>
  </si>
  <si>
    <t>DEU</t>
  </si>
  <si>
    <t>Ghana</t>
  </si>
  <si>
    <t>GHA</t>
  </si>
  <si>
    <t>Haiti</t>
  </si>
  <si>
    <t>HTI</t>
  </si>
  <si>
    <t>Iceland</t>
  </si>
  <si>
    <t>ISL</t>
  </si>
  <si>
    <t>IR Iran</t>
  </si>
  <si>
    <t>Iran</t>
  </si>
  <si>
    <t>IRN</t>
  </si>
  <si>
    <t>Iran, I.R.</t>
  </si>
  <si>
    <t>Iraq</t>
  </si>
  <si>
    <t>IRQ</t>
  </si>
  <si>
    <t>Cote d Ivoire</t>
  </si>
  <si>
    <t>Ivory Coast</t>
  </si>
  <si>
    <t>CIV</t>
  </si>
  <si>
    <t>Côte d'Ivoire</t>
  </si>
  <si>
    <t>Côte d’Ivoire</t>
  </si>
  <si>
    <t>Japan</t>
  </si>
  <si>
    <t>JPN</t>
  </si>
  <si>
    <t>Jordan</t>
  </si>
  <si>
    <t>Mexico</t>
  </si>
  <si>
    <t>MEX</t>
  </si>
  <si>
    <t>México</t>
  </si>
  <si>
    <t>Morocco</t>
  </si>
  <si>
    <t>MAR</t>
  </si>
  <si>
    <t>Holland</t>
  </si>
  <si>
    <t>Netherlands</t>
  </si>
  <si>
    <t>NLD</t>
  </si>
  <si>
    <t>The Netherlands</t>
  </si>
  <si>
    <t>New Zealand</t>
  </si>
  <si>
    <t>NZL</t>
  </si>
  <si>
    <t>New-Zealand</t>
  </si>
  <si>
    <t>Nigeria</t>
  </si>
  <si>
    <t>NGA</t>
  </si>
  <si>
    <t>Norway</t>
  </si>
  <si>
    <t>NOR</t>
  </si>
  <si>
    <t>Panama</t>
  </si>
  <si>
    <t>PAN</t>
  </si>
  <si>
    <t>Paraguay</t>
  </si>
  <si>
    <t>PRY</t>
  </si>
  <si>
    <t>Peru</t>
  </si>
  <si>
    <t>PER</t>
  </si>
  <si>
    <t>Poland</t>
  </si>
  <si>
    <t>POL</t>
  </si>
  <si>
    <t>Portugal</t>
  </si>
  <si>
    <t>PRT</t>
  </si>
  <si>
    <t>Qatar</t>
  </si>
  <si>
    <t>QAT</t>
  </si>
  <si>
    <t>RUS</t>
  </si>
  <si>
    <t>KSA</t>
  </si>
  <si>
    <t>SAU</t>
  </si>
  <si>
    <t>Saudi-Arabia</t>
  </si>
  <si>
    <t>Scotland</t>
  </si>
  <si>
    <t>SCO</t>
  </si>
  <si>
    <t>Senegal</t>
  </si>
  <si>
    <t>SEN</t>
  </si>
  <si>
    <t>Serbia</t>
  </si>
  <si>
    <t>SRB</t>
  </si>
  <si>
    <t>South Africa</t>
  </si>
  <si>
    <t>ZAF</t>
  </si>
  <si>
    <t>Korea Rep.</t>
  </si>
  <si>
    <t>South Korea</t>
  </si>
  <si>
    <t>KOR</t>
  </si>
  <si>
    <t>Korea Republic</t>
  </si>
  <si>
    <t>Rep. of Korea</t>
  </si>
  <si>
    <t>España</t>
  </si>
  <si>
    <t>Spain</t>
  </si>
  <si>
    <t>ESP</t>
  </si>
  <si>
    <t>Sweden</t>
  </si>
  <si>
    <t>SWE</t>
  </si>
  <si>
    <t>Suisse</t>
  </si>
  <si>
    <t>Switzerland</t>
  </si>
  <si>
    <t>CHE</t>
  </si>
  <si>
    <t>Tunisia</t>
  </si>
  <si>
    <t>TUN</t>
  </si>
  <si>
    <t>Turkey</t>
  </si>
  <si>
    <t>TUR</t>
  </si>
  <si>
    <t>Turkiye</t>
  </si>
  <si>
    <t>Türkiye</t>
  </si>
  <si>
    <t>U.S.A.</t>
  </si>
  <si>
    <t>United States</t>
  </si>
  <si>
    <t>USA</t>
  </si>
  <si>
    <t>US</t>
  </si>
  <si>
    <t>United States of America</t>
  </si>
  <si>
    <t>Uruguay</t>
  </si>
  <si>
    <t>URY</t>
  </si>
  <si>
    <t>Uzbekistan</t>
  </si>
  <si>
    <t>Wales</t>
  </si>
  <si>
    <t>WAL</t>
  </si>
  <si>
    <t>03 Sucio 2018</t>
  </si>
  <si>
    <t>Datos deliberadamente alterados: revisa formatos, nulos, conflictos y duplicados.</t>
  </si>
  <si>
    <t>ID Partido</t>
  </si>
  <si>
    <t>Año</t>
  </si>
  <si>
    <t>Fase</t>
  </si>
  <si>
    <t>Grupo</t>
  </si>
  <si>
    <t>Jornada</t>
  </si>
  <si>
    <t>Hora</t>
  </si>
  <si>
    <t>Equipo Local</t>
  </si>
  <si>
    <t>Equipo Visitante</t>
  </si>
  <si>
    <t>Goles Local</t>
  </si>
  <si>
    <t>Goles Visitante</t>
  </si>
  <si>
    <t>Marcador</t>
  </si>
  <si>
    <t>Anfitrión Local</t>
  </si>
  <si>
    <t>Estadio</t>
  </si>
  <si>
    <t>Ciudad</t>
  </si>
  <si>
    <t>Fuente</t>
  </si>
  <si>
    <t>M-2018-01</t>
  </si>
  <si>
    <t>2018</t>
  </si>
  <si>
    <t>Grupo A</t>
  </si>
  <si>
    <t>18:00</t>
  </si>
  <si>
    <t>russia</t>
  </si>
  <si>
    <t>5 goles</t>
  </si>
  <si>
    <t>Luzhniki Stadium</t>
  </si>
  <si>
    <t>Moscow</t>
  </si>
  <si>
    <t>https://github.com/jfjelstul/worldcup</t>
  </si>
  <si>
    <t>M-2018-02</t>
  </si>
  <si>
    <t>GROUP STAGE</t>
  </si>
  <si>
    <t>15/06/2018</t>
  </si>
  <si>
    <t>17:00</t>
  </si>
  <si>
    <t>0</t>
  </si>
  <si>
    <t>0–1</t>
  </si>
  <si>
    <t>Central Stadium</t>
  </si>
  <si>
    <t>Yekaterinburg</t>
  </si>
  <si>
    <t>M-2018-03</t>
  </si>
  <si>
    <t>grupos</t>
  </si>
  <si>
    <t>group-b</t>
  </si>
  <si>
    <t>06/15/2018</t>
  </si>
  <si>
    <t>0 : 1</t>
  </si>
  <si>
    <t>FALSE</t>
  </si>
  <si>
    <t>Krestovsky Stadium</t>
  </si>
  <si>
    <t>Saint Petersburg</t>
  </si>
  <si>
    <t>M-2018-04</t>
  </si>
  <si>
    <t>1ra fase</t>
  </si>
  <si>
    <t>Grupo B</t>
  </si>
  <si>
    <t>15-06-18</t>
  </si>
  <si>
    <t>21:00</t>
  </si>
  <si>
    <t>3 x 3</t>
  </si>
  <si>
    <t>no</t>
  </si>
  <si>
    <t>Fisht Olympic Stadium</t>
  </si>
  <si>
    <t>Sochi</t>
  </si>
  <si>
    <t>M-2018-05</t>
  </si>
  <si>
    <t>C</t>
  </si>
  <si>
    <t>Jun 16, 2018</t>
  </si>
  <si>
    <t>13:00</t>
  </si>
  <si>
    <t>2—1</t>
  </si>
  <si>
    <t>Kazan Arena</t>
  </si>
  <si>
    <t>Kazan</t>
  </si>
  <si>
    <t>M-2018-06</t>
  </si>
  <si>
    <t>group-d</t>
  </si>
  <si>
    <t>2018-06-16</t>
  </si>
  <si>
    <t>16:00</t>
  </si>
  <si>
    <t>1-1</t>
  </si>
  <si>
    <t>Otkritie Arena</t>
  </si>
  <si>
    <t>M-2018-07</t>
  </si>
  <si>
    <t>Grupo C</t>
  </si>
  <si>
    <t>16/06/2018</t>
  </si>
  <si>
    <t>19:00</t>
  </si>
  <si>
    <t>Mordovia Arena</t>
  </si>
  <si>
    <t>Saransk</t>
  </si>
  <si>
    <t>M-2018-08</t>
  </si>
  <si>
    <t>D</t>
  </si>
  <si>
    <t>06/16/2018</t>
  </si>
  <si>
    <t>2 : 0</t>
  </si>
  <si>
    <t>Kaliningrad Stadium</t>
  </si>
  <si>
    <t>Kaliningrad</t>
  </si>
  <si>
    <t>M-2018-09</t>
  </si>
  <si>
    <t>group-e</t>
  </si>
  <si>
    <t>17-06-18</t>
  </si>
  <si>
    <t>0 x 1</t>
  </si>
  <si>
    <t>Samara Arena</t>
  </si>
  <si>
    <t>Samara</t>
  </si>
  <si>
    <t>M-2018-10</t>
  </si>
  <si>
    <t>Jun 17, 2018</t>
  </si>
  <si>
    <t>0—1</t>
  </si>
  <si>
    <t>M-2018-11</t>
  </si>
  <si>
    <t>E</t>
  </si>
  <si>
    <t>2018-06-17</t>
  </si>
  <si>
    <t>Rostov Arena</t>
  </si>
  <si>
    <t>Rostov-on-Don</t>
  </si>
  <si>
    <t>M-2018-12</t>
  </si>
  <si>
    <t>group-f</t>
  </si>
  <si>
    <t>18/06/2018</t>
  </si>
  <si>
    <t>15:00</t>
  </si>
  <si>
    <t>1–0</t>
  </si>
  <si>
    <t>Nizhny Novgorod Stadium</t>
  </si>
  <si>
    <t>Nizhny Novgorod</t>
  </si>
  <si>
    <t>M-2018-13</t>
  </si>
  <si>
    <t>Grupo G</t>
  </si>
  <si>
    <t>06/18/2018</t>
  </si>
  <si>
    <t>3 : 0</t>
  </si>
  <si>
    <t>M-2018-14</t>
  </si>
  <si>
    <t>G</t>
  </si>
  <si>
    <t>18-06-18</t>
  </si>
  <si>
    <t>1 goles</t>
  </si>
  <si>
    <t>1 x 2</t>
  </si>
  <si>
    <t>Volgograd Arena</t>
  </si>
  <si>
    <t>Volgograd</t>
  </si>
  <si>
    <t>M-2018-15</t>
  </si>
  <si>
    <t>group-h</t>
  </si>
  <si>
    <t>Jun 19, 2018</t>
  </si>
  <si>
    <t>JAPAN</t>
  </si>
  <si>
    <t>1—2</t>
  </si>
  <si>
    <t>M-2018-16</t>
  </si>
  <si>
    <t>Grupo H</t>
  </si>
  <si>
    <t>2018-06-19</t>
  </si>
  <si>
    <t>M-2018-17</t>
  </si>
  <si>
    <t>19/06/2018</t>
  </si>
  <si>
    <t>3–1</t>
  </si>
  <si>
    <t>M-2018-18</t>
  </si>
  <si>
    <t>06/20/2018</t>
  </si>
  <si>
    <t>PORTUGAL</t>
  </si>
  <si>
    <t>1 : 0</t>
  </si>
  <si>
    <t>M-2018-19</t>
  </si>
  <si>
    <t>20-06-18</t>
  </si>
  <si>
    <t>1 x 0</t>
  </si>
  <si>
    <t>M-2018-20</t>
  </si>
  <si>
    <t>B</t>
  </si>
  <si>
    <t>Jun 20, 2018</t>
  </si>
  <si>
    <t>M-2018-21</t>
  </si>
  <si>
    <t>group-c</t>
  </si>
  <si>
    <t>2018-06-21</t>
  </si>
  <si>
    <t>australia</t>
  </si>
  <si>
    <t>M-2018-22</t>
  </si>
  <si>
    <t>21/06/2018</t>
  </si>
  <si>
    <t>20:00</t>
  </si>
  <si>
    <t>M-2018-23</t>
  </si>
  <si>
    <t>06/21/2018</t>
  </si>
  <si>
    <t>-1</t>
  </si>
  <si>
    <t>0 : 3</t>
  </si>
  <si>
    <t>M-2018-24</t>
  </si>
  <si>
    <t>22-06-18</t>
  </si>
  <si>
    <t>brazil</t>
  </si>
  <si>
    <t>2 x 0</t>
  </si>
  <si>
    <t>M-2018-25</t>
  </si>
  <si>
    <t>Grupo D</t>
  </si>
  <si>
    <t>Jun 22, 2018</t>
  </si>
  <si>
    <t>2—0</t>
  </si>
  <si>
    <t>M-2018-26</t>
  </si>
  <si>
    <t>2018-06-22</t>
  </si>
  <si>
    <t>1-2</t>
  </si>
  <si>
    <t>M-2018-27</t>
  </si>
  <si>
    <t>group-g</t>
  </si>
  <si>
    <t>23/06/2018</t>
  </si>
  <si>
    <t>5–2</t>
  </si>
  <si>
    <t>M-2018-28</t>
  </si>
  <si>
    <t>Grupo F</t>
  </si>
  <si>
    <t>06/23/2018</t>
  </si>
  <si>
    <t>1 : 2</t>
  </si>
  <si>
    <t>M-2018-29</t>
  </si>
  <si>
    <t>F</t>
  </si>
  <si>
    <t>23-06-18</t>
  </si>
  <si>
    <t>2 x 1</t>
  </si>
  <si>
    <t>M-2018-30</t>
  </si>
  <si>
    <t>Jun 24, 2018</t>
  </si>
  <si>
    <t>6—1</t>
  </si>
  <si>
    <t>M-2018-31</t>
  </si>
  <si>
    <t>2018-06-24</t>
  </si>
  <si>
    <t>2-2</t>
  </si>
  <si>
    <t>M-2018-32</t>
  </si>
  <si>
    <t>s/d</t>
  </si>
  <si>
    <t>24/06/2018</t>
  </si>
  <si>
    <t>COLOMBIA</t>
  </si>
  <si>
    <t>0–3</t>
  </si>
  <si>
    <t>M-2018-33</t>
  </si>
  <si>
    <t>group-a</t>
  </si>
  <si>
    <t>06/25/2018</t>
  </si>
  <si>
    <t>2 : 1</t>
  </si>
  <si>
    <t>M-2018-34</t>
  </si>
  <si>
    <t>25-06-18</t>
  </si>
  <si>
    <t>3 x 0</t>
  </si>
  <si>
    <t>M-2018-35</t>
  </si>
  <si>
    <t>Jun 25, 2018</t>
  </si>
  <si>
    <t>ESPAÑA</t>
  </si>
  <si>
    <t>2—2</t>
  </si>
  <si>
    <t>M-2018-36</t>
  </si>
  <si>
    <t>2018-06-25</t>
  </si>
  <si>
    <t>M-2018-37</t>
  </si>
  <si>
    <t>26/06/2018</t>
  </si>
  <si>
    <t>0–2</t>
  </si>
  <si>
    <t>M-2018-38</t>
  </si>
  <si>
    <t>06/26/2018</t>
  </si>
  <si>
    <t>0 : 0</t>
  </si>
  <si>
    <t>M-2018-39</t>
  </si>
  <si>
    <t>26-06-18</t>
  </si>
  <si>
    <t>M-2018-40</t>
  </si>
  <si>
    <t>Jun 26, 2018</t>
  </si>
  <si>
    <t>M-2018-41</t>
  </si>
  <si>
    <t>2018-06-27</t>
  </si>
  <si>
    <t>2-0</t>
  </si>
  <si>
    <t>M-2018-42</t>
  </si>
  <si>
    <t>27/06/2018</t>
  </si>
  <si>
    <t>M-2018-43</t>
  </si>
  <si>
    <t>Grupo E</t>
  </si>
  <si>
    <t>06/27/2018</t>
  </si>
  <si>
    <t>0 : 2</t>
  </si>
  <si>
    <t>M-2018-44</t>
  </si>
  <si>
    <t>27-06-18</t>
  </si>
  <si>
    <t>costa rica</t>
  </si>
  <si>
    <t>2 x 2</t>
  </si>
  <si>
    <t>M-2018-45</t>
  </si>
  <si>
    <t>Jun 28, 2018</t>
  </si>
  <si>
    <t>M-2018-46</t>
  </si>
  <si>
    <t>2018-06-28</t>
  </si>
  <si>
    <t>0-1</t>
  </si>
  <si>
    <t>M-2018-47</t>
  </si>
  <si>
    <t>28/06/2018</t>
  </si>
  <si>
    <t>england</t>
  </si>
  <si>
    <t>M-2018-48</t>
  </si>
  <si>
    <t>06/28/2018</t>
  </si>
  <si>
    <t>04 Sucio 2022</t>
  </si>
  <si>
    <t>El esquema y los nombres de columnas no son iguales a 2018.</t>
  </si>
  <si>
    <t>match_id</t>
  </si>
  <si>
    <t>WorldCup</t>
  </si>
  <si>
    <t>stage</t>
  </si>
  <si>
    <t>group_name</t>
  </si>
  <si>
    <t>match_day</t>
  </si>
  <si>
    <t>date</t>
  </si>
  <si>
    <t>local</t>
  </si>
  <si>
    <t>visitor</t>
  </si>
  <si>
    <t>home_score</t>
  </si>
  <si>
    <t>away_score</t>
  </si>
  <si>
    <t>score_text</t>
  </si>
  <si>
    <t>home_host</t>
  </si>
  <si>
    <t>venue</t>
  </si>
  <si>
    <t>city_name</t>
  </si>
  <si>
    <t>comentario</t>
  </si>
  <si>
    <t>source_url</t>
  </si>
  <si>
    <t>M-2022-01</t>
  </si>
  <si>
    <t>2022</t>
  </si>
  <si>
    <t>group</t>
  </si>
  <si>
    <t>Group A</t>
  </si>
  <si>
    <t>2022-11-20</t>
  </si>
  <si>
    <t>N/A</t>
  </si>
  <si>
    <t>Al Bayt Stadium</t>
  </si>
  <si>
    <t>Al Khor</t>
  </si>
  <si>
    <t>ok</t>
  </si>
  <si>
    <t>M-2022-02</t>
  </si>
  <si>
    <t>Group Stage</t>
  </si>
  <si>
    <t>21/11/2022</t>
  </si>
  <si>
    <t>6 x 2</t>
  </si>
  <si>
    <t>Khalifa International Stadium</t>
  </si>
  <si>
    <t>Al Rayyan</t>
  </si>
  <si>
    <t>M-2022-03</t>
  </si>
  <si>
    <t>Fase grupos</t>
  </si>
  <si>
    <t>11/21/2022</t>
  </si>
  <si>
    <t>0—2</t>
  </si>
  <si>
    <t>Al Thumama Stadium</t>
  </si>
  <si>
    <t>Doha</t>
  </si>
  <si>
    <t>revisar</t>
  </si>
  <si>
    <t>M-2022-04</t>
  </si>
  <si>
    <t>21-11-22</t>
  </si>
  <si>
    <t>Ahmad bin Ali Stadium</t>
  </si>
  <si>
    <t>dato importado</t>
  </si>
  <si>
    <t>M-2022-05</t>
  </si>
  <si>
    <t>Group C</t>
  </si>
  <si>
    <t>Nov 22, 2022</t>
  </si>
  <si>
    <t>1–2</t>
  </si>
  <si>
    <t>Lusail Stadium</t>
  </si>
  <si>
    <t>Lusail</t>
  </si>
  <si>
    <t>M-2022-06</t>
  </si>
  <si>
    <t>2022-11-22</t>
  </si>
  <si>
    <t>Education City Stadium</t>
  </si>
  <si>
    <t>M-2022-07</t>
  </si>
  <si>
    <t>22/11/2022</t>
  </si>
  <si>
    <t>0 x 0</t>
  </si>
  <si>
    <t>Stadium 974</t>
  </si>
  <si>
    <t>M-2022-08</t>
  </si>
  <si>
    <t>11/22/2022</t>
  </si>
  <si>
    <t>4—1</t>
  </si>
  <si>
    <t>Al Janoub Stadium</t>
  </si>
  <si>
    <t>Al Wakrah</t>
  </si>
  <si>
    <t>M-2022-09</t>
  </si>
  <si>
    <t>Group F</t>
  </si>
  <si>
    <t>23-11-22</t>
  </si>
  <si>
    <t>sin dato</t>
  </si>
  <si>
    <t>M-2022-10</t>
  </si>
  <si>
    <t>Nov 23, 2022</t>
  </si>
  <si>
    <t>M-2022-11</t>
  </si>
  <si>
    <t>2022-11-23</t>
  </si>
  <si>
    <t>7 : 0</t>
  </si>
  <si>
    <t>M-2022-12</t>
  </si>
  <si>
    <t>23/11/2022</t>
  </si>
  <si>
    <t>M-2022-13</t>
  </si>
  <si>
    <t>Group G</t>
  </si>
  <si>
    <t>11/24/2022</t>
  </si>
  <si>
    <t>SWITZERLAND</t>
  </si>
  <si>
    <t>1—0</t>
  </si>
  <si>
    <t>M-2022-14</t>
  </si>
  <si>
    <t>H</t>
  </si>
  <si>
    <t>24-11-22</t>
  </si>
  <si>
    <t>0-0</t>
  </si>
  <si>
    <t>M-2022-15</t>
  </si>
  <si>
    <t>Nov 24, 2022</t>
  </si>
  <si>
    <t>3–2</t>
  </si>
  <si>
    <t>M-2022-16</t>
  </si>
  <si>
    <t>2022-11-24</t>
  </si>
  <si>
    <t>serbia</t>
  </si>
  <si>
    <t>M-2022-17</t>
  </si>
  <si>
    <t>Group B</t>
  </si>
  <si>
    <t>25/11/2022</t>
  </si>
  <si>
    <t>0 x 2</t>
  </si>
  <si>
    <t>M-2022-18</t>
  </si>
  <si>
    <t>11/25/2022</t>
  </si>
  <si>
    <t>1—3</t>
  </si>
  <si>
    <t>TRUE</t>
  </si>
  <si>
    <t>M-2022-19</t>
  </si>
  <si>
    <t>25-11-22</t>
  </si>
  <si>
    <t>the netherlands</t>
  </si>
  <si>
    <t>M-2022-20</t>
  </si>
  <si>
    <t>Nov 25, 2022</t>
  </si>
  <si>
    <t>0–0</t>
  </si>
  <si>
    <t>M-2022-21</t>
  </si>
  <si>
    <t>Group D</t>
  </si>
  <si>
    <t>2022-11-26</t>
  </si>
  <si>
    <t>M-2022-22</t>
  </si>
  <si>
    <t>26/11/2022</t>
  </si>
  <si>
    <t>M-2022-23</t>
  </si>
  <si>
    <t>11/26/2022</t>
  </si>
  <si>
    <t>M-2022-24</t>
  </si>
  <si>
    <t>26-11-22</t>
  </si>
  <si>
    <t>M-2022-25</t>
  </si>
  <si>
    <t>Group E</t>
  </si>
  <si>
    <t>Nov 27, 2022</t>
  </si>
  <si>
    <t>M-2022-26</t>
  </si>
  <si>
    <t>2022-11-27</t>
  </si>
  <si>
    <t>M-2022-27</t>
  </si>
  <si>
    <t>27/11/2022</t>
  </si>
  <si>
    <t>CANADA</t>
  </si>
  <si>
    <t>4 x 1</t>
  </si>
  <si>
    <t>M-2022-28</t>
  </si>
  <si>
    <t>11/27/2022</t>
  </si>
  <si>
    <t>-2</t>
  </si>
  <si>
    <t>1—1</t>
  </si>
  <si>
    <t>M-2022-29</t>
  </si>
  <si>
    <t>28-11-22</t>
  </si>
  <si>
    <t>3-3</t>
  </si>
  <si>
    <t>M-2022-30</t>
  </si>
  <si>
    <t>Nov 28, 2022</t>
  </si>
  <si>
    <t>REP. OF KOREA</t>
  </si>
  <si>
    <t>2–3</t>
  </si>
  <si>
    <t>M-2022-31</t>
  </si>
  <si>
    <t>M-2022-32</t>
  </si>
  <si>
    <t>28/11/2022</t>
  </si>
  <si>
    <t>M-2022-33</t>
  </si>
  <si>
    <t>11/29/2022</t>
  </si>
  <si>
    <t>M-2022-34</t>
  </si>
  <si>
    <t>29-11-22</t>
  </si>
  <si>
    <t>M-2022-35</t>
  </si>
  <si>
    <t>Nov 29, 2022</t>
  </si>
  <si>
    <t>M-2022-36</t>
  </si>
  <si>
    <t>2022-11-29</t>
  </si>
  <si>
    <t>M-2022-37</t>
  </si>
  <si>
    <t>30/11/2022</t>
  </si>
  <si>
    <t>M-2022-38</t>
  </si>
  <si>
    <t>11/30/2022</t>
  </si>
  <si>
    <t>M-2022-39</t>
  </si>
  <si>
    <t>30-11-22</t>
  </si>
  <si>
    <t>argentina</t>
  </si>
  <si>
    <t>0-2</t>
  </si>
  <si>
    <t>M-2022-40</t>
  </si>
  <si>
    <t>Nov 30, 2022</t>
  </si>
  <si>
    <t>M-2022-41</t>
  </si>
  <si>
    <t>2022-12-01</t>
  </si>
  <si>
    <t>M-2022-42</t>
  </si>
  <si>
    <t>01/12/2022</t>
  </si>
  <si>
    <t>croatia</t>
  </si>
  <si>
    <t>M-2022-43</t>
  </si>
  <si>
    <t>12/01/2022</t>
  </si>
  <si>
    <t>2—4</t>
  </si>
  <si>
    <t>M-2022-44</t>
  </si>
  <si>
    <t>01-12-22</t>
  </si>
  <si>
    <t>SPAIN</t>
  </si>
  <si>
    <t>2-1</t>
  </si>
  <si>
    <t>M-2022-45</t>
  </si>
  <si>
    <t>Group H</t>
  </si>
  <si>
    <t>Dec 02, 2022</t>
  </si>
  <si>
    <t>M-2022-46</t>
  </si>
  <si>
    <t>2022-12-02</t>
  </si>
  <si>
    <t>M-2022-47</t>
  </si>
  <si>
    <t>02/12/2022</t>
  </si>
  <si>
    <t>CAMEROON</t>
  </si>
  <si>
    <t>M-2022-48</t>
  </si>
  <si>
    <t>12/02/2022</t>
  </si>
  <si>
    <t>2—3</t>
  </si>
  <si>
    <t>05 Sucio 2026</t>
  </si>
  <si>
    <t>Incluye 12 grupos y una fecha almacenada como número serial de Excel.</t>
  </si>
  <si>
    <t>match</t>
  </si>
  <si>
    <t>wc</t>
  </si>
  <si>
    <t>round</t>
  </si>
  <si>
    <t>grp</t>
  </si>
  <si>
    <t>md</t>
  </si>
  <si>
    <t>played_on</t>
  </si>
  <si>
    <t>home</t>
  </si>
  <si>
    <t>away</t>
  </si>
  <si>
    <t>HG</t>
  </si>
  <si>
    <t>AG</t>
  </si>
  <si>
    <t>result_raw</t>
  </si>
  <si>
    <t>host_h</t>
  </si>
  <si>
    <t>host_a</t>
  </si>
  <si>
    <t>source</t>
  </si>
  <si>
    <t>M-2026-001</t>
  </si>
  <si>
    <t>2026</t>
  </si>
  <si>
    <t>GS</t>
  </si>
  <si>
    <t>2026-06-11</t>
  </si>
  <si>
    <t>2–0</t>
  </si>
  <si>
    <t>https://en.wikipedia.org/wiki/2026_FIFA_World_Cup_Group_A</t>
  </si>
  <si>
    <t>M-2026-002</t>
  </si>
  <si>
    <t>group stage</t>
  </si>
  <si>
    <t>12/06/2026</t>
  </si>
  <si>
    <t>M-2026-007</t>
  </si>
  <si>
    <t>fase de grupos</t>
  </si>
  <si>
    <t>06/12/2026</t>
  </si>
  <si>
    <t>BOSNIA &amp; HERZEGOVINA</t>
  </si>
  <si>
    <t>1 x 1</t>
  </si>
  <si>
    <t>https://en.wikipedia.org/wiki/2026_FIFA_World_Cup_Group_B</t>
  </si>
  <si>
    <t>M-2026-008</t>
  </si>
  <si>
    <t>13-06-26</t>
  </si>
  <si>
    <t>M-2026-013</t>
  </si>
  <si>
    <t>Jun 13, 2026</t>
  </si>
  <si>
    <t>https://en.wikipedia.org/wiki/2026_FIFA_World_Cup_Group_C</t>
  </si>
  <si>
    <t>M-2026-014</t>
  </si>
  <si>
    <t>2026-06-13</t>
  </si>
  <si>
    <t>M-2026-019</t>
  </si>
  <si>
    <t>13/06/2026</t>
  </si>
  <si>
    <t>4 : 1</t>
  </si>
  <si>
    <t>https://en.wikipedia.org/wiki/2026_FIFA_World_Cup_Group_D</t>
  </si>
  <si>
    <t>M-2026-020</t>
  </si>
  <si>
    <t>46187</t>
  </si>
  <si>
    <t>M-2026-025</t>
  </si>
  <si>
    <t>14-06-26</t>
  </si>
  <si>
    <t>curaçao</t>
  </si>
  <si>
    <t>7—1</t>
  </si>
  <si>
    <t>https://en.wikipedia.org/wiki/2026_FIFA_World_Cup_Group_E</t>
  </si>
  <si>
    <t>M-2026-026</t>
  </si>
  <si>
    <t>Jun 14, 2026</t>
  </si>
  <si>
    <t>1-0</t>
  </si>
  <si>
    <t>M-2026-031</t>
  </si>
  <si>
    <t>2026-06-14</t>
  </si>
  <si>
    <t>2–2</t>
  </si>
  <si>
    <t>https://en.wikipedia.org/wiki/2026_FIFA_World_Cup_Group_F</t>
  </si>
  <si>
    <t>M-2026-032</t>
  </si>
  <si>
    <t>15/06/2026</t>
  </si>
  <si>
    <t>5 : 1</t>
  </si>
  <si>
    <t>M-2026-037</t>
  </si>
  <si>
    <t>06/15/2026</t>
  </si>
  <si>
    <t>belgium</t>
  </si>
  <si>
    <t>https://en.wikipedia.org/wiki/2026_FIFA_World_Cup_Group_G</t>
  </si>
  <si>
    <t>M-2026-038</t>
  </si>
  <si>
    <t>15-06-26</t>
  </si>
  <si>
    <t>M-2026-043</t>
  </si>
  <si>
    <t>Jun 15, 2026</t>
  </si>
  <si>
    <t>https://en.wikipedia.org/wiki/2026_FIFA_World_Cup_Group_H</t>
  </si>
  <si>
    <t>M-2026-044</t>
  </si>
  <si>
    <t>2026-06-15</t>
  </si>
  <si>
    <t>1–1</t>
  </si>
  <si>
    <t>M-2026-049</t>
  </si>
  <si>
    <t>I</t>
  </si>
  <si>
    <t>16/06/2026</t>
  </si>
  <si>
    <t>3 : 1</t>
  </si>
  <si>
    <t>https://en.wikipedia.org/wiki/2026_FIFA_World_Cup_Group_I</t>
  </si>
  <si>
    <t>M-2026-050</t>
  </si>
  <si>
    <t>Grupo I</t>
  </si>
  <si>
    <t>06/16/2026</t>
  </si>
  <si>
    <t>1 x 4</t>
  </si>
  <si>
    <t>M-2026-055</t>
  </si>
  <si>
    <t>group-j</t>
  </si>
  <si>
    <t>16-06-26</t>
  </si>
  <si>
    <t>3—0</t>
  </si>
  <si>
    <t>https://en.wikipedia.org/wiki/2026_FIFA_World_Cup_Group_J</t>
  </si>
  <si>
    <t>M-2026-056</t>
  </si>
  <si>
    <t>J</t>
  </si>
  <si>
    <t>Jun 17, 2026</t>
  </si>
  <si>
    <t>JORDAN</t>
  </si>
  <si>
    <t>3-1</t>
  </si>
  <si>
    <t>M-2026-061</t>
  </si>
  <si>
    <t>K</t>
  </si>
  <si>
    <t>2026-06-17</t>
  </si>
  <si>
    <t>https://en.wikipedia.org/wiki/2026_FIFA_World_Cup_Group_K</t>
  </si>
  <si>
    <t>M-2026-062</t>
  </si>
  <si>
    <t>Grupo K</t>
  </si>
  <si>
    <t>17/06/2026</t>
  </si>
  <si>
    <t>M-2026-067</t>
  </si>
  <si>
    <t>group-l</t>
  </si>
  <si>
    <t>06/17/2026</t>
  </si>
  <si>
    <t>4 x 2</t>
  </si>
  <si>
    <t>https://en.wikipedia.org/wiki/2026_FIFA_World_Cup_Group_L</t>
  </si>
  <si>
    <t>M-2026-003</t>
  </si>
  <si>
    <t>18-06-26</t>
  </si>
  <si>
    <t>CZECH REPUBLIC</t>
  </si>
  <si>
    <t>M-2026-004</t>
  </si>
  <si>
    <t>Jun 18, 2026</t>
  </si>
  <si>
    <t>M-2026-009</t>
  </si>
  <si>
    <t>2026-06-18</t>
  </si>
  <si>
    <t>4–1</t>
  </si>
  <si>
    <t>M-2026-010</t>
  </si>
  <si>
    <t>18/06/2026</t>
  </si>
  <si>
    <t>6 : 0</t>
  </si>
  <si>
    <t>M-2026-068</t>
  </si>
  <si>
    <t>L</t>
  </si>
  <si>
    <t>06/18/2026</t>
  </si>
  <si>
    <t>M-2026-015</t>
  </si>
  <si>
    <t>19-06-26</t>
  </si>
  <si>
    <t>M-2026-016</t>
  </si>
  <si>
    <t>Jun 19, 2026</t>
  </si>
  <si>
    <t>3-0</t>
  </si>
  <si>
    <t>M-2026-021</t>
  </si>
  <si>
    <t>2026-06-19</t>
  </si>
  <si>
    <t>M-2026-022</t>
  </si>
  <si>
    <t>20/06/2026</t>
  </si>
  <si>
    <t>paraguay</t>
  </si>
  <si>
    <t>M-2026-027</t>
  </si>
  <si>
    <t>06/20/2026</t>
  </si>
  <si>
    <t>M-2026-028</t>
  </si>
  <si>
    <t>20-06-26</t>
  </si>
  <si>
    <t>0—0</t>
  </si>
  <si>
    <t>M-2026-033</t>
  </si>
  <si>
    <t>Jun 20, 2026</t>
  </si>
  <si>
    <t>5-1</t>
  </si>
  <si>
    <t>M-2026-034</t>
  </si>
  <si>
    <t>2026-06-20</t>
  </si>
  <si>
    <t>tunisia</t>
  </si>
  <si>
    <t>0–4</t>
  </si>
  <si>
    <t>M-2026-039</t>
  </si>
  <si>
    <t>21/06/2026</t>
  </si>
  <si>
    <t>IR IRAN</t>
  </si>
  <si>
    <t>M-2026-040</t>
  </si>
  <si>
    <t>06/21/2026</t>
  </si>
  <si>
    <t>1 x 3</t>
  </si>
  <si>
    <t>M-2026-045</t>
  </si>
  <si>
    <t>21-06-26</t>
  </si>
  <si>
    <t>4—0</t>
  </si>
  <si>
    <t>M-2026-046</t>
  </si>
  <si>
    <t>Jun 21, 2026</t>
  </si>
  <si>
    <t>M-2026-051</t>
  </si>
  <si>
    <t>2026-06-22</t>
  </si>
  <si>
    <t>FRANCE</t>
  </si>
  <si>
    <t>3–0</t>
  </si>
  <si>
    <t>M-2026-052</t>
  </si>
  <si>
    <t>22/06/2026</t>
  </si>
  <si>
    <t>3 : 2</t>
  </si>
  <si>
    <t>M-2026-057</t>
  </si>
  <si>
    <t>06/22/2026</t>
  </si>
  <si>
    <t>M-2026-058</t>
  </si>
  <si>
    <t>22-06-26</t>
  </si>
  <si>
    <t>M-2026-063</t>
  </si>
  <si>
    <t>Jun 23, 2026</t>
  </si>
  <si>
    <t>M-2026-064</t>
  </si>
  <si>
    <t>2026-06-23</t>
  </si>
  <si>
    <t>M-2026-069</t>
  </si>
  <si>
    <t>23/06/2026</t>
  </si>
  <si>
    <t>M-2026-070</t>
  </si>
  <si>
    <t>06/23/2026</t>
  </si>
  <si>
    <t>M-2026-005</t>
  </si>
  <si>
    <t>24-06-26</t>
  </si>
  <si>
    <t>0—3</t>
  </si>
  <si>
    <t>si</t>
  </si>
  <si>
    <t>M-2026-006</t>
  </si>
  <si>
    <t>Jun 24, 2026</t>
  </si>
  <si>
    <t>M-2026-011</t>
  </si>
  <si>
    <t>2026-06-24</t>
  </si>
  <si>
    <t>2–1</t>
  </si>
  <si>
    <t>M-2026-012</t>
  </si>
  <si>
    <t>24/06/2026</t>
  </si>
  <si>
    <t>M-2026-017</t>
  </si>
  <si>
    <t>06/25/2026</t>
  </si>
  <si>
    <t>0 x 3</t>
  </si>
  <si>
    <t>M-2026-018</t>
  </si>
  <si>
    <t>25-06-26</t>
  </si>
  <si>
    <t>HAITI</t>
  </si>
  <si>
    <t>4—2</t>
  </si>
  <si>
    <t>M-2026-023</t>
  </si>
  <si>
    <t>Jun 25, 2026</t>
  </si>
  <si>
    <t>united states of america</t>
  </si>
  <si>
    <t>3-2</t>
  </si>
  <si>
    <t>M-2026-024</t>
  </si>
  <si>
    <t>N/D</t>
  </si>
  <si>
    <t>M-2026-029</t>
  </si>
  <si>
    <t>25/06/2026</t>
  </si>
  <si>
    <t>M-2026-030</t>
  </si>
  <si>
    <t>ECUADOR</t>
  </si>
  <si>
    <t>M-2026-035</t>
  </si>
  <si>
    <t>26-06-26</t>
  </si>
  <si>
    <t>japan</t>
  </si>
  <si>
    <t>M-2026-036</t>
  </si>
  <si>
    <t>Jun 26, 2026</t>
  </si>
  <si>
    <t>1-3</t>
  </si>
  <si>
    <t>M-2026-041</t>
  </si>
  <si>
    <t>2026-06-26</t>
  </si>
  <si>
    <t>M-2026-042</t>
  </si>
  <si>
    <t>26/06/2026</t>
  </si>
  <si>
    <t>1 : 5</t>
  </si>
  <si>
    <t>M-2026-047</t>
  </si>
  <si>
    <t>06/26/2026</t>
  </si>
  <si>
    <t>M-2026-048</t>
  </si>
  <si>
    <t>M-2026-053</t>
  </si>
  <si>
    <t>1-4</t>
  </si>
  <si>
    <t>M-2026-054</t>
  </si>
  <si>
    <t>5–0</t>
  </si>
  <si>
    <t>M-2026-059</t>
  </si>
  <si>
    <t>27/06/2026</t>
  </si>
  <si>
    <t>3 : 3</t>
  </si>
  <si>
    <t>M-2026-060</t>
  </si>
  <si>
    <t>06/27/2026</t>
  </si>
  <si>
    <t>M-2026-065</t>
  </si>
  <si>
    <t>27-06-26</t>
  </si>
  <si>
    <t>M-2026-066</t>
  </si>
  <si>
    <t>Jun 27, 2026</t>
  </si>
  <si>
    <t>M-2026-071</t>
  </si>
  <si>
    <t>2026-06-27</t>
  </si>
  <si>
    <t>ENGLAND</t>
  </si>
  <si>
    <t>M-2026-072</t>
  </si>
  <si>
    <t>Bitácora y control de calidad</t>
  </si>
  <si>
    <t>Completa las columnas amarillas durante el laboratorio. Una corrección sin evidencia no está terminada.</t>
  </si>
  <si>
    <t>Dimensión</t>
  </si>
  <si>
    <t>Problema</t>
  </si>
  <si>
    <t>Cómo detectarlo</t>
  </si>
  <si>
    <t>Criterio de aceptación</t>
  </si>
  <si>
    <t>Resultado</t>
  </si>
  <si>
    <t>Decisión aplicada</t>
  </si>
  <si>
    <t>Evidencia / fórmula</t>
  </si>
  <si>
    <t>Estructura</t>
  </si>
  <si>
    <t>Columnas equivalentes con nombres diferentes</t>
  </si>
  <si>
    <t>Comparar encabezados</t>
  </si>
  <si>
    <t>Esquema canónico definido</t>
  </si>
  <si>
    <t>Confirmado: 2018 (16 cols: ID Partido…Fuente), 2022 (16 cols: match_id…source_url), 2026 (14 cols: match…source). Ningún nombre de columna coincide entre los tres archivos.</t>
  </si>
  <si>
    <t>Mapear cada archivo al esquema canónico de 14 campos (hoja 01_Diccionario) con un diccionario de renombrado por año; no fusionar directo.</t>
  </si>
  <si>
    <t>Comparación manual de encabezados (fila 5 de cada hoja sucia) + diccionario de renombrado en Python.</t>
  </si>
  <si>
    <t>Completitud</t>
  </si>
  <si>
    <t>Valores vacíos en campos críticos</t>
  </si>
  <si>
    <t>Filtros / CONTAR.BLANCO</t>
  </si>
  <si>
    <t>0 nulos en equipo, grupo y goles</t>
  </si>
  <si>
    <t>2018: 1 nulo real en Grupo (M-2018-10) + 3 en Goles Visitante + 1 en Marcador, más 1 valor centinela "s/d" en Grupo (M-2018-32). 2022: 1 nulo en group_name, 1 en date, 4 en home_score. 2026: 1 nulo en grp, 9 en HG, 1 en result_raw. Equipo local/visitante: 0 nulos en los tres archivos.</t>
  </si>
  <si>
    <t>Rellenar goles faltantes con el marcador; grupo faltante se infiere del grupo más frecuente del mismo equipo en ese mundial; "s/d"/"N/D" se tratan como vacío, nunca como grupo D.</t>
  </si>
  <si>
    <t>Fórmula: CONTAR.BLANCO(rango) por columna en cada hoja sucia.</t>
  </si>
  <si>
    <t>Unicidad</t>
  </si>
  <si>
    <t>Partidos repetidos</t>
  </si>
  <si>
    <t>Formato condicional / CONTAR.SI</t>
  </si>
  <si>
    <t>168 IDs únicos</t>
  </si>
  <si>
    <t>2018: 50 filas con 2 IDs duplicados (M-2018-05, M-2018-18) → 48 únicos. 2022: 51 filas con 3 filas duplicadas (M-2022-03 x3, M-2022-42 x2) → 48 únicos. 2026: 75 filas con 3 IDs duplicados (M-2026-019, -051, -065) → 72 únicos. Total 176 filas crudas → 168 partidos únicos.</t>
  </si>
  <si>
    <t>Eliminar duplicados exactos por partido_id, conservando la primera aparición.</t>
  </si>
  <si>
    <t>Formato condicional "Valores duplicados" + =CONTAR.SI(A:A,A6). Verificado en 07_Base_Limpia: 0 partido_id repetidos.</t>
  </si>
  <si>
    <t>Validez</t>
  </si>
  <si>
    <t>Goles negativos o texto</t>
  </si>
  <si>
    <t>Filtros y conversión numérica</t>
  </si>
  <si>
    <t>Todos enteros &gt;= 0</t>
  </si>
  <si>
    <t>Texto en vez de número: 2018 Goles Local = "5 goles"/"1 goles" (M-2018-05, M-2018-18). 2026 AG = "s/d" en 3 partidos. Negativos: 2018 Goles Local=-1 (M-2018-23), 2022 away_score=-2 (M-2022-28), 2026 HG=-1 (M-2026-046).</t>
  </si>
  <si>
    <t>Extraer el primer entero con regex; cualquier negativo se descarta y se repara con el marcador.</t>
  </si>
  <si>
    <t>Filtro "no es número" + =ESNUMERO(celda). Verificado en 07_Base_Limpia: 0 goles negativos (ver 11_Pruebas_QA).</t>
  </si>
  <si>
    <t>Consistencia</t>
  </si>
  <si>
    <t>Marcador y goles separados no coinciden</t>
  </si>
  <si>
    <t>Comparar ambos campos</t>
  </si>
  <si>
    <t>0 conflictos pendientes</t>
  </si>
  <si>
    <t>3 conflictos, uno por archivo: M-2018-23 (goles -1/3; marcador "0:3"), M-2022-28 (goles 1/-2; marcador "1-1"), M-2026-046 (goles -1/2; marcador "2-2"). El marcador era el dato correcto en los 3 casos.</t>
  </si>
  <si>
    <t>Cuando el marcador se separa en dos números válidos, prevalece sobre los goles sueltos (regla 1 del paso 7 de la guía).</t>
  </si>
  <si>
    <t>Columna auxiliar comparando goles vs marcador. Resultado final en 07_Base_Limpia, fila K: marcador siempre coincide con goles_local-goles_visitante.</t>
  </si>
  <si>
    <t>Fechas mezcladas o seriales</t>
  </si>
  <si>
    <t>Formato de celda y rango del torneo</t>
  </si>
  <si>
    <t>Todas son fechas válidas</t>
  </si>
  <si>
    <t>Formatos mezclados: ISO, DD/MM/AAAA, MM/DD/AAAA, DD-MM-AA, texto ("Jun 16, 2018"). 2026 trae 1 fecha como serial de Excel puro: "46187" en M-2026-020 (=12 jun 2026). Además, 2 partidos (M-2022-31, M-2026-024) no traen fecha en la fuente original (NaN y "N/D"): se dejaron en blanco, no se inventaron.</t>
  </si>
  <si>
    <t>Probar varios patrones de fecha; para el serial sumar días al origen 1899-12-30; validar contra el rango oficial del torneo. Los 2 casos sin fecha real quedan pendientes de revisión docente.</t>
  </si>
  <si>
    <t>Formato de celda + comparación contra rango 2018:14-28 jun / 2022:20 nov-2 dic / 2026:11-27 jun.</t>
  </si>
  <si>
    <t>Categorías</t>
  </si>
  <si>
    <t>Nombres de equipos con variantes</t>
  </si>
  <si>
    <t>Catálogo + BUSCARX</t>
  </si>
  <si>
    <t>Una forma canónica por equipo</t>
  </si>
  <si>
    <t>Se probaron todas las variantes de equipo contra catalogo_equipos.csv (acentos/mayúsculas normalizados): 0 casos sin equivalencia. El catálogo cubre el 100% de las variantes usadas.</t>
  </si>
  <si>
    <t>BUSCARX con clave normalizada (sin acentos, minúsculas, sin signos) contra la columna Variante; se conserva el acento en el nombre final mostrado.</t>
  </si>
  <si>
    <t>Fórmula: BUSCARX(clave;02_catalogo_equipos!clave;...!B:B;"SIN MATCH") → 0 filas con SIN MATCH. 32/32/48 equipos únicos por mundial (ver 11_Pruebas_QA).</t>
  </si>
  <si>
    <t>Grupos escritos de formas distintas</t>
  </si>
  <si>
    <t>Extraer letra A-L</t>
  </si>
  <si>
    <t>Solo A-L</t>
  </si>
  <si>
    <t>Formatos mezclados: "Grupo A", "group-a", "A ", mayúsc/minúsc. Riesgo detectado: una extracción ingenua de la primera letra A-L confundía la "G" de "Grupo" con el grupo real, y la "D" de "s/d" con el Grupo D. Se corrigió exigiendo la letra como palabra completa y excluyendo centinelas.</t>
  </si>
  <si>
    <t>Extraer solo una letra A-L que sea palabra completa (no parte de "Grupo"/"Group"); tratar "s/d"/"N/D" como vacío y resolver por inferencia desde el historial del equipo.</t>
  </si>
  <si>
    <t>Verificado en 07_Base_Limpia: cada grupo tiene exactamente 6 partidos (round robin de 4 equipos) en los 8 grupos de 2018/2022 y los 12 de 2026 (ver 11_Pruebas_QA).</t>
  </si>
  <si>
    <t>Comparabilidad</t>
  </si>
  <si>
    <t>2026 tiene más partidos</t>
  </si>
  <si>
    <t>Calcular tasas</t>
  </si>
  <si>
    <t>Usar goles/partido y porcentajes</t>
  </si>
  <si>
    <t>Confirmado: 2018 y 2022 = 48 partidos (32 equipos); 2026 = 72 partidos (48 equipos), 50% más partidos.</t>
  </si>
  <si>
    <t>Usar tasas (goles/partido, % empates, % victoria anfitrión, % partidos &gt;2.5 goles) en 08_Comparacion, nunca sumas totales solas.</t>
  </si>
  <si>
    <t>Hoja 08_Comparacion, columnas D/F/I/J, ya calculadas con fórmulas.</t>
  </si>
  <si>
    <t>Trazabilidad</t>
  </si>
  <si>
    <t>Cambios sin justificar</t>
  </si>
  <si>
    <t>Cada regla tiene evidencia</t>
  </si>
  <si>
    <t>Cada corrección de esta bitácora queda documentada con el partido_id exacto afectado.</t>
  </si>
  <si>
    <t>Mantener esta tabla actualizada; cualquier cambio en las hojas sucias o en la base limpia debe poder rastrearse hasta una fila de aquí.</t>
  </si>
  <si>
    <t>Esta misma tabla + hoja 11_Pruebas_QA con las pruebas automatizadas de todo el proceso. Ejemplo real: se detectó que 08_Comparacion comparaba anfitrión contra el texto "Sí", pero 07_Base_Limpia usa booleano TRUE/FALSE (como pide 01_Diccionario); se corrigió la fórmula para comparar contra TRUE.</t>
  </si>
  <si>
    <t>Base integrada limpia</t>
  </si>
  <si>
    <t>Pega únicamente los campos de entrada. Las columnas azules se calculan con fórmulas.</t>
  </si>
  <si>
    <t>Comparación de los tres Mundiales</t>
  </si>
  <si>
    <t>Completa primero la base limpia. Los indicadores se recalculan a partir de la hoja 07_Base_Limpia.</t>
  </si>
  <si>
    <t>% empates</t>
  </si>
  <si>
    <t>Partidos anfitrión</t>
  </si>
  <si>
    <t>Victorias anfitrión</t>
  </si>
  <si>
    <t>% victoria anfitrión</t>
  </si>
  <si>
    <t>% partidos &gt; 2.5</t>
  </si>
  <si>
    <t>Preguntas para interpretar, no solo calcular</t>
  </si>
  <si>
    <t>Entrada al análisis supervisado</t>
  </si>
  <si>
    <t>El modelo aprende con ejemplos que ya tienen una etiqueta. Aquí la etiqueta será el resultado del equipo local.</t>
  </si>
  <si>
    <t>Tipo</t>
  </si>
  <si>
    <t>Variable</t>
  </si>
  <si>
    <t>Por qué</t>
  </si>
  <si>
    <t>Variable objetivo</t>
  </si>
  <si>
    <t>Gana / Empata / Pierde</t>
  </si>
  <si>
    <t>Es lo que el modelo intentará predecir.</t>
  </si>
  <si>
    <t>Predictor válido</t>
  </si>
  <si>
    <t>1, 2 o 3</t>
  </si>
  <si>
    <t>Se conoce antes del partido.</t>
  </si>
  <si>
    <t>puntos promedio previos</t>
  </si>
  <si>
    <t>0.0 a 3.0</t>
  </si>
  <si>
    <t>Debe calcularse solo con partidos anteriores.</t>
  </si>
  <si>
    <t>diferencia promedio previa</t>
  </si>
  <si>
    <t>Número real</t>
  </si>
  <si>
    <t>Resume rendimiento previo.</t>
  </si>
  <si>
    <t>condición de anfitrión</t>
  </si>
  <si>
    <t>TRUE / FALSE</t>
  </si>
  <si>
    <t>Fuga de información</t>
  </si>
  <si>
    <t>Resultado final</t>
  </si>
  <si>
    <t>No puede utilizarse para pronosticar el mismo partido.</t>
  </si>
  <si>
    <t>Codifica directamente la clase objetivo.</t>
  </si>
  <si>
    <t>Flujo del experimento</t>
  </si>
  <si>
    <t>Acción</t>
  </si>
  <si>
    <t>Ordenar cada torneo por fecha.</t>
  </si>
  <si>
    <t>Calcular estadísticas acumuladas antes de cada partido.</t>
  </si>
  <si>
    <t>Entrenar con 2018 y 2022.</t>
  </si>
  <si>
    <t>Evaluar con 2026 sin mezclar los torneos.</t>
  </si>
  <si>
    <t>Comparar contra la clase más frecuente.</t>
  </si>
  <si>
    <t>Revisar la matriz de confusión.</t>
  </si>
  <si>
    <t>Agregar variables con fuga y explicar por qué el resultado deja de ser válido.</t>
  </si>
  <si>
    <t>La meta no es construir un pronosticador profesional. El ejercicio introduce variables predictoras, variable objetivo, separación entrenamiento/prueba, línea base, matriz de confusión y fuga de información. Una precisión perfecta puede ser una señal de que el modelo recibió información que no debería conocer.</t>
  </si>
  <si>
    <t>Tabla de posiciones por equipo (derivada de 07_Base_Limpia)</t>
  </si>
  <si>
    <t>Bloque de apariciones (cada partido genera 2 filas: local y visitante) + resumen por equipo y mundial, calculado 100% con fórmulas.</t>
  </si>
  <si>
    <t>equipo</t>
  </si>
  <si>
    <t>rival</t>
  </si>
  <si>
    <t>condicion</t>
  </si>
  <si>
    <t>GF</t>
  </si>
  <si>
    <t>GC</t>
  </si>
  <si>
    <t>DG</t>
  </si>
  <si>
    <t>resultado</t>
  </si>
  <si>
    <t>puntos</t>
  </si>
  <si>
    <t>Local</t>
  </si>
  <si>
    <t>Visitante</t>
  </si>
  <si>
    <t>Resumen por equipo (todo calculado con SUMIFS/COUNTIFS sobre el bloque de apariciones)</t>
  </si>
  <si>
    <t>PJ</t>
  </si>
  <si>
    <t>PG</t>
  </si>
  <si>
    <t>PE</t>
  </si>
  <si>
    <t>PP</t>
  </si>
  <si>
    <t>PTS</t>
  </si>
  <si>
    <t>clave_DG</t>
  </si>
  <si>
    <t>Equipo con mejor diferencia de goles por Mundial (fase de grupos)</t>
  </si>
  <si>
    <t>Mejor DG</t>
  </si>
  <si>
    <t>Equipo</t>
  </si>
  <si>
    <t>Pruebas de verificación (QA) sobre 07_Base_Limpia</t>
  </si>
  <si>
    <t>Cada prueba se recalcula sola con COUNTIF/COUNTIFS/SUMPRODUCT. "OK" = la limpieza pasó la prueba.</t>
  </si>
  <si>
    <t>Prueba</t>
  </si>
  <si>
    <t>Resultado obtenido</t>
  </si>
  <si>
    <t>Criterio esperado</t>
  </si>
  <si>
    <t>Estado</t>
  </si>
  <si>
    <t>Total de partidos (168)</t>
  </si>
  <si>
    <t>Partidos 2018 (48)</t>
  </si>
  <si>
    <t>Partidos 2022 (48)</t>
  </si>
  <si>
    <t>Partidos 2026 (72)</t>
  </si>
  <si>
    <t>Duplicados de partido_id</t>
  </si>
  <si>
    <t>Goles negativos (local+visitante)</t>
  </si>
  <si>
    <t>Nulos en equipo_local/visitante/grupo</t>
  </si>
  <si>
    <t>Nulos en fecha (pendientes de fuente original)</t>
  </si>
  <si>
    <t>Grupos fuera de A-L</t>
  </si>
  <si>
    <t>Equipos sin match en catálogo (texto 'SIN MATCH')</t>
  </si>
  <si>
    <t>Marcador inconsistente con goles_local-goles_visitante</t>
  </si>
  <si>
    <t>Equipos únicos 2018 (32)</t>
  </si>
  <si>
    <t>≈32</t>
  </si>
  <si>
    <t>Partidos con anfitrión marcado, por mundial (&gt;0 en los 3)</t>
  </si>
  <si>
    <t>&gt;0</t>
  </si>
  <si>
    <t>Nota: los 2 nulos de fecha corresponden a M-2022-31 y M-2026-024, que llegan sin fecha en la fuente cruda original (no se inventó ningún valor). Es un pendiente real para que el equipo docente decida la fuente de verdad, no un error de la limpieza.</t>
  </si>
  <si>
    <t>Distribución de resultados del local por mundial</t>
  </si>
  <si>
    <t>Gana local</t>
  </si>
  <si>
    <t>Empata</t>
  </si>
  <si>
    <t>Pierde Local</t>
  </si>
  <si>
    <t>• ¿Qué conclusión cambia al pasar de goles totales a goles por partido? En totales, 2026 parece "explotar" con 215 goles vs 122/120. Pero en goles por partido la diferencia se reduce mucho (2.99 vs 2.54 vs 2.50): 2026 no es un torneo dramáticamente más ofensivo, solo tiene más partidos.
• ¿Por qué el porcentaje de empates es más comparable que el número de empates? 2026 tiene 20 empates contra 9 y 10 de 2018/2022, pero eso es sobre 72 partidos vs 48. En porcentaje: 27.78% (2026) vs 18.75% (2018) vs 20.83% (2022): la diferencia real es más moderada que la que sugieren los totales.
• ¿La condición de anfitrión parece asociarse con más victorias? ¿Esto prueba causalidad? En 2026 los anfitriones (México/EE.UU./Canadá) ganaron 6 de 9 partidos como local u anfitrión (66.7%). En 2018 fueron 2/3 (66.7%): Rusia ganó sus dos primeros partidos como local y perdió el tercero (0-3 vs Uruguay) jugando de visitante y en 2022 (Qatar) 0/2 (0%). La muestra es demasiado pequeña por torneo para concluir causalidad; podría deberse a factores de fondo (nivel del equipo, clasificación directa) y no al hecho de jugar en casa.
• ¿Qué transformaciones podrían alterar artificialmente estos indicadores? Rellenar goles faltantes con 0 en vez de usar el marcador, no eliminar duplicados antes de sumar goles, o clasificar mal el "anfitrión" (por ejemplo dejar visitante_es_anfitrion en FALSE por defecto en los tres mundiales) inflaría o desinflaría estos porcentajes sin que sea un patrón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</si>
</sst>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0.0%"/>
  </numFmts>
  <fonts count="12">
    <font>
      <sz val="11"/>
      <name val="Calibri"/>
      <charset val="1"/>
    </font>
    <font>
      <b/>
      <sz val="18"/>
      <color rgb="FFFFFFFF"/>
      <name val="Calibri"/>
      <charset val="1"/>
    </font>
    <font>
      <i/>
      <sz val="11"/>
      <color rgb="FF1F2937"/>
      <name val="Calibri"/>
      <charset val="1"/>
    </font>
    <font>
      <b/>
      <sz val="11"/>
      <color rgb="FFFFFFFF"/>
      <name val="Calibri"/>
      <charset val="1"/>
    </font>
    <font>
      <sz val="11"/>
      <color rgb="FF1F2937"/>
      <name val="Calibri"/>
      <charset val="1"/>
    </font>
    <font>
      <b/>
      <sz val="18"/>
      <color rgb="FF1F4E78"/>
      <name val="Calibri"/>
      <charset val="1"/>
    </font>
    <font>
      <i/>
      <sz val="11"/>
      <name val="Calibri"/>
      <charset val="1"/>
    </font>
    <font>
      <b/>
      <sz val="13"/>
      <color rgb="FF1F4E78"/>
      <name val="Calibri"/>
      <charset val="1"/>
    </font>
    <font>
      <b/>
      <sz val="11"/>
      <name val="Calibri"/>
      <charset val="1"/>
    </font>
    <font>
      <sz val="10"/>
      <name val="Arial Unicode MS"/>
    </font>
    <font>
      <sz val="11"/>
      <name val="Calibri"/>
      <family val="2"/>
    </font>
    <font>
      <sz val="11"/>
      <color rgb="FF1F2937"/>
      <name val="Calibri"/>
      <family val="2"/>
    </font>
  </fonts>
  <fills count="7">
    <fill>
      <patternFill patternType="none"/>
    </fill>
    <fill>
      <patternFill patternType="gray125"/>
    </fill>
    <fill>
      <patternFill patternType="solid">
        <fgColor rgb="FF17365D"/>
        <bgColor rgb="FF1F2937"/>
      </patternFill>
    </fill>
    <fill>
      <patternFill patternType="solid">
        <fgColor rgb="FFD9EAF7"/>
        <bgColor rgb="FFD9D9D9"/>
      </patternFill>
    </fill>
    <fill>
      <patternFill patternType="solid">
        <fgColor rgb="FF0F6B78"/>
        <bgColor rgb="FF156082"/>
      </patternFill>
    </fill>
    <fill>
      <patternFill patternType="solid">
        <fgColor rgb="FF1F4E78"/>
        <bgColor rgb="FF156082"/>
      </patternFill>
    </fill>
    <fill>
      <patternFill patternType="solid">
        <fgColor rgb="FFFFF2CC"/>
        <bgColor rgb="FFFCE4D6"/>
      </patternFill>
    </fill>
  </fills>
  <borders count="1">
    <border>
      <left/>
      <right/>
      <top/>
      <bottom/>
      <diagonal/>
    </border>
  </borders>
  <cellStyleXfs count="1">
    <xf numFmtId="0" fontId="0" fillId="0" borderId="0"/>
  </cellStyleXfs>
  <cellXfs count="27">
    <xf numFmtId="0" fontId="0" fillId="0" borderId="0" xfId="0"/>
    <xf numFmtId="0" fontId="6" fillId="0" borderId="0" xfId="0" applyFont="1" applyBorder="1" applyAlignment="1"/>
    <xf numFmtId="0" fontId="5" fillId="0" borderId="0" xfId="0" applyFont="1" applyBorder="1" applyAlignment="1"/>
    <xf numFmtId="0" fontId="4" fillId="6" borderId="0" xfId="0" applyFont="1" applyFill="1" applyBorder="1" applyAlignment="1">
      <alignment vertical="top" wrapText="1"/>
    </xf>
    <xf numFmtId="0" fontId="3" fillId="4" borderId="0" xfId="0" applyFont="1" applyFill="1" applyBorder="1" applyAlignment="1">
      <alignment horizontal="left" vertical="center"/>
    </xf>
    <xf numFmtId="0" fontId="2" fillId="3" borderId="0" xfId="0" applyFont="1" applyFill="1" applyBorder="1" applyAlignment="1">
      <alignment vertical="center" wrapText="1"/>
    </xf>
    <xf numFmtId="0" fontId="1" fillId="2" borderId="0" xfId="0" applyFont="1" applyFill="1" applyBorder="1" applyAlignment="1">
      <alignment horizontal="left" vertical="center"/>
    </xf>
    <xf numFmtId="0" fontId="0" fillId="0" borderId="0" xfId="0" applyAlignment="1"/>
    <xf numFmtId="0" fontId="3" fillId="5" borderId="0" xfId="0" applyFont="1" applyFill="1" applyAlignment="1">
      <alignment horizontal="center" vertical="center" wrapText="1"/>
    </xf>
    <xf numFmtId="0" fontId="4" fillId="0" borderId="0" xfId="0" applyFont="1" applyAlignment="1">
      <alignment vertical="top"/>
    </xf>
    <xf numFmtId="0" fontId="4" fillId="0" borderId="0" xfId="0" applyFont="1" applyAlignment="1">
      <alignment vertical="top"/>
    </xf>
    <xf numFmtId="0" fontId="4" fillId="6" borderId="0" xfId="0" applyFont="1" applyFill="1" applyAlignment="1">
      <alignment vertical="top"/>
    </xf>
    <xf numFmtId="0" fontId="4" fillId="6" borderId="0" xfId="0" applyFont="1" applyFill="1" applyAlignment="1">
      <alignment vertical="top" wrapText="1"/>
    </xf>
    <xf numFmtId="164" fontId="4" fillId="0" borderId="0" xfId="0" applyNumberFormat="1" applyFont="1" applyAlignment="1">
      <alignment vertical="top"/>
    </xf>
    <xf numFmtId="0" fontId="4" fillId="3" borderId="0" xfId="0" applyFont="1" applyFill="1" applyAlignment="1">
      <alignment vertical="top"/>
    </xf>
    <xf numFmtId="165" fontId="4" fillId="0" borderId="0" xfId="0" applyNumberFormat="1" applyFont="1" applyAlignment="1">
      <alignment vertical="top"/>
    </xf>
    <xf numFmtId="166" fontId="4" fillId="0" borderId="0" xfId="0" applyNumberFormat="1" applyFont="1" applyAlignment="1">
      <alignment vertical="top"/>
    </xf>
    <xf numFmtId="0" fontId="3" fillId="5" borderId="0" xfId="0" applyFont="1" applyFill="1" applyAlignment="1"/>
    <xf numFmtId="0" fontId="7" fillId="0" borderId="0" xfId="0" applyFont="1" applyAlignment="1"/>
    <xf numFmtId="0" fontId="8" fillId="0" borderId="0" xfId="0" applyFont="1" applyAlignment="1"/>
    <xf numFmtId="0" fontId="0" fillId="0" borderId="0" xfId="0" applyFont="1"/>
    <xf numFmtId="0" fontId="8" fillId="0" borderId="0" xfId="0" applyFont="1"/>
    <xf numFmtId="0" fontId="10" fillId="0" borderId="0" xfId="0" applyFont="1"/>
    <xf numFmtId="0" fontId="11" fillId="6" borderId="0" xfId="0" applyFont="1" applyFill="1" applyBorder="1" applyAlignment="1">
      <alignment vertical="top" wrapText="1"/>
    </xf>
    <xf numFmtId="0" fontId="9" fillId="0" borderId="0" xfId="0" applyFont="1"/>
    <xf numFmtId="0" fontId="10" fillId="0" borderId="0" xfId="0" applyFont="1" applyAlignment="1"/>
    <xf numFmtId="14" fontId="0" fillId="0" borderId="0" xfId="0" applyNumberFormat="1" applyAlignment="1"/>
  </cellXfs>
  <cellStyles count="1">
    <cellStyle name="Normal" xfId="0" builtinId="0"/>
  </cellStyles>
  <dxfs count="8">
    <dxf>
      <fill>
        <patternFill>
          <bgColor rgb="FFFFC7CE"/>
        </patternFill>
      </fill>
    </dxf>
    <dxf>
      <fill>
        <patternFill>
          <bgColor rgb="FFC6EFCE"/>
        </patternFill>
      </fill>
    </dxf>
    <dxf>
      <fill>
        <patternFill>
          <bgColor rgb="FFFFC7CE"/>
        </patternFill>
      </fill>
    </dxf>
    <dxf>
      <fill>
        <patternFill>
          <bgColor rgb="FFC6EFCE"/>
        </patternFill>
      </fill>
    </dxf>
    <dxf>
      <font>
        <color rgb="FF9C0006"/>
      </font>
      <fill>
        <patternFill>
          <bgColor rgb="FFFCE4D6"/>
        </patternFill>
      </fill>
    </dxf>
    <dxf>
      <fill>
        <patternFill>
          <bgColor rgb="FFFCE4D6"/>
        </patternFill>
      </fill>
    </dxf>
    <dxf>
      <fill>
        <patternFill>
          <bgColor rgb="FFFCE4D6"/>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0080"/>
      <rgbColor rgb="FF808000"/>
      <rgbColor rgb="FF800080"/>
      <rgbColor rgb="FF0F6B78"/>
      <rgbColor rgb="FFCCCCCC"/>
      <rgbColor rgb="FF8B8B8B"/>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156082"/>
      <rgbColor rgb="FF0000FF"/>
      <rgbColor rgb="FF00CCFF"/>
      <rgbColor rgb="FFCCFFFF"/>
      <rgbColor rgb="FFC6EFCE"/>
      <rgbColor rgb="FFFCE4D6"/>
      <rgbColor rgb="FF99CCFF"/>
      <rgbColor rgb="FFFF99CC"/>
      <rgbColor rgb="FFCC99FF"/>
      <rgbColor rgb="FFFFC7CE"/>
      <rgbColor rgb="FF3366FF"/>
      <rgbColor rgb="FF33CCCC"/>
      <rgbColor rgb="FF99CC00"/>
      <rgbColor rgb="FFFFCC00"/>
      <rgbColor rgb="FFFF9900"/>
      <rgbColor rgb="FFE97132"/>
      <rgbColor rgb="FF666699"/>
      <rgbColor rgb="FF969696"/>
      <rgbColor rgb="FF17365D"/>
      <rgbColor rgb="FF339966"/>
      <rgbColor rgb="FF003300"/>
      <rgbColor rgb="FF333300"/>
      <rgbColor rgb="FF993300"/>
      <rgbColor rgb="FF993366"/>
      <rgbColor rgb="FF1F4E78"/>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'08_Comparacion'!$C$5</c:f>
              <c:strCache>
                <c:ptCount val="1"/>
                <c:pt idx="0">
                  <c:v>Goles</c:v>
                </c:pt>
              </c:strCache>
            </c:strRef>
          </c:tx>
          <c:spPr>
            <a:solidFill>
              <a:schemeClr val="accent2"/>
            </a:solidFill>
            <a:ln>
              <a:noFill/>
            </a:ln>
            <a:effectLst/>
          </c:spPr>
          <c:invertIfNegative val="0"/>
          <c:val>
            <c:numRef>
              <c:f>'08_Comparacion'!$C$6:$C$8</c:f>
              <c:numCache>
                <c:formatCode>General</c:formatCode>
                <c:ptCount val="3"/>
                <c:pt idx="0">
                  <c:v>122</c:v>
                </c:pt>
                <c:pt idx="1">
                  <c:v>120</c:v>
                </c:pt>
                <c:pt idx="2">
                  <c:v>215</c:v>
                </c:pt>
              </c:numCache>
            </c:numRef>
          </c:val>
          <c:extLst>
            <c:ext xmlns:c16="http://schemas.microsoft.com/office/drawing/2014/chart" uri="{C3380CC4-5D6E-409C-BE32-E72D297353CC}">
              <c16:uniqueId val="{00000003-4D1B-4561-9BCF-7AFFC1588AFF}"/>
            </c:ext>
          </c:extLst>
        </c:ser>
        <c:dLbls>
          <c:showLegendKey val="0"/>
          <c:showVal val="0"/>
          <c:showCatName val="0"/>
          <c:showSerName val="0"/>
          <c:showPercent val="0"/>
          <c:showBubbleSize val="0"/>
        </c:dLbls>
        <c:gapWidth val="150"/>
        <c:axId val="62000321"/>
        <c:axId val="13250742"/>
      </c:barChart>
      <c:lineChart>
        <c:grouping val="standard"/>
        <c:varyColors val="0"/>
        <c:ser>
          <c:idx val="0"/>
          <c:order val="0"/>
          <c:tx>
            <c:v>Goles por partido</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'08_Comparacion'!$A$6:$A$8</c:f>
              <c:numCache>
                <c:formatCode>General</c:formatCode>
                <c:ptCount val="3"/>
                <c:pt idx="0">
                  <c:v>2018</c:v>
                </c:pt>
                <c:pt idx="1">
                  <c:v>2022</c:v>
                </c:pt>
                <c:pt idx="2">
                  <c:v>2026</c:v>
                </c:pt>
              </c:numCache>
            </c:numRef>
          </c:cat>
          <c:val>
            <c:numRef>
              <c:f>'08_Comparacion'!$D$6:$D$8</c:f>
              <c:numCache>
                <c:formatCode>0.000</c:formatCode>
                <c:ptCount val="3"/>
                <c:pt idx="0">
                  <c:v>2.5416666666666665</c:v>
                </c:pt>
                <c:pt idx="1">
                  <c:v>2.5</c:v>
                </c:pt>
                <c:pt idx="2">
                  <c:v>2.9861111111111112</c:v>
                </c:pt>
              </c:numCache>
            </c:numRef>
          </c:val>
          <c:smooth val="0"/>
          <c:extLst>
            <c:ext xmlns:c16="http://schemas.microsoft.com/office/drawing/2014/chart" uri="{C3380CC4-5D6E-409C-BE32-E72D297353CC}">
              <c16:uniqueId val="{00000000-4D1B-4561-9BCF-7AFFC1588AFF}"/>
            </c:ext>
          </c:extLst>
        </c:ser>
        <c:dLbls>
          <c:showLegendKey val="0"/>
          <c:showVal val="0"/>
          <c:showCatName val="0"/>
          <c:showSerName val="0"/>
          <c:showPercent val="0"/>
          <c:showBubbleSize val="0"/>
        </c:dLbls>
        <c:marker val="1"/>
        <c:smooth val="0"/>
        <c:axId val="1752702464"/>
        <c:axId val="1752718688"/>
      </c:lineChart>
      <c:catAx>
        <c:axId val="6200032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250742"/>
        <c:crosses val="autoZero"/>
        <c:auto val="1"/>
        <c:lblAlgn val="ctr"/>
        <c:lblOffset val="100"/>
        <c:noMultiLvlLbl val="0"/>
      </c:catAx>
      <c:valAx>
        <c:axId val="1325074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2000321"/>
        <c:crosses val="autoZero"/>
        <c:crossBetween val="between"/>
      </c:valAx>
      <c:valAx>
        <c:axId val="1752718688"/>
        <c:scaling>
          <c:orientation val="minMax"/>
        </c:scaling>
        <c:delete val="0"/>
        <c:axPos val="r"/>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52702464"/>
        <c:crosses val="max"/>
        <c:crossBetween val="between"/>
      </c:valAx>
      <c:catAx>
        <c:axId val="1752702464"/>
        <c:scaling>
          <c:orientation val="minMax"/>
        </c:scaling>
        <c:delete val="1"/>
        <c:axPos val="b"/>
        <c:numFmt formatCode="General" sourceLinked="1"/>
        <c:majorTickMark val="none"/>
        <c:minorTickMark val="none"/>
        <c:tickLblPos val="nextTo"/>
        <c:crossAx val="175271868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lineChart>
        <c:grouping val="standard"/>
        <c:varyColors val="0"/>
        <c:ser>
          <c:idx val="0"/>
          <c:order val="0"/>
          <c:tx>
            <c:v>% empates</c:v>
          </c:tx>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'08_Comparacion'!$A$6:$A$8</c:f>
              <c:numCache>
                <c:formatCode>General</c:formatCode>
                <c:ptCount val="3"/>
                <c:pt idx="0">
                  <c:v>2018</c:v>
                </c:pt>
                <c:pt idx="1">
                  <c:v>2022</c:v>
                </c:pt>
                <c:pt idx="2">
                  <c:v>2026</c:v>
                </c:pt>
              </c:numCache>
            </c:numRef>
          </c:cat>
          <c:val>
            <c:numRef>
              <c:f>'08_Comparacion'!$F$6:$F$8</c:f>
              <c:numCache>
                <c:formatCode>0.0%</c:formatCode>
                <c:ptCount val="3"/>
                <c:pt idx="0">
                  <c:v>0.1875</c:v>
                </c:pt>
                <c:pt idx="1">
                  <c:v>0.20833333333333334</c:v>
                </c:pt>
                <c:pt idx="2">
                  <c:v>0.27777777777777779</c:v>
                </c:pt>
              </c:numCache>
            </c:numRef>
          </c:val>
          <c:smooth val="0"/>
          <c:extLst>
            <c:ext xmlns:c16="http://schemas.microsoft.com/office/drawing/2014/chart" uri="{C3380CC4-5D6E-409C-BE32-E72D297353CC}">
              <c16:uniqueId val="{00000000-F9F4-4989-95A7-AFF7BE8ACF9D}"/>
            </c:ext>
          </c:extLst>
        </c:ser>
        <c:ser>
          <c:idx val="1"/>
          <c:order val="1"/>
          <c:tx>
            <c:v>% victoria anfitrión</c:v>
          </c:tx>
          <c:spPr>
            <a:ln w="38160">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'08_Comparacion'!$A$6:$A$8</c:f>
              <c:numCache>
                <c:formatCode>General</c:formatCode>
                <c:ptCount val="3"/>
                <c:pt idx="0">
                  <c:v>2018</c:v>
                </c:pt>
                <c:pt idx="1">
                  <c:v>2022</c:v>
                </c:pt>
                <c:pt idx="2">
                  <c:v>2026</c:v>
                </c:pt>
              </c:numCache>
            </c:numRef>
          </c:cat>
          <c:val>
            <c:numRef>
              <c:f>'08_Comparacion'!$I$6:$I$8</c:f>
              <c:numCache>
                <c:formatCode>0.0%</c:formatCode>
                <c:ptCount val="3"/>
                <c:pt idx="0">
                  <c:v>0.66666666666666663</c:v>
                </c:pt>
                <c:pt idx="1">
                  <c:v>0</c:v>
                </c:pt>
                <c:pt idx="2">
                  <c:v>0.66666666666666663</c:v>
                </c:pt>
              </c:numCache>
            </c:numRef>
          </c:val>
          <c:smooth val="0"/>
          <c:extLst>
            <c:ext xmlns:c16="http://schemas.microsoft.com/office/drawing/2014/chart" uri="{C3380CC4-5D6E-409C-BE32-E72D297353CC}">
              <c16:uniqueId val="{00000001-F9F4-4989-95A7-AFF7BE8ACF9D}"/>
            </c:ext>
          </c:extLst>
        </c:ser>
        <c:ser>
          <c:idx val="2"/>
          <c:order val="2"/>
          <c:tx>
            <c:v>% &gt; 2.5 goles</c:v>
          </c:tx>
          <c:spPr>
            <a:ln w="38160">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Calibri"/>
                    <a:ea typeface="Calibri"/>
                  </a:defRPr>
                </a:pPr>
                <a:endParaRPr lang="es-MX"/>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'08_Comparacion'!$A$6:$A$8</c:f>
              <c:numCache>
                <c:formatCode>General</c:formatCode>
                <c:ptCount val="3"/>
                <c:pt idx="0">
                  <c:v>2018</c:v>
                </c:pt>
                <c:pt idx="1">
                  <c:v>2022</c:v>
                </c:pt>
                <c:pt idx="2">
                  <c:v>2026</c:v>
                </c:pt>
              </c:numCache>
            </c:numRef>
          </c:cat>
          <c:val>
            <c:numRef>
              <c:f>'08_Comparacion'!$J$6:$J$8</c:f>
              <c:numCache>
                <c:formatCode>0.0%</c:formatCode>
                <c:ptCount val="3"/>
                <c:pt idx="0">
                  <c:v>0.5</c:v>
                </c:pt>
                <c:pt idx="1">
                  <c:v>0.39583333333333331</c:v>
                </c:pt>
                <c:pt idx="2">
                  <c:v>0.55555555555555558</c:v>
                </c:pt>
              </c:numCache>
            </c:numRef>
          </c:val>
          <c:smooth val="0"/>
          <c:extLst>
            <c:ext xmlns:c16="http://schemas.microsoft.com/office/drawing/2014/chart" uri="{C3380CC4-5D6E-409C-BE32-E72D297353CC}">
              <c16:uniqueId val="{00000002-F9F4-4989-95A7-AFF7BE8ACF9D}"/>
            </c:ext>
          </c:extLst>
        </c:ser>
        <c:dLbls>
          <c:showLegendKey val="0"/>
          <c:showVal val="0"/>
          <c:showCatName val="0"/>
          <c:showSerName val="0"/>
          <c:showPercent val="0"/>
          <c:showBubbleSize val="0"/>
        </c:dLbls>
        <c:hiLowLines>
          <c:spPr>
            <a:ln w="0">
              <a:noFill/>
            </a:ln>
          </c:spPr>
        </c:hiLowLines>
        <c:smooth val="0"/>
        <c:axId val="43400108"/>
        <c:axId val="23142690"/>
      </c:lineChart>
      <c:catAx>
        <c:axId val="4340010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s-MX"/>
          </a:p>
        </c:txPr>
        <c:crossAx val="23142690"/>
        <c:crosses val="autoZero"/>
        <c:auto val="1"/>
        <c:lblAlgn val="ctr"/>
        <c:lblOffset val="100"/>
        <c:noMultiLvlLbl val="0"/>
      </c:catAx>
      <c:valAx>
        <c:axId val="23142690"/>
        <c:scaling>
          <c:orientation val="minMax"/>
        </c:scaling>
        <c:delete val="0"/>
        <c:axPos val="l"/>
        <c:majorGridlines>
          <c:spPr>
            <a:ln w="9360">
              <a:solidFill>
                <a:srgbClr val="CCCCCC"/>
              </a:solidFill>
              <a:prstDash val="dash"/>
              <a:round/>
            </a:ln>
          </c:spPr>
        </c:majorGridlines>
        <c:numFmt formatCode="0.0%" sourceLinked="0"/>
        <c:majorTickMark val="none"/>
        <c:minorTickMark val="none"/>
        <c:tickLblPos val="nextTo"/>
        <c:spPr>
          <a:ln w="12600">
            <a:solidFill>
              <a:srgbClr val="8B8B8B"/>
            </a:solidFill>
            <a:round/>
          </a:ln>
        </c:spPr>
        <c:txPr>
          <a:bodyPr/>
          <a:lstStyle/>
          <a:p>
            <a:pPr>
              <a:defRPr sz="1000" b="0" strike="noStrike" spc="-1">
                <a:solidFill>
                  <a:srgbClr val="000000"/>
                </a:solidFill>
                <a:latin typeface="Calibri"/>
                <a:ea typeface="Calibri"/>
              </a:defRPr>
            </a:pPr>
            <a:endParaRPr lang="es-MX"/>
          </a:p>
        </c:txPr>
        <c:crossAx val="4340010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ea typeface="Calibri"/>
            </a:defRPr>
          </a:pPr>
          <a:endParaRPr lang="es-MX"/>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Distribucion de Resultados por Mundial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percentStacked"/>
        <c:varyColors val="0"/>
        <c:ser>
          <c:idx val="0"/>
          <c:order val="0"/>
          <c:tx>
            <c:v>Gana Local</c:v>
          </c:tx>
          <c:spPr>
            <a:solidFill>
              <a:schemeClr val="accent1"/>
            </a:solidFill>
            <a:ln>
              <a:noFill/>
            </a:ln>
            <a:effectLst/>
          </c:spPr>
          <c:invertIfNegative val="0"/>
          <c:cat>
            <c:numRef>
              <c:f>'08_Comparacion'!$A$20:$A$22</c:f>
              <c:numCache>
                <c:formatCode>General</c:formatCode>
                <c:ptCount val="3"/>
                <c:pt idx="0">
                  <c:v>2018</c:v>
                </c:pt>
                <c:pt idx="1">
                  <c:v>2022</c:v>
                </c:pt>
                <c:pt idx="2">
                  <c:v>2026</c:v>
                </c:pt>
              </c:numCache>
            </c:numRef>
          </c:cat>
          <c:val>
            <c:numRef>
              <c:f>'08_Comparacion'!$B$20:$B$22</c:f>
              <c:numCache>
                <c:formatCode>General</c:formatCode>
                <c:ptCount val="3"/>
                <c:pt idx="0">
                  <c:v>17</c:v>
                </c:pt>
                <c:pt idx="1">
                  <c:v>19</c:v>
                </c:pt>
                <c:pt idx="2">
                  <c:v>34</c:v>
                </c:pt>
              </c:numCache>
            </c:numRef>
          </c:val>
          <c:extLst>
            <c:ext xmlns:c16="http://schemas.microsoft.com/office/drawing/2014/chart" uri="{C3380CC4-5D6E-409C-BE32-E72D297353CC}">
              <c16:uniqueId val="{00000009-72C0-4526-BC31-B075A54DEB85}"/>
            </c:ext>
          </c:extLst>
        </c:ser>
        <c:ser>
          <c:idx val="1"/>
          <c:order val="1"/>
          <c:tx>
            <c:v>Empata</c:v>
          </c:tx>
          <c:spPr>
            <a:solidFill>
              <a:schemeClr val="accent2"/>
            </a:solidFill>
            <a:ln>
              <a:noFill/>
            </a:ln>
            <a:effectLst/>
          </c:spPr>
          <c:invertIfNegative val="0"/>
          <c:cat>
            <c:numRef>
              <c:f>'08_Comparacion'!$A$20:$A$22</c:f>
              <c:numCache>
                <c:formatCode>General</c:formatCode>
                <c:ptCount val="3"/>
                <c:pt idx="0">
                  <c:v>2018</c:v>
                </c:pt>
                <c:pt idx="1">
                  <c:v>2022</c:v>
                </c:pt>
                <c:pt idx="2">
                  <c:v>2026</c:v>
                </c:pt>
              </c:numCache>
            </c:numRef>
          </c:cat>
          <c:val>
            <c:numRef>
              <c:f>'08_Comparacion'!$C$20:$C$22</c:f>
              <c:numCache>
                <c:formatCode>General</c:formatCode>
                <c:ptCount val="3"/>
                <c:pt idx="0">
                  <c:v>9</c:v>
                </c:pt>
                <c:pt idx="1">
                  <c:v>10</c:v>
                </c:pt>
                <c:pt idx="2">
                  <c:v>20</c:v>
                </c:pt>
              </c:numCache>
            </c:numRef>
          </c:val>
          <c:extLst>
            <c:ext xmlns:c16="http://schemas.microsoft.com/office/drawing/2014/chart" uri="{C3380CC4-5D6E-409C-BE32-E72D297353CC}">
              <c16:uniqueId val="{0000000A-72C0-4526-BC31-B075A54DEB85}"/>
            </c:ext>
          </c:extLst>
        </c:ser>
        <c:ser>
          <c:idx val="2"/>
          <c:order val="2"/>
          <c:tx>
            <c:v>Pierde Local</c:v>
          </c:tx>
          <c:spPr>
            <a:solidFill>
              <a:schemeClr val="accent3"/>
            </a:solidFill>
            <a:ln>
              <a:noFill/>
            </a:ln>
            <a:effectLst/>
          </c:spPr>
          <c:invertIfNegative val="0"/>
          <c:cat>
            <c:numRef>
              <c:f>'08_Comparacion'!$A$20:$A$22</c:f>
              <c:numCache>
                <c:formatCode>General</c:formatCode>
                <c:ptCount val="3"/>
                <c:pt idx="0">
                  <c:v>2018</c:v>
                </c:pt>
                <c:pt idx="1">
                  <c:v>2022</c:v>
                </c:pt>
                <c:pt idx="2">
                  <c:v>2026</c:v>
                </c:pt>
              </c:numCache>
            </c:numRef>
          </c:cat>
          <c:val>
            <c:numRef>
              <c:f>'08_Comparacion'!$D$20:$D$22</c:f>
              <c:numCache>
                <c:formatCode>General</c:formatCode>
                <c:ptCount val="3"/>
                <c:pt idx="0">
                  <c:v>22</c:v>
                </c:pt>
                <c:pt idx="1">
                  <c:v>19</c:v>
                </c:pt>
                <c:pt idx="2">
                  <c:v>18</c:v>
                </c:pt>
              </c:numCache>
            </c:numRef>
          </c:val>
          <c:extLst>
            <c:ext xmlns:c16="http://schemas.microsoft.com/office/drawing/2014/chart" uri="{C3380CC4-5D6E-409C-BE32-E72D297353CC}">
              <c16:uniqueId val="{0000000B-72C0-4526-BC31-B075A54DEB85}"/>
            </c:ext>
          </c:extLst>
        </c:ser>
        <c:dLbls>
          <c:showLegendKey val="0"/>
          <c:showVal val="0"/>
          <c:showCatName val="0"/>
          <c:showSerName val="0"/>
          <c:showPercent val="0"/>
          <c:showBubbleSize val="0"/>
        </c:dLbls>
        <c:gapWidth val="150"/>
        <c:overlap val="100"/>
        <c:axId val="2072038800"/>
        <c:axId val="2072038384"/>
      </c:barChart>
      <c:catAx>
        <c:axId val="207203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72038384"/>
        <c:crosses val="autoZero"/>
        <c:auto val="1"/>
        <c:lblAlgn val="ctr"/>
        <c:lblOffset val="100"/>
        <c:noMultiLvlLbl val="0"/>
      </c:catAx>
      <c:valAx>
        <c:axId val="207203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7203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20</xdr:col>
      <xdr:colOff>3721</xdr:colOff>
      <xdr:row>20</xdr:row>
      <xdr:rowOff>1318</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0</xdr:rowOff>
    </xdr:from>
    <xdr:to>
      <xdr:col>20</xdr:col>
      <xdr:colOff>3721</xdr:colOff>
      <xdr:row>37</xdr:row>
      <xdr:rowOff>141517</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544080</xdr:colOff>
      <xdr:row>40</xdr:row>
      <xdr:rowOff>7668</xdr:rowOff>
    </xdr:from>
    <xdr:to>
      <xdr:col>18</xdr:col>
      <xdr:colOff>170132</xdr:colOff>
      <xdr:row>55</xdr:row>
      <xdr:rowOff>29440</xdr:rowOff>
    </xdr:to>
    <xdr:graphicFrame macro="">
      <xdr:nvGraphicFramePr>
        <xdr:cNvPr id="4" name="Gráfico 3">
          <a:extLst>
            <a:ext uri="{FF2B5EF4-FFF2-40B4-BE49-F238E27FC236}">
              <a16:creationId xmlns:a16="http://schemas.microsoft.com/office/drawing/2014/main" id="{BBAC085E-1817-44FC-B742-F23D77856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ResultadosControl" displayName="ResultadosControl" ref="A17:F20" totalsRowShown="0">
  <tableColumns count="6">
    <tableColumn id="1" xr3:uid="{00000000-0010-0000-0000-000001000000}" name="Mundial"/>
    <tableColumn id="2" xr3:uid="{00000000-0010-0000-0000-000002000000}" name="Partidos"/>
    <tableColumn id="3" xr3:uid="{00000000-0010-0000-0000-000003000000}" name="Goles"/>
    <tableColumn id="4" xr3:uid="{00000000-0010-0000-0000-000004000000}" name="Goles/partido"/>
    <tableColumn id="5" xr3:uid="{00000000-0010-0000-0000-000005000000}" name="Empates"/>
    <tableColumn id="6" xr3:uid="{00000000-0010-0000-0000-000006000000}" name="Cobertur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RutaTrabajo" displayName="RutaTrabajo" ref="A6:D13" totalsRowShown="0">
  <tableColumns count="4">
    <tableColumn id="1" xr3:uid="{00000000-0010-0000-0100-000001000000}" name="Paso"/>
    <tableColumn id="2" xr3:uid="{00000000-0010-0000-0100-000002000000}" name="Actividad"/>
    <tableColumn id="3" xr3:uid="{00000000-0010-0000-0100-000003000000}" name="Qué debe ocurrir"/>
    <tableColumn id="4" xr3:uid="{00000000-0010-0000-0100-000004000000}" name="Herramient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DiccionarioCampos" displayName="DiccionarioCampos" ref="A5:E24" totalsRowShown="0">
  <tableColumns count="5">
    <tableColumn id="1" xr3:uid="{00000000-0010-0000-0200-000001000000}" name="Campo"/>
    <tableColumn id="2" xr3:uid="{00000000-0010-0000-0200-000002000000}" name="Tipo esperado"/>
    <tableColumn id="3" xr3:uid="{00000000-0010-0000-0200-000003000000}" name="Descripción"/>
    <tableColumn id="4" xr3:uid="{00000000-0010-0000-0200-000004000000}" name="Ejemplo"/>
    <tableColumn id="5" xr3:uid="{00000000-0010-0000-0200-000005000000}" name="Derivado"/>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CatalogoEquipos" displayName="CatalogoEquipos" ref="A5:D100" totalsRowShown="0">
  <tableColumns count="4">
    <tableColumn id="1" xr3:uid="{00000000-0010-0000-0300-000001000000}" name="Variante"/>
    <tableColumn id="2" xr3:uid="{00000000-0010-0000-0300-000002000000}" name="Nombre canónico"/>
    <tableColumn id="3" xr3:uid="{00000000-0010-0000-0300-000003000000}" name="Código"/>
    <tableColumn id="4" xr3:uid="{00000000-0010-0000-0300-000004000000}" name="Observación del equipo"/>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Sucio2018" displayName="Sucio2018" ref="A5:P55" totalsRowShown="0">
  <tableColumns count="16">
    <tableColumn id="1" xr3:uid="{00000000-0010-0000-0400-000001000000}" name="ID Partido"/>
    <tableColumn id="2" xr3:uid="{00000000-0010-0000-0400-000002000000}" name="Año"/>
    <tableColumn id="3" xr3:uid="{00000000-0010-0000-0400-000003000000}" name="Fase"/>
    <tableColumn id="4" xr3:uid="{00000000-0010-0000-0400-000004000000}" name="Grupo"/>
    <tableColumn id="5" xr3:uid="{00000000-0010-0000-0400-000005000000}" name="Jornada"/>
    <tableColumn id="6" xr3:uid="{00000000-0010-0000-0400-000006000000}" name="Fecha"/>
    <tableColumn id="7" xr3:uid="{00000000-0010-0000-0400-000007000000}" name="Hora"/>
    <tableColumn id="8" xr3:uid="{00000000-0010-0000-0400-000008000000}" name="Equipo Local"/>
    <tableColumn id="9" xr3:uid="{00000000-0010-0000-0400-000009000000}" name="Equipo Visitante"/>
    <tableColumn id="10" xr3:uid="{00000000-0010-0000-0400-00000A000000}" name="Goles Local"/>
    <tableColumn id="11" xr3:uid="{00000000-0010-0000-0400-00000B000000}" name="Goles Visitante"/>
    <tableColumn id="12" xr3:uid="{00000000-0010-0000-0400-00000C000000}" name="Marcador"/>
    <tableColumn id="13" xr3:uid="{00000000-0010-0000-0400-00000D000000}" name="Anfitrión Local"/>
    <tableColumn id="14" xr3:uid="{00000000-0010-0000-0400-00000E000000}" name="Estadio"/>
    <tableColumn id="15" xr3:uid="{00000000-0010-0000-0400-00000F000000}" name="Ciudad"/>
    <tableColumn id="16" xr3:uid="{00000000-0010-0000-0400-000010000000}" name="Fuente"/>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Sucio2022" displayName="Sucio2022" ref="A5:P56" totalsRowShown="0">
  <tableColumns count="16">
    <tableColumn id="1" xr3:uid="{00000000-0010-0000-0500-000001000000}" name="match_id"/>
    <tableColumn id="2" xr3:uid="{00000000-0010-0000-0500-000002000000}" name="WorldCup"/>
    <tableColumn id="3" xr3:uid="{00000000-0010-0000-0500-000003000000}" name="stage"/>
    <tableColumn id="4" xr3:uid="{00000000-0010-0000-0500-000004000000}" name="group_name"/>
    <tableColumn id="5" xr3:uid="{00000000-0010-0000-0500-000005000000}" name="match_day"/>
    <tableColumn id="6" xr3:uid="{00000000-0010-0000-0500-000006000000}" name="date"/>
    <tableColumn id="7" xr3:uid="{00000000-0010-0000-0500-000007000000}" name="local"/>
    <tableColumn id="8" xr3:uid="{00000000-0010-0000-0500-000008000000}" name="visitor"/>
    <tableColumn id="9" xr3:uid="{00000000-0010-0000-0500-000009000000}" name="home_score"/>
    <tableColumn id="10" xr3:uid="{00000000-0010-0000-0500-00000A000000}" name="away_score"/>
    <tableColumn id="11" xr3:uid="{00000000-0010-0000-0500-00000B000000}" name="score_text"/>
    <tableColumn id="12" xr3:uid="{00000000-0010-0000-0500-00000C000000}" name="home_host"/>
    <tableColumn id="13" xr3:uid="{00000000-0010-0000-0500-00000D000000}" name="venue"/>
    <tableColumn id="14" xr3:uid="{00000000-0010-0000-0500-00000E000000}" name="city_name"/>
    <tableColumn id="15" xr3:uid="{00000000-0010-0000-0500-00000F000000}" name="comentario"/>
    <tableColumn id="16" xr3:uid="{00000000-0010-0000-0500-000010000000}" name="source_url"/>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6000000}" name="Sucio2026" displayName="Sucio2026" ref="A5:N80" totalsRowShown="0">
  <tableColumns count="14">
    <tableColumn id="1" xr3:uid="{00000000-0010-0000-0600-000001000000}" name="match"/>
    <tableColumn id="2" xr3:uid="{00000000-0010-0000-0600-000002000000}" name="wc"/>
    <tableColumn id="3" xr3:uid="{00000000-0010-0000-0600-000003000000}" name="round"/>
    <tableColumn id="4" xr3:uid="{00000000-0010-0000-0600-000004000000}" name="grp"/>
    <tableColumn id="5" xr3:uid="{00000000-0010-0000-0600-000005000000}" name="md"/>
    <tableColumn id="6" xr3:uid="{00000000-0010-0000-0600-000006000000}" name="played_on"/>
    <tableColumn id="7" xr3:uid="{00000000-0010-0000-0600-000007000000}" name="home"/>
    <tableColumn id="8" xr3:uid="{00000000-0010-0000-0600-000008000000}" name="away"/>
    <tableColumn id="9" xr3:uid="{00000000-0010-0000-0600-000009000000}" name="HG"/>
    <tableColumn id="10" xr3:uid="{00000000-0010-0000-0600-00000A000000}" name="AG"/>
    <tableColumn id="11" xr3:uid="{00000000-0010-0000-0600-00000B000000}" name="result_raw"/>
    <tableColumn id="12" xr3:uid="{00000000-0010-0000-0600-00000C000000}" name="host_h"/>
    <tableColumn id="13" xr3:uid="{00000000-0010-0000-0600-00000D000000}" name="host_a"/>
    <tableColumn id="14" xr3:uid="{00000000-0010-0000-0600-00000E000000}" name="source"/>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ControlCalidad" displayName="ControlCalidad" ref="A5:G15" totalsRowShown="0">
  <tableColumns count="7">
    <tableColumn id="1" xr3:uid="{00000000-0010-0000-0700-000001000000}" name="Dimensión"/>
    <tableColumn id="2" xr3:uid="{00000000-0010-0000-0700-000002000000}" name="Problema"/>
    <tableColumn id="3" xr3:uid="{00000000-0010-0000-0700-000003000000}" name="Cómo detectarlo"/>
    <tableColumn id="4" xr3:uid="{00000000-0010-0000-0700-000004000000}" name="Criterio de aceptación"/>
    <tableColumn id="5" xr3:uid="{00000000-0010-0000-0700-000005000000}" name="Resultado"/>
    <tableColumn id="6" xr3:uid="{00000000-0010-0000-0700-000006000000}" name="Decisión aplicada"/>
    <tableColumn id="7" xr3:uid="{00000000-0010-0000-0700-000007000000}" name="Evidencia / fórmul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8000000}" name="BaseLimpiaAlumno" displayName="BaseLimpiaAlumno" ref="A5:S505" totalsRowShown="0">
  <tableColumns count="19">
    <tableColumn id="1" xr3:uid="{00000000-0010-0000-0800-000001000000}" name="partido_id"/>
    <tableColumn id="2" xr3:uid="{00000000-0010-0000-0800-000002000000}" name="mundial"/>
    <tableColumn id="3" xr3:uid="{00000000-0010-0000-0800-000003000000}" name="fase"/>
    <tableColumn id="4" xr3:uid="{00000000-0010-0000-0800-000004000000}" name="grupo"/>
    <tableColumn id="5" xr3:uid="{00000000-0010-0000-0800-000005000000}" name="jornada"/>
    <tableColumn id="6" xr3:uid="{00000000-0010-0000-0800-000006000000}" name="fecha"/>
    <tableColumn id="7" xr3:uid="{00000000-0010-0000-0800-000007000000}" name="equipo_local"/>
    <tableColumn id="8" xr3:uid="{00000000-0010-0000-0800-000008000000}" name="equipo_visitante"/>
    <tableColumn id="9" xr3:uid="{00000000-0010-0000-0800-000009000000}" name="goles_local"/>
    <tableColumn id="10" xr3:uid="{00000000-0010-0000-0800-00000A000000}" name="goles_visitante"/>
    <tableColumn id="11" xr3:uid="{00000000-0010-0000-0800-00000B000000}" name="marcador"/>
    <tableColumn id="12" xr3:uid="{00000000-0010-0000-0800-00000C000000}" name="resultado_local"/>
    <tableColumn id="13" xr3:uid="{00000000-0010-0000-0800-00000D000000}" name="local_es_anfitrion"/>
    <tableColumn id="14" xr3:uid="{00000000-0010-0000-0800-00000E000000}" name="visitante_es_anfitrion"/>
    <tableColumn id="15" xr3:uid="{00000000-0010-0000-0800-00000F000000}" name="goles_totales"/>
    <tableColumn id="16" xr3:uid="{00000000-0010-0000-0800-000010000000}" name="diferencia_goles"/>
    <tableColumn id="17" xr3:uid="{00000000-0010-0000-0800-000011000000}" name="puntos_local"/>
    <tableColumn id="18" xr3:uid="{00000000-0010-0000-0800-000012000000}" name="puntos_visitante"/>
    <tableColumn id="19" xr3:uid="{00000000-0010-0000-0800-000013000000}" name="fuente"/>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9000000}" name="ComparacionAlumno" displayName="ComparacionAlumno" ref="A5:J8" totalsRowShown="0">
  <tableColumns count="10">
    <tableColumn id="1" xr3:uid="{00000000-0010-0000-0900-000001000000}" name="Mundial"/>
    <tableColumn id="2" xr3:uid="{00000000-0010-0000-0900-000002000000}" name="Partidos"/>
    <tableColumn id="3" xr3:uid="{00000000-0010-0000-0900-000003000000}" name="Goles"/>
    <tableColumn id="4" xr3:uid="{00000000-0010-0000-0900-000004000000}" name="Goles/partido"/>
    <tableColumn id="5" xr3:uid="{00000000-0010-0000-0900-000005000000}" name="Empates"/>
    <tableColumn id="6" xr3:uid="{00000000-0010-0000-0900-000006000000}" name="% empates"/>
    <tableColumn id="7" xr3:uid="{00000000-0010-0000-0900-000007000000}" name="Partidos anfitrión"/>
    <tableColumn id="8" xr3:uid="{00000000-0010-0000-0900-000008000000}" name="Victorias anfitrión"/>
    <tableColumn id="9" xr3:uid="{00000000-0010-0000-0900-000009000000}" name="% victoria anfitrión"/>
    <tableColumn id="10" xr3:uid="{00000000-0010-0000-0900-00000A000000}" name="% partidos &gt; 2.5"/>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A000000}" name="FlujoSupervisado" displayName="FlujoSupervisado" ref="A16:B23" totalsRowShown="0">
  <tableColumns count="2">
    <tableColumn id="1" xr3:uid="{00000000-0010-0000-0A00-000001000000}" name="Paso"/>
    <tableColumn id="2" xr3:uid="{00000000-0010-0000-0A00-000002000000}" name="Acció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VariablesSupervisadas" displayName="VariablesSupervisadas" ref="A5:D12" totalsRowShown="0">
  <tableColumns count="4">
    <tableColumn id="1" xr3:uid="{00000000-0010-0000-0B00-000001000000}" name="Tipo"/>
    <tableColumn id="2" xr3:uid="{00000000-0010-0000-0B00-000002000000}" name="Variable"/>
    <tableColumn id="3" xr3:uid="{00000000-0010-0000-0B00-000003000000}" name="Ejemplo"/>
    <tableColumn id="4" xr3:uid="{00000000-0010-0000-0B00-000004000000}" name="Por qué"/>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zoomScaleNormal="100" workbookViewId="0">
      <selection sqref="A1:H1"/>
    </sheetView>
  </sheetViews>
  <sheetFormatPr baseColWidth="10" defaultColWidth="9" defaultRowHeight="14.4"/>
  <cols>
    <col min="1" max="1" width="10" style="7" customWidth="1"/>
    <col min="2" max="2" width="19" style="7" customWidth="1"/>
    <col min="3" max="3" width="48" style="7" customWidth="1"/>
    <col min="4" max="4" width="18" style="7" customWidth="1"/>
    <col min="5" max="5" width="14" style="7" customWidth="1"/>
    <col min="6" max="6" width="26" style="7" customWidth="1"/>
    <col min="7" max="8" width="14" style="7" customWidth="1"/>
  </cols>
  <sheetData>
    <row r="1" spans="1:8" ht="30" customHeight="1">
      <c r="A1" s="6" t="s">
        <v>0</v>
      </c>
      <c r="B1" s="6"/>
      <c r="C1" s="6"/>
      <c r="D1" s="6"/>
      <c r="E1" s="6"/>
      <c r="F1" s="6"/>
      <c r="G1" s="6"/>
      <c r="H1" s="6"/>
    </row>
    <row r="2" spans="1:8" ht="21.75" customHeight="1">
      <c r="A2" s="5" t="s">
        <v>1</v>
      </c>
      <c r="B2" s="5"/>
      <c r="C2" s="5"/>
      <c r="D2" s="5"/>
      <c r="E2" s="5"/>
      <c r="F2" s="5"/>
      <c r="G2" s="5"/>
      <c r="H2" s="5"/>
    </row>
    <row r="3" spans="1:8" ht="21.75" customHeight="1">
      <c r="A3" s="5"/>
      <c r="B3" s="5"/>
      <c r="C3" s="5"/>
      <c r="D3" s="5"/>
      <c r="E3" s="5"/>
      <c r="F3" s="5"/>
      <c r="G3" s="5"/>
      <c r="H3" s="5"/>
    </row>
    <row r="5" spans="1:8" ht="15" customHeight="1">
      <c r="A5" s="4" t="s">
        <v>2</v>
      </c>
      <c r="B5" s="4"/>
      <c r="C5" s="4"/>
      <c r="D5" s="4"/>
      <c r="E5" s="4"/>
      <c r="F5" s="4"/>
      <c r="G5" s="4"/>
      <c r="H5" s="4"/>
    </row>
    <row r="6" spans="1:8" ht="15" customHeight="1">
      <c r="A6" s="8" t="s">
        <v>3</v>
      </c>
      <c r="B6" s="8" t="s">
        <v>4</v>
      </c>
      <c r="C6" s="8" t="s">
        <v>5</v>
      </c>
      <c r="D6" s="8" t="s">
        <v>6</v>
      </c>
    </row>
    <row r="7" spans="1:8" ht="14.25" customHeight="1">
      <c r="A7" s="9" t="s">
        <v>7</v>
      </c>
      <c r="B7" s="9" t="s">
        <v>8</v>
      </c>
      <c r="C7" s="9" t="s">
        <v>9</v>
      </c>
      <c r="D7" s="9" t="s">
        <v>10</v>
      </c>
    </row>
    <row r="8" spans="1:8" ht="14.25" customHeight="1">
      <c r="A8" s="9" t="s">
        <v>11</v>
      </c>
      <c r="B8" s="9" t="s">
        <v>12</v>
      </c>
      <c r="C8" s="9" t="s">
        <v>13</v>
      </c>
      <c r="D8" s="9" t="s">
        <v>14</v>
      </c>
    </row>
    <row r="9" spans="1:8" ht="14.25" customHeight="1">
      <c r="A9" s="9" t="s">
        <v>15</v>
      </c>
      <c r="B9" s="9" t="s">
        <v>16</v>
      </c>
      <c r="C9" s="9" t="s">
        <v>17</v>
      </c>
      <c r="D9" s="9" t="s">
        <v>18</v>
      </c>
    </row>
    <row r="10" spans="1:8" ht="14.25" customHeight="1">
      <c r="A10" s="9" t="s">
        <v>19</v>
      </c>
      <c r="B10" s="9" t="s">
        <v>20</v>
      </c>
      <c r="C10" s="9" t="s">
        <v>21</v>
      </c>
      <c r="D10" s="9" t="s">
        <v>22</v>
      </c>
    </row>
    <row r="11" spans="1:8" ht="14.25" customHeight="1">
      <c r="A11" s="9" t="s">
        <v>23</v>
      </c>
      <c r="B11" s="9" t="s">
        <v>24</v>
      </c>
      <c r="C11" s="9" t="s">
        <v>25</v>
      </c>
      <c r="D11" s="9" t="s">
        <v>10</v>
      </c>
    </row>
    <row r="12" spans="1:8" ht="14.25" customHeight="1">
      <c r="A12" s="9" t="s">
        <v>26</v>
      </c>
      <c r="B12" s="9" t="s">
        <v>27</v>
      </c>
      <c r="C12" s="9" t="s">
        <v>28</v>
      </c>
      <c r="D12" s="9" t="s">
        <v>29</v>
      </c>
    </row>
    <row r="13" spans="1:8" ht="14.25" customHeight="1">
      <c r="A13" s="9" t="s">
        <v>30</v>
      </c>
      <c r="B13" s="9" t="s">
        <v>31</v>
      </c>
      <c r="C13" s="9" t="s">
        <v>32</v>
      </c>
      <c r="D13" s="9" t="s">
        <v>29</v>
      </c>
    </row>
    <row r="16" spans="1:8" ht="15" customHeight="1">
      <c r="A16" s="4" t="s">
        <v>33</v>
      </c>
      <c r="B16" s="4"/>
      <c r="C16" s="4"/>
      <c r="D16" s="4"/>
      <c r="E16" s="4"/>
      <c r="F16" s="4"/>
      <c r="G16" s="4"/>
      <c r="H16" s="4"/>
    </row>
    <row r="17" spans="1:8" ht="15" customHeight="1">
      <c r="A17" s="8" t="s">
        <v>34</v>
      </c>
      <c r="B17" s="8" t="s">
        <v>35</v>
      </c>
      <c r="C17" s="8" t="s">
        <v>36</v>
      </c>
      <c r="D17" s="8" t="s">
        <v>37</v>
      </c>
      <c r="E17" s="8" t="s">
        <v>38</v>
      </c>
      <c r="F17" s="8" t="s">
        <v>39</v>
      </c>
    </row>
    <row r="18" spans="1:8" ht="14.25" customHeight="1">
      <c r="A18" s="9">
        <v>2018</v>
      </c>
      <c r="B18" s="9">
        <v>48</v>
      </c>
      <c r="C18" s="9">
        <v>122</v>
      </c>
      <c r="D18" s="9">
        <v>2.5417000000000001</v>
      </c>
      <c r="E18" s="9">
        <v>9</v>
      </c>
      <c r="F18" s="9" t="s">
        <v>40</v>
      </c>
    </row>
    <row r="19" spans="1:8" ht="14.25" customHeight="1">
      <c r="A19" s="9">
        <v>2022</v>
      </c>
      <c r="B19" s="9">
        <v>48</v>
      </c>
      <c r="C19" s="9">
        <v>120</v>
      </c>
      <c r="D19" s="9">
        <v>2.5</v>
      </c>
      <c r="E19" s="9">
        <v>10</v>
      </c>
      <c r="F19" s="9" t="s">
        <v>40</v>
      </c>
    </row>
    <row r="20" spans="1:8" ht="14.25" customHeight="1">
      <c r="A20" s="9">
        <v>2026</v>
      </c>
      <c r="B20" s="9">
        <v>72</v>
      </c>
      <c r="C20" s="9">
        <v>215</v>
      </c>
      <c r="D20" s="9">
        <v>2.9861</v>
      </c>
      <c r="E20" s="9">
        <v>20</v>
      </c>
      <c r="F20" s="9" t="s">
        <v>41</v>
      </c>
    </row>
    <row r="23" spans="1:8" ht="14.25" customHeight="1">
      <c r="A23" s="3" t="s">
        <v>42</v>
      </c>
      <c r="B23" s="3"/>
      <c r="C23" s="3"/>
      <c r="D23" s="3"/>
      <c r="E23" s="3"/>
      <c r="F23" s="3"/>
      <c r="G23" s="3"/>
      <c r="H23" s="3"/>
    </row>
    <row r="24" spans="1:8" ht="14.25" customHeight="1">
      <c r="A24" s="3"/>
      <c r="B24" s="3"/>
      <c r="C24" s="3"/>
      <c r="D24" s="3"/>
      <c r="E24" s="3"/>
      <c r="F24" s="3"/>
      <c r="G24" s="3"/>
      <c r="H24" s="3"/>
    </row>
    <row r="25" spans="1:8" ht="14.25" customHeight="1">
      <c r="A25" s="3"/>
      <c r="B25" s="3"/>
      <c r="C25" s="3"/>
      <c r="D25" s="3"/>
      <c r="E25" s="3"/>
      <c r="F25" s="3"/>
      <c r="G25" s="3"/>
      <c r="H25" s="3"/>
    </row>
  </sheetData>
  <mergeCells count="5">
    <mergeCell ref="A1:H1"/>
    <mergeCell ref="A2:H3"/>
    <mergeCell ref="A5:H5"/>
    <mergeCell ref="A16:H16"/>
    <mergeCell ref="A23:H25"/>
  </mergeCells>
  <pageMargins left="0.7" right="0.7" top="0.75" bottom="0.75" header="0.511811023622047" footer="0.511811023622047"/>
  <pageSetup paperSize="9" orientation="portrait" horizontalDpi="300" verticalDpi="30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topLeftCell="D1" zoomScaleNormal="100" workbookViewId="0">
      <selection activeCell="G1" sqref="G1"/>
    </sheetView>
  </sheetViews>
  <sheetFormatPr baseColWidth="10" defaultColWidth="9" defaultRowHeight="14.4"/>
  <cols>
    <col min="1" max="1" width="24" style="7" customWidth="1"/>
    <col min="2" max="2" width="16" style="7" customWidth="1"/>
    <col min="3" max="3" width="54" style="7" customWidth="1"/>
    <col min="4" max="4" width="27" style="7" customWidth="1"/>
    <col min="5" max="5" width="13" style="7" customWidth="1"/>
  </cols>
  <sheetData>
    <row r="1" spans="1:6" ht="30" customHeight="1">
      <c r="A1" s="6" t="s">
        <v>43</v>
      </c>
      <c r="B1" s="6"/>
      <c r="C1" s="6"/>
      <c r="D1" s="6"/>
      <c r="E1" s="6"/>
      <c r="F1" s="6"/>
    </row>
    <row r="2" spans="1:6" ht="21.75" customHeight="1">
      <c r="A2" s="5" t="s">
        <v>44</v>
      </c>
      <c r="B2" s="5"/>
      <c r="C2" s="5"/>
      <c r="D2" s="5"/>
      <c r="E2" s="5"/>
      <c r="F2" s="5"/>
    </row>
    <row r="3" spans="1:6" ht="21.75" customHeight="1">
      <c r="A3" s="5"/>
      <c r="B3" s="5"/>
      <c r="C3" s="5"/>
      <c r="D3" s="5"/>
      <c r="E3" s="5"/>
      <c r="F3" s="5"/>
    </row>
    <row r="5" spans="1:6" ht="15" customHeight="1">
      <c r="A5" s="8" t="s">
        <v>45</v>
      </c>
      <c r="B5" s="8" t="s">
        <v>46</v>
      </c>
      <c r="C5" s="8" t="s">
        <v>47</v>
      </c>
      <c r="D5" s="8" t="s">
        <v>48</v>
      </c>
      <c r="E5" s="8" t="s">
        <v>49</v>
      </c>
    </row>
    <row r="6" spans="1:6" ht="14.25" customHeight="1">
      <c r="A6" s="9" t="s">
        <v>50</v>
      </c>
      <c r="B6" s="9" t="s">
        <v>51</v>
      </c>
      <c r="C6" s="9" t="s">
        <v>52</v>
      </c>
      <c r="D6" s="9" t="s">
        <v>53</v>
      </c>
      <c r="E6" s="9" t="s">
        <v>54</v>
      </c>
    </row>
    <row r="7" spans="1:6" ht="14.25" customHeight="1">
      <c r="A7" s="9" t="s">
        <v>55</v>
      </c>
      <c r="B7" s="9" t="s">
        <v>56</v>
      </c>
      <c r="C7" s="9" t="s">
        <v>57</v>
      </c>
      <c r="D7" s="9">
        <v>2018</v>
      </c>
      <c r="E7" s="9" t="s">
        <v>54</v>
      </c>
    </row>
    <row r="8" spans="1:6" ht="14.25" customHeight="1">
      <c r="A8" s="9" t="s">
        <v>58</v>
      </c>
      <c r="B8" s="9" t="s">
        <v>59</v>
      </c>
      <c r="C8" s="9" t="s">
        <v>60</v>
      </c>
      <c r="D8" s="9" t="s">
        <v>61</v>
      </c>
      <c r="E8" s="9" t="s">
        <v>54</v>
      </c>
    </row>
    <row r="9" spans="1:6" ht="14.25" customHeight="1">
      <c r="A9" s="9" t="s">
        <v>62</v>
      </c>
      <c r="B9" s="9" t="s">
        <v>59</v>
      </c>
      <c r="C9" s="9" t="s">
        <v>63</v>
      </c>
      <c r="D9" s="9" t="s">
        <v>64</v>
      </c>
      <c r="E9" s="9" t="s">
        <v>54</v>
      </c>
    </row>
    <row r="10" spans="1:6" ht="14.25" customHeight="1">
      <c r="A10" s="9" t="s">
        <v>65</v>
      </c>
      <c r="B10" s="9" t="s">
        <v>56</v>
      </c>
      <c r="C10" s="9" t="s">
        <v>66</v>
      </c>
      <c r="D10" s="9">
        <v>1</v>
      </c>
      <c r="E10" s="9" t="s">
        <v>54</v>
      </c>
    </row>
    <row r="11" spans="1:6" ht="14.25" customHeight="1">
      <c r="A11" s="9" t="s">
        <v>67</v>
      </c>
      <c r="B11" s="9" t="s">
        <v>68</v>
      </c>
      <c r="C11" s="9" t="s">
        <v>69</v>
      </c>
      <c r="D11" s="9" t="s">
        <v>70</v>
      </c>
      <c r="E11" s="9" t="s">
        <v>54</v>
      </c>
    </row>
    <row r="12" spans="1:6" ht="14.25" customHeight="1">
      <c r="A12" s="9" t="s">
        <v>71</v>
      </c>
      <c r="B12" s="9" t="s">
        <v>51</v>
      </c>
      <c r="C12" s="9" t="s">
        <v>72</v>
      </c>
      <c r="D12" s="9" t="s">
        <v>73</v>
      </c>
      <c r="E12" s="9" t="s">
        <v>54</v>
      </c>
    </row>
    <row r="13" spans="1:6" ht="14.25" customHeight="1">
      <c r="A13" s="9" t="s">
        <v>74</v>
      </c>
      <c r="B13" s="9" t="s">
        <v>51</v>
      </c>
      <c r="C13" s="9" t="s">
        <v>75</v>
      </c>
      <c r="D13" s="9" t="s">
        <v>76</v>
      </c>
      <c r="E13" s="9" t="s">
        <v>54</v>
      </c>
    </row>
    <row r="14" spans="1:6" ht="14.25" customHeight="1">
      <c r="A14" s="9" t="s">
        <v>77</v>
      </c>
      <c r="B14" s="9" t="s">
        <v>56</v>
      </c>
      <c r="C14" s="9" t="s">
        <v>78</v>
      </c>
      <c r="D14" s="9">
        <v>5</v>
      </c>
      <c r="E14" s="9" t="s">
        <v>54</v>
      </c>
    </row>
    <row r="15" spans="1:6" ht="14.25" customHeight="1">
      <c r="A15" s="9" t="s">
        <v>79</v>
      </c>
      <c r="B15" s="9" t="s">
        <v>56</v>
      </c>
      <c r="C15" s="9" t="s">
        <v>80</v>
      </c>
      <c r="D15" s="9">
        <v>0</v>
      </c>
      <c r="E15" s="9" t="s">
        <v>54</v>
      </c>
    </row>
    <row r="16" spans="1:6" ht="14.25" customHeight="1">
      <c r="A16" s="9" t="s">
        <v>81</v>
      </c>
      <c r="B16" s="9" t="s">
        <v>49</v>
      </c>
      <c r="C16" s="9" t="s">
        <v>82</v>
      </c>
      <c r="D16" s="9" t="s">
        <v>83</v>
      </c>
      <c r="E16" s="9" t="s">
        <v>84</v>
      </c>
    </row>
    <row r="17" spans="1:5" ht="14.25" customHeight="1">
      <c r="A17" s="9" t="s">
        <v>85</v>
      </c>
      <c r="B17" s="9" t="s">
        <v>49</v>
      </c>
      <c r="C17" s="9" t="s">
        <v>86</v>
      </c>
      <c r="D17" s="9" t="s">
        <v>87</v>
      </c>
      <c r="E17" s="9" t="s">
        <v>84</v>
      </c>
    </row>
    <row r="18" spans="1:5" ht="14.25" customHeight="1">
      <c r="A18" s="9" t="s">
        <v>88</v>
      </c>
      <c r="B18" s="9" t="s">
        <v>89</v>
      </c>
      <c r="C18" s="9" t="s">
        <v>90</v>
      </c>
      <c r="D18" s="10" t="b">
        <f>TRUE()</f>
        <v>1</v>
      </c>
      <c r="E18" s="9" t="s">
        <v>54</v>
      </c>
    </row>
    <row r="19" spans="1:5" ht="14.25" customHeight="1">
      <c r="A19" s="9" t="s">
        <v>91</v>
      </c>
      <c r="B19" s="9" t="s">
        <v>89</v>
      </c>
      <c r="C19" s="9" t="s">
        <v>92</v>
      </c>
      <c r="D19" s="10" t="b">
        <f>FALSE()</f>
        <v>0</v>
      </c>
      <c r="E19" s="9" t="s">
        <v>54</v>
      </c>
    </row>
    <row r="20" spans="1:5" ht="14.25" customHeight="1">
      <c r="A20" s="9" t="s">
        <v>93</v>
      </c>
      <c r="B20" s="9" t="s">
        <v>49</v>
      </c>
      <c r="C20" s="9" t="s">
        <v>94</v>
      </c>
      <c r="D20" s="9">
        <v>5</v>
      </c>
      <c r="E20" s="9" t="s">
        <v>84</v>
      </c>
    </row>
    <row r="21" spans="1:5" ht="14.25" customHeight="1">
      <c r="A21" s="9" t="s">
        <v>95</v>
      </c>
      <c r="B21" s="9" t="s">
        <v>49</v>
      </c>
      <c r="C21" s="9" t="s">
        <v>96</v>
      </c>
      <c r="D21" s="9">
        <v>5</v>
      </c>
      <c r="E21" s="9" t="s">
        <v>84</v>
      </c>
    </row>
    <row r="22" spans="1:5" ht="14.25" customHeight="1">
      <c r="A22" s="9" t="s">
        <v>97</v>
      </c>
      <c r="B22" s="9" t="s">
        <v>49</v>
      </c>
      <c r="C22" s="9" t="s">
        <v>98</v>
      </c>
      <c r="D22" s="9">
        <v>3</v>
      </c>
      <c r="E22" s="9" t="s">
        <v>84</v>
      </c>
    </row>
    <row r="23" spans="1:5" ht="14.25" customHeight="1">
      <c r="A23" s="9" t="s">
        <v>99</v>
      </c>
      <c r="B23" s="9" t="s">
        <v>49</v>
      </c>
      <c r="C23" s="9" t="s">
        <v>98</v>
      </c>
      <c r="D23" s="9">
        <v>0</v>
      </c>
      <c r="E23" s="9" t="s">
        <v>84</v>
      </c>
    </row>
    <row r="24" spans="1:5" ht="14.25" customHeight="1">
      <c r="A24" s="9" t="s">
        <v>100</v>
      </c>
      <c r="B24" s="9" t="s">
        <v>101</v>
      </c>
      <c r="C24" s="9" t="s">
        <v>102</v>
      </c>
      <c r="D24" s="9" t="s">
        <v>103</v>
      </c>
      <c r="E24" s="9" t="s">
        <v>54</v>
      </c>
    </row>
  </sheetData>
  <mergeCells count="2">
    <mergeCell ref="A1:F1"/>
    <mergeCell ref="A2:F3"/>
  </mergeCells>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
  <sheetViews>
    <sheetView topLeftCell="A70" zoomScaleNormal="100" workbookViewId="0">
      <selection sqref="A1:D1"/>
    </sheetView>
  </sheetViews>
  <sheetFormatPr baseColWidth="10" defaultColWidth="9" defaultRowHeight="14.4"/>
  <cols>
    <col min="1" max="2" width="34" style="7" customWidth="1"/>
    <col min="3" max="3" width="12" style="7" customWidth="1"/>
    <col min="4" max="4" width="38" style="7" customWidth="1"/>
  </cols>
  <sheetData>
    <row r="1" spans="1:4" ht="30" customHeight="1">
      <c r="A1" s="6" t="s">
        <v>104</v>
      </c>
      <c r="B1" s="6"/>
      <c r="C1" s="6"/>
      <c r="D1" s="6"/>
    </row>
    <row r="2" spans="1:4" ht="21.75" customHeight="1">
      <c r="A2" s="5" t="s">
        <v>105</v>
      </c>
      <c r="B2" s="5"/>
      <c r="C2" s="5"/>
      <c r="D2" s="5"/>
    </row>
    <row r="3" spans="1:4" ht="21.75" customHeight="1">
      <c r="A3" s="5"/>
      <c r="B3" s="5"/>
      <c r="C3" s="5"/>
      <c r="D3" s="5"/>
    </row>
    <row r="5" spans="1:4" ht="15" customHeight="1">
      <c r="A5" s="8" t="s">
        <v>106</v>
      </c>
      <c r="B5" s="8" t="s">
        <v>107</v>
      </c>
      <c r="C5" s="8" t="s">
        <v>108</v>
      </c>
      <c r="D5" s="8" t="s">
        <v>109</v>
      </c>
    </row>
    <row r="6" spans="1:4" ht="14.25" customHeight="1">
      <c r="A6" s="9" t="s">
        <v>110</v>
      </c>
      <c r="B6" s="9" t="s">
        <v>110</v>
      </c>
      <c r="C6" s="9" t="s">
        <v>111</v>
      </c>
      <c r="D6" s="11"/>
    </row>
    <row r="7" spans="1:4" ht="14.25" customHeight="1">
      <c r="A7" s="9" t="s">
        <v>112</v>
      </c>
      <c r="B7" s="9" t="s">
        <v>112</v>
      </c>
      <c r="C7" s="9" t="s">
        <v>113</v>
      </c>
      <c r="D7" s="11"/>
    </row>
    <row r="8" spans="1:4" ht="14.25" customHeight="1">
      <c r="A8" s="9" t="s">
        <v>114</v>
      </c>
      <c r="B8" s="9" t="s">
        <v>114</v>
      </c>
      <c r="C8" s="9" t="s">
        <v>115</v>
      </c>
      <c r="D8" s="11"/>
    </row>
    <row r="9" spans="1:4" ht="14.25" customHeight="1">
      <c r="A9" s="9" t="s">
        <v>116</v>
      </c>
      <c r="B9" s="9" t="s">
        <v>116</v>
      </c>
      <c r="C9" s="9" t="s">
        <v>117</v>
      </c>
      <c r="D9" s="11"/>
    </row>
    <row r="10" spans="1:4" ht="14.25" customHeight="1">
      <c r="A10" s="9" t="s">
        <v>118</v>
      </c>
      <c r="B10" s="9" t="s">
        <v>118</v>
      </c>
      <c r="C10" s="9" t="s">
        <v>119</v>
      </c>
      <c r="D10" s="11"/>
    </row>
    <row r="11" spans="1:4" ht="14.25" customHeight="1">
      <c r="A11" s="9" t="s">
        <v>120</v>
      </c>
      <c r="B11" s="9" t="s">
        <v>121</v>
      </c>
      <c r="C11" s="9" t="s">
        <v>122</v>
      </c>
      <c r="D11" s="11"/>
    </row>
    <row r="12" spans="1:4" ht="14.25" customHeight="1">
      <c r="A12" s="9" t="s">
        <v>123</v>
      </c>
      <c r="B12" s="9" t="s">
        <v>121</v>
      </c>
      <c r="C12" s="9" t="s">
        <v>122</v>
      </c>
      <c r="D12" s="11"/>
    </row>
    <row r="13" spans="1:4" ht="14.25" customHeight="1">
      <c r="A13" s="9" t="s">
        <v>121</v>
      </c>
      <c r="B13" s="9" t="s">
        <v>121</v>
      </c>
      <c r="C13" s="9" t="s">
        <v>122</v>
      </c>
      <c r="D13" s="11"/>
    </row>
    <row r="14" spans="1:4" ht="14.25" customHeight="1">
      <c r="A14" s="9" t="s">
        <v>124</v>
      </c>
      <c r="B14" s="9" t="s">
        <v>121</v>
      </c>
      <c r="C14" s="9" t="s">
        <v>122</v>
      </c>
      <c r="D14" s="11"/>
    </row>
    <row r="15" spans="1:4" ht="14.25" customHeight="1">
      <c r="A15" s="9" t="s">
        <v>125</v>
      </c>
      <c r="B15" s="9" t="s">
        <v>126</v>
      </c>
      <c r="C15" s="9" t="s">
        <v>127</v>
      </c>
      <c r="D15" s="11"/>
    </row>
    <row r="16" spans="1:4" ht="14.25" customHeight="1">
      <c r="A16" s="9" t="s">
        <v>126</v>
      </c>
      <c r="B16" s="9" t="s">
        <v>126</v>
      </c>
      <c r="C16" s="9" t="s">
        <v>127</v>
      </c>
      <c r="D16" s="11"/>
    </row>
    <row r="17" spans="1:4" ht="14.25" customHeight="1">
      <c r="A17" s="9" t="s">
        <v>128</v>
      </c>
      <c r="B17" s="9" t="s">
        <v>128</v>
      </c>
      <c r="C17" s="9" t="s">
        <v>129</v>
      </c>
      <c r="D17" s="11"/>
    </row>
    <row r="18" spans="1:4" ht="14.25" customHeight="1">
      <c r="A18" s="9" t="s">
        <v>130</v>
      </c>
      <c r="B18" s="9" t="s">
        <v>130</v>
      </c>
      <c r="C18" s="9" t="s">
        <v>131</v>
      </c>
      <c r="D18" s="11"/>
    </row>
    <row r="19" spans="1:4" ht="14.25" customHeight="1">
      <c r="A19" s="9" t="s">
        <v>132</v>
      </c>
      <c r="B19" s="9" t="s">
        <v>133</v>
      </c>
      <c r="C19" s="9" t="s">
        <v>134</v>
      </c>
      <c r="D19" s="11"/>
    </row>
    <row r="20" spans="1:4" ht="14.25" customHeight="1">
      <c r="A20" s="9" t="s">
        <v>133</v>
      </c>
      <c r="B20" s="9" t="s">
        <v>133</v>
      </c>
      <c r="C20" s="9" t="s">
        <v>134</v>
      </c>
      <c r="D20" s="11"/>
    </row>
    <row r="21" spans="1:4" ht="14.25" customHeight="1">
      <c r="A21" s="9" t="s">
        <v>135</v>
      </c>
      <c r="B21" s="9" t="s">
        <v>133</v>
      </c>
      <c r="C21" s="9" t="s">
        <v>134</v>
      </c>
      <c r="D21" s="11"/>
    </row>
    <row r="22" spans="1:4" ht="14.25" customHeight="1">
      <c r="A22" s="9" t="s">
        <v>136</v>
      </c>
      <c r="B22" s="9" t="s">
        <v>136</v>
      </c>
      <c r="C22" s="9" t="s">
        <v>137</v>
      </c>
      <c r="D22" s="11"/>
    </row>
    <row r="23" spans="1:4" ht="14.25" customHeight="1">
      <c r="A23" s="9" t="s">
        <v>138</v>
      </c>
      <c r="B23" s="9" t="s">
        <v>138</v>
      </c>
      <c r="C23" s="9" t="s">
        <v>139</v>
      </c>
      <c r="D23" s="11"/>
    </row>
    <row r="24" spans="1:4" ht="14.25" customHeight="1">
      <c r="A24" s="9" t="s">
        <v>140</v>
      </c>
      <c r="B24" s="9" t="s">
        <v>140</v>
      </c>
      <c r="C24" s="9" t="s">
        <v>141</v>
      </c>
      <c r="D24" s="11"/>
    </row>
    <row r="25" spans="1:4" ht="14.25" customHeight="1">
      <c r="A25" s="9" t="s">
        <v>142</v>
      </c>
      <c r="B25" s="9" t="s">
        <v>143</v>
      </c>
      <c r="C25" s="9" t="s">
        <v>144</v>
      </c>
      <c r="D25" s="11"/>
    </row>
    <row r="26" spans="1:4" ht="14.25" customHeight="1">
      <c r="A26" s="9" t="s">
        <v>143</v>
      </c>
      <c r="B26" s="9" t="s">
        <v>143</v>
      </c>
      <c r="C26" s="9" t="s">
        <v>144</v>
      </c>
      <c r="D26" s="11"/>
    </row>
    <row r="27" spans="1:4" ht="14.25" customHeight="1">
      <c r="A27" s="9" t="s">
        <v>143</v>
      </c>
      <c r="B27" s="9" t="s">
        <v>143</v>
      </c>
      <c r="C27" s="9" t="s">
        <v>144</v>
      </c>
      <c r="D27" s="11"/>
    </row>
    <row r="28" spans="1:4" ht="14.25" customHeight="1">
      <c r="A28" s="9" t="s">
        <v>145</v>
      </c>
      <c r="B28" s="9" t="s">
        <v>143</v>
      </c>
      <c r="C28" s="9" t="s">
        <v>144</v>
      </c>
      <c r="D28" s="11"/>
    </row>
    <row r="29" spans="1:4" ht="14.25" customHeight="1">
      <c r="A29" s="9" t="s">
        <v>146</v>
      </c>
      <c r="B29" s="9" t="s">
        <v>147</v>
      </c>
      <c r="C29" s="9" t="s">
        <v>148</v>
      </c>
      <c r="D29" s="11"/>
    </row>
    <row r="30" spans="1:4" ht="14.25" customHeight="1">
      <c r="A30" s="9" t="s">
        <v>149</v>
      </c>
      <c r="B30" s="9" t="s">
        <v>147</v>
      </c>
      <c r="C30" s="9" t="s">
        <v>148</v>
      </c>
      <c r="D30" s="11"/>
    </row>
    <row r="31" spans="1:4" ht="14.25" customHeight="1">
      <c r="A31" s="9" t="s">
        <v>147</v>
      </c>
      <c r="B31" s="9" t="s">
        <v>147</v>
      </c>
      <c r="C31" s="9" t="s">
        <v>148</v>
      </c>
      <c r="D31" s="11"/>
    </row>
    <row r="32" spans="1:4" ht="14.25" customHeight="1">
      <c r="A32" s="9" t="s">
        <v>150</v>
      </c>
      <c r="B32" s="9" t="s">
        <v>151</v>
      </c>
      <c r="C32" s="9" t="s">
        <v>152</v>
      </c>
      <c r="D32" s="11"/>
    </row>
    <row r="33" spans="1:4" ht="14.25" customHeight="1">
      <c r="A33" s="9" t="s">
        <v>153</v>
      </c>
      <c r="B33" s="9" t="s">
        <v>151</v>
      </c>
      <c r="C33" s="9" t="s">
        <v>152</v>
      </c>
      <c r="D33" s="11"/>
    </row>
    <row r="34" spans="1:4" ht="14.25" customHeight="1">
      <c r="A34" s="9" t="s">
        <v>151</v>
      </c>
      <c r="B34" s="9" t="s">
        <v>151</v>
      </c>
      <c r="C34" s="9" t="s">
        <v>152</v>
      </c>
      <c r="D34" s="11"/>
    </row>
    <row r="35" spans="1:4" ht="14.25" customHeight="1">
      <c r="A35" s="9" t="s">
        <v>154</v>
      </c>
      <c r="B35" s="9" t="s">
        <v>151</v>
      </c>
      <c r="C35" s="9" t="s">
        <v>152</v>
      </c>
      <c r="D35" s="11"/>
    </row>
    <row r="36" spans="1:4" ht="14.25" customHeight="1">
      <c r="A36" s="9" t="s">
        <v>155</v>
      </c>
      <c r="B36" s="9" t="s">
        <v>155</v>
      </c>
      <c r="C36" s="9" t="s">
        <v>156</v>
      </c>
      <c r="D36" s="11"/>
    </row>
    <row r="37" spans="1:4" ht="14.25" customHeight="1">
      <c r="A37" s="9" t="s">
        <v>157</v>
      </c>
      <c r="B37" s="9" t="s">
        <v>157</v>
      </c>
      <c r="C37" s="9" t="s">
        <v>158</v>
      </c>
      <c r="D37" s="11"/>
    </row>
    <row r="38" spans="1:4" ht="14.25" customHeight="1">
      <c r="A38" s="9" t="s">
        <v>159</v>
      </c>
      <c r="B38" s="9" t="s">
        <v>159</v>
      </c>
      <c r="C38" s="9" t="s">
        <v>160</v>
      </c>
      <c r="D38" s="11"/>
    </row>
    <row r="39" spans="1:4" ht="14.25" customHeight="1">
      <c r="A39" s="9" t="s">
        <v>161</v>
      </c>
      <c r="B39" s="9" t="s">
        <v>161</v>
      </c>
      <c r="C39" s="9" t="s">
        <v>162</v>
      </c>
      <c r="D39" s="11"/>
    </row>
    <row r="40" spans="1:4" ht="14.25" customHeight="1">
      <c r="A40" s="9" t="s">
        <v>163</v>
      </c>
      <c r="B40" s="9" t="s">
        <v>163</v>
      </c>
      <c r="C40" s="9" t="s">
        <v>164</v>
      </c>
      <c r="D40" s="11"/>
    </row>
    <row r="41" spans="1:4" ht="14.25" customHeight="1">
      <c r="A41" s="9" t="s">
        <v>165</v>
      </c>
      <c r="B41" s="9" t="s">
        <v>166</v>
      </c>
      <c r="C41" s="9" t="s">
        <v>167</v>
      </c>
      <c r="D41" s="11"/>
    </row>
    <row r="42" spans="1:4" ht="14.25" customHeight="1">
      <c r="A42" s="9" t="s">
        <v>166</v>
      </c>
      <c r="B42" s="9" t="s">
        <v>166</v>
      </c>
      <c r="C42" s="9" t="s">
        <v>167</v>
      </c>
      <c r="D42" s="11"/>
    </row>
    <row r="43" spans="1:4" ht="14.25" customHeight="1">
      <c r="A43" s="9" t="s">
        <v>168</v>
      </c>
      <c r="B43" s="9" t="s">
        <v>168</v>
      </c>
      <c r="C43" s="9" t="s">
        <v>169</v>
      </c>
      <c r="D43" s="11"/>
    </row>
    <row r="44" spans="1:4" ht="14.25" customHeight="1">
      <c r="A44" s="9" t="s">
        <v>170</v>
      </c>
      <c r="B44" s="9" t="s">
        <v>170</v>
      </c>
      <c r="C44" s="9" t="s">
        <v>171</v>
      </c>
      <c r="D44" s="11"/>
    </row>
    <row r="45" spans="1:4" ht="14.25" customHeight="1">
      <c r="A45" s="9" t="s">
        <v>172</v>
      </c>
      <c r="B45" s="9" t="s">
        <v>172</v>
      </c>
      <c r="C45" s="9" t="s">
        <v>173</v>
      </c>
      <c r="D45" s="11"/>
    </row>
    <row r="46" spans="1:4" ht="14.25" customHeight="1">
      <c r="A46" s="9" t="s">
        <v>174</v>
      </c>
      <c r="B46" s="9" t="s">
        <v>175</v>
      </c>
      <c r="C46" s="9" t="s">
        <v>176</v>
      </c>
      <c r="D46" s="11"/>
    </row>
    <row r="47" spans="1:4" ht="14.25" customHeight="1">
      <c r="A47" s="9" t="s">
        <v>175</v>
      </c>
      <c r="B47" s="9" t="s">
        <v>175</v>
      </c>
      <c r="C47" s="9" t="s">
        <v>176</v>
      </c>
      <c r="D47" s="11"/>
    </row>
    <row r="48" spans="1:4" ht="14.25" customHeight="1">
      <c r="A48" s="9" t="s">
        <v>177</v>
      </c>
      <c r="B48" s="9" t="s">
        <v>175</v>
      </c>
      <c r="C48" s="9" t="s">
        <v>176</v>
      </c>
      <c r="D48" s="11"/>
    </row>
    <row r="49" spans="1:4" ht="14.25" customHeight="1">
      <c r="A49" s="9" t="s">
        <v>178</v>
      </c>
      <c r="B49" s="9" t="s">
        <v>178</v>
      </c>
      <c r="C49" s="9" t="s">
        <v>179</v>
      </c>
      <c r="D49" s="11"/>
    </row>
    <row r="50" spans="1:4" ht="14.25" customHeight="1">
      <c r="A50" s="9" t="s">
        <v>180</v>
      </c>
      <c r="B50" s="9" t="s">
        <v>181</v>
      </c>
      <c r="C50" s="9" t="s">
        <v>182</v>
      </c>
      <c r="D50" s="11"/>
    </row>
    <row r="51" spans="1:4" ht="14.25" customHeight="1">
      <c r="A51" s="9" t="s">
        <v>183</v>
      </c>
      <c r="B51" s="9" t="s">
        <v>181</v>
      </c>
      <c r="C51" s="9" t="s">
        <v>182</v>
      </c>
      <c r="D51" s="11"/>
    </row>
    <row r="52" spans="1:4" ht="14.25" customHeight="1">
      <c r="A52" s="9" t="s">
        <v>184</v>
      </c>
      <c r="B52" s="9" t="s">
        <v>181</v>
      </c>
      <c r="C52" s="9" t="s">
        <v>182</v>
      </c>
      <c r="D52" s="11"/>
    </row>
    <row r="53" spans="1:4" ht="14.25" customHeight="1">
      <c r="A53" s="9" t="s">
        <v>181</v>
      </c>
      <c r="B53" s="9" t="s">
        <v>181</v>
      </c>
      <c r="C53" s="9" t="s">
        <v>182</v>
      </c>
      <c r="D53" s="11"/>
    </row>
    <row r="54" spans="1:4" ht="14.25" customHeight="1">
      <c r="A54" s="9" t="s">
        <v>185</v>
      </c>
      <c r="B54" s="9" t="s">
        <v>185</v>
      </c>
      <c r="C54" s="9" t="s">
        <v>186</v>
      </c>
      <c r="D54" s="11"/>
    </row>
    <row r="55" spans="1:4" ht="14.25" customHeight="1">
      <c r="A55" s="9" t="s">
        <v>187</v>
      </c>
      <c r="B55" s="9" t="s">
        <v>187</v>
      </c>
      <c r="C55" s="9"/>
      <c r="D55" s="11"/>
    </row>
    <row r="56" spans="1:4" ht="14.25" customHeight="1">
      <c r="A56" s="9" t="s">
        <v>188</v>
      </c>
      <c r="B56" s="9" t="s">
        <v>188</v>
      </c>
      <c r="C56" s="9" t="s">
        <v>189</v>
      </c>
      <c r="D56" s="11"/>
    </row>
    <row r="57" spans="1:4" ht="14.25" customHeight="1">
      <c r="A57" s="9" t="s">
        <v>190</v>
      </c>
      <c r="B57" s="9" t="s">
        <v>188</v>
      </c>
      <c r="C57" s="9" t="s">
        <v>189</v>
      </c>
      <c r="D57" s="11"/>
    </row>
    <row r="58" spans="1:4" ht="14.25" customHeight="1">
      <c r="A58" s="9" t="s">
        <v>191</v>
      </c>
      <c r="B58" s="9" t="s">
        <v>191</v>
      </c>
      <c r="C58" s="9" t="s">
        <v>192</v>
      </c>
      <c r="D58" s="11"/>
    </row>
    <row r="59" spans="1:4" ht="14.25" customHeight="1">
      <c r="A59" s="9" t="s">
        <v>193</v>
      </c>
      <c r="B59" s="9" t="s">
        <v>194</v>
      </c>
      <c r="C59" s="9" t="s">
        <v>195</v>
      </c>
      <c r="D59" s="11"/>
    </row>
    <row r="60" spans="1:4" ht="14.25" customHeight="1">
      <c r="A60" s="9" t="s">
        <v>194</v>
      </c>
      <c r="B60" s="9" t="s">
        <v>194</v>
      </c>
      <c r="C60" s="9" t="s">
        <v>195</v>
      </c>
      <c r="D60" s="11"/>
    </row>
    <row r="61" spans="1:4" ht="14.25" customHeight="1">
      <c r="A61" s="9" t="s">
        <v>196</v>
      </c>
      <c r="B61" s="9" t="s">
        <v>194</v>
      </c>
      <c r="C61" s="9" t="s">
        <v>195</v>
      </c>
      <c r="D61" s="11"/>
    </row>
    <row r="62" spans="1:4" ht="14.25" customHeight="1">
      <c r="A62" s="9" t="s">
        <v>197</v>
      </c>
      <c r="B62" s="9" t="s">
        <v>197</v>
      </c>
      <c r="C62" s="9" t="s">
        <v>198</v>
      </c>
      <c r="D62" s="11"/>
    </row>
    <row r="63" spans="1:4" ht="14.25" customHeight="1">
      <c r="A63" s="9" t="s">
        <v>199</v>
      </c>
      <c r="B63" s="9" t="s">
        <v>197</v>
      </c>
      <c r="C63" s="9" t="s">
        <v>198</v>
      </c>
      <c r="D63" s="11"/>
    </row>
    <row r="64" spans="1:4" ht="14.25" customHeight="1">
      <c r="A64" s="9" t="s">
        <v>200</v>
      </c>
      <c r="B64" s="9" t="s">
        <v>200</v>
      </c>
      <c r="C64" s="9" t="s">
        <v>201</v>
      </c>
      <c r="D64" s="11"/>
    </row>
    <row r="65" spans="1:4" ht="14.25" customHeight="1">
      <c r="A65" s="9" t="s">
        <v>202</v>
      </c>
      <c r="B65" s="9" t="s">
        <v>202</v>
      </c>
      <c r="C65" s="9" t="s">
        <v>203</v>
      </c>
      <c r="D65" s="11"/>
    </row>
    <row r="66" spans="1:4" ht="14.25" customHeight="1">
      <c r="A66" s="9" t="s">
        <v>204</v>
      </c>
      <c r="B66" s="9" t="s">
        <v>204</v>
      </c>
      <c r="C66" s="9" t="s">
        <v>205</v>
      </c>
      <c r="D66" s="11"/>
    </row>
    <row r="67" spans="1:4" ht="14.25" customHeight="1">
      <c r="A67" s="9" t="s">
        <v>206</v>
      </c>
      <c r="B67" s="9" t="s">
        <v>206</v>
      </c>
      <c r="C67" s="9" t="s">
        <v>207</v>
      </c>
      <c r="D67" s="11"/>
    </row>
    <row r="68" spans="1:4" ht="14.25" customHeight="1">
      <c r="A68" s="9" t="s">
        <v>208</v>
      </c>
      <c r="B68" s="9" t="s">
        <v>208</v>
      </c>
      <c r="C68" s="9" t="s">
        <v>209</v>
      </c>
      <c r="D68" s="11"/>
    </row>
    <row r="69" spans="1:4" ht="14.25" customHeight="1">
      <c r="A69" s="9" t="s">
        <v>210</v>
      </c>
      <c r="B69" s="9" t="s">
        <v>210</v>
      </c>
      <c r="C69" s="9" t="s">
        <v>211</v>
      </c>
      <c r="D69" s="11"/>
    </row>
    <row r="70" spans="1:4" ht="14.25" customHeight="1">
      <c r="A70" s="9" t="s">
        <v>212</v>
      </c>
      <c r="B70" s="9" t="s">
        <v>212</v>
      </c>
      <c r="C70" s="9" t="s">
        <v>213</v>
      </c>
      <c r="D70" s="11"/>
    </row>
    <row r="71" spans="1:4" ht="14.25" customHeight="1">
      <c r="A71" s="9" t="s">
        <v>214</v>
      </c>
      <c r="B71" s="9" t="s">
        <v>214</v>
      </c>
      <c r="C71" s="9" t="s">
        <v>215</v>
      </c>
      <c r="D71" s="11"/>
    </row>
    <row r="72" spans="1:4" ht="14.25" customHeight="1">
      <c r="A72" s="9" t="s">
        <v>73</v>
      </c>
      <c r="B72" s="9" t="s">
        <v>73</v>
      </c>
      <c r="C72" s="9" t="s">
        <v>216</v>
      </c>
      <c r="D72" s="11"/>
    </row>
    <row r="73" spans="1:4" ht="14.25" customHeight="1">
      <c r="A73" s="9" t="s">
        <v>217</v>
      </c>
      <c r="B73" s="9" t="s">
        <v>76</v>
      </c>
      <c r="C73" s="9" t="s">
        <v>218</v>
      </c>
      <c r="D73" s="11"/>
    </row>
    <row r="74" spans="1:4" ht="14.25" customHeight="1">
      <c r="A74" s="9" t="s">
        <v>76</v>
      </c>
      <c r="B74" s="9" t="s">
        <v>76</v>
      </c>
      <c r="C74" s="9" t="s">
        <v>218</v>
      </c>
      <c r="D74" s="11"/>
    </row>
    <row r="75" spans="1:4" ht="14.25" customHeight="1">
      <c r="A75" s="9" t="s">
        <v>219</v>
      </c>
      <c r="B75" s="9" t="s">
        <v>76</v>
      </c>
      <c r="C75" s="9" t="s">
        <v>218</v>
      </c>
      <c r="D75" s="11"/>
    </row>
    <row r="76" spans="1:4" ht="14.25" customHeight="1">
      <c r="A76" s="9" t="s">
        <v>220</v>
      </c>
      <c r="B76" s="9" t="s">
        <v>220</v>
      </c>
      <c r="C76" s="9" t="s">
        <v>221</v>
      </c>
      <c r="D76" s="11"/>
    </row>
    <row r="77" spans="1:4" ht="14.25" customHeight="1">
      <c r="A77" s="9" t="s">
        <v>222</v>
      </c>
      <c r="B77" s="9" t="s">
        <v>222</v>
      </c>
      <c r="C77" s="9" t="s">
        <v>223</v>
      </c>
      <c r="D77" s="11"/>
    </row>
    <row r="78" spans="1:4" ht="14.25" customHeight="1">
      <c r="A78" s="9" t="s">
        <v>224</v>
      </c>
      <c r="B78" s="9" t="s">
        <v>224</v>
      </c>
      <c r="C78" s="9" t="s">
        <v>225</v>
      </c>
      <c r="D78" s="11"/>
    </row>
    <row r="79" spans="1:4" ht="14.25" customHeight="1">
      <c r="A79" s="9" t="s">
        <v>226</v>
      </c>
      <c r="B79" s="9" t="s">
        <v>226</v>
      </c>
      <c r="C79" s="9" t="s">
        <v>227</v>
      </c>
      <c r="D79" s="11"/>
    </row>
    <row r="80" spans="1:4" ht="14.25" customHeight="1">
      <c r="A80" s="9" t="s">
        <v>228</v>
      </c>
      <c r="B80" s="9" t="s">
        <v>229</v>
      </c>
      <c r="C80" s="9" t="s">
        <v>230</v>
      </c>
      <c r="D80" s="11"/>
    </row>
    <row r="81" spans="1:4" ht="14.25" customHeight="1">
      <c r="A81" s="9" t="s">
        <v>231</v>
      </c>
      <c r="B81" s="9" t="s">
        <v>229</v>
      </c>
      <c r="C81" s="9" t="s">
        <v>230</v>
      </c>
      <c r="D81" s="11"/>
    </row>
    <row r="82" spans="1:4" ht="14.25" customHeight="1">
      <c r="A82" s="9" t="s">
        <v>232</v>
      </c>
      <c r="B82" s="9" t="s">
        <v>229</v>
      </c>
      <c r="C82" s="9" t="s">
        <v>230</v>
      </c>
      <c r="D82" s="11"/>
    </row>
    <row r="83" spans="1:4" ht="14.25" customHeight="1">
      <c r="A83" s="9" t="s">
        <v>229</v>
      </c>
      <c r="B83" s="9" t="s">
        <v>229</v>
      </c>
      <c r="C83" s="9" t="s">
        <v>230</v>
      </c>
      <c r="D83" s="11"/>
    </row>
    <row r="84" spans="1:4" ht="14.25" customHeight="1">
      <c r="A84" s="9" t="s">
        <v>233</v>
      </c>
      <c r="B84" s="9" t="s">
        <v>234</v>
      </c>
      <c r="C84" s="9" t="s">
        <v>235</v>
      </c>
      <c r="D84" s="11"/>
    </row>
    <row r="85" spans="1:4" ht="14.25" customHeight="1">
      <c r="A85" s="9" t="s">
        <v>234</v>
      </c>
      <c r="B85" s="9" t="s">
        <v>234</v>
      </c>
      <c r="C85" s="9" t="s">
        <v>235</v>
      </c>
      <c r="D85" s="11"/>
    </row>
    <row r="86" spans="1:4" ht="14.25" customHeight="1">
      <c r="A86" s="9" t="s">
        <v>236</v>
      </c>
      <c r="B86" s="9" t="s">
        <v>236</v>
      </c>
      <c r="C86" s="9" t="s">
        <v>237</v>
      </c>
      <c r="D86" s="11"/>
    </row>
    <row r="87" spans="1:4" ht="14.25" customHeight="1">
      <c r="A87" s="9" t="s">
        <v>238</v>
      </c>
      <c r="B87" s="9" t="s">
        <v>239</v>
      </c>
      <c r="C87" s="9" t="s">
        <v>240</v>
      </c>
      <c r="D87" s="11"/>
    </row>
    <row r="88" spans="1:4" ht="14.25" customHeight="1">
      <c r="A88" s="9" t="s">
        <v>239</v>
      </c>
      <c r="B88" s="9" t="s">
        <v>239</v>
      </c>
      <c r="C88" s="9" t="s">
        <v>240</v>
      </c>
      <c r="D88" s="11"/>
    </row>
    <row r="89" spans="1:4" ht="14.25" customHeight="1">
      <c r="A89" s="9" t="s">
        <v>241</v>
      </c>
      <c r="B89" s="9" t="s">
        <v>241</v>
      </c>
      <c r="C89" s="9" t="s">
        <v>242</v>
      </c>
      <c r="D89" s="11"/>
    </row>
    <row r="90" spans="1:4" ht="14.25" customHeight="1">
      <c r="A90" s="9" t="s">
        <v>243</v>
      </c>
      <c r="B90" s="9" t="s">
        <v>243</v>
      </c>
      <c r="C90" s="9" t="s">
        <v>244</v>
      </c>
      <c r="D90" s="11"/>
    </row>
    <row r="91" spans="1:4" ht="14.25" customHeight="1">
      <c r="A91" s="9" t="s">
        <v>245</v>
      </c>
      <c r="B91" s="9" t="s">
        <v>243</v>
      </c>
      <c r="C91" s="9" t="s">
        <v>244</v>
      </c>
      <c r="D91" s="11"/>
    </row>
    <row r="92" spans="1:4" ht="14.25" customHeight="1">
      <c r="A92" s="9" t="s">
        <v>246</v>
      </c>
      <c r="B92" s="9" t="s">
        <v>243</v>
      </c>
      <c r="C92" s="9" t="s">
        <v>244</v>
      </c>
      <c r="D92" s="11"/>
    </row>
    <row r="93" spans="1:4" ht="14.25" customHeight="1">
      <c r="A93" s="9" t="s">
        <v>247</v>
      </c>
      <c r="B93" s="9" t="s">
        <v>248</v>
      </c>
      <c r="C93" s="9" t="s">
        <v>249</v>
      </c>
      <c r="D93" s="11"/>
    </row>
    <row r="94" spans="1:4" ht="14.25" customHeight="1">
      <c r="A94" s="9" t="s">
        <v>250</v>
      </c>
      <c r="B94" s="9" t="s">
        <v>248</v>
      </c>
      <c r="C94" s="9" t="s">
        <v>249</v>
      </c>
      <c r="D94" s="11"/>
    </row>
    <row r="95" spans="1:4" ht="14.25" customHeight="1">
      <c r="A95" s="9" t="s">
        <v>249</v>
      </c>
      <c r="B95" s="9" t="s">
        <v>248</v>
      </c>
      <c r="C95" s="9" t="s">
        <v>249</v>
      </c>
      <c r="D95" s="11"/>
    </row>
    <row r="96" spans="1:4" ht="14.25" customHeight="1">
      <c r="A96" s="9" t="s">
        <v>248</v>
      </c>
      <c r="B96" s="9" t="s">
        <v>248</v>
      </c>
      <c r="C96" s="9" t="s">
        <v>249</v>
      </c>
      <c r="D96" s="11"/>
    </row>
    <row r="97" spans="1:4" ht="14.25" customHeight="1">
      <c r="A97" s="9" t="s">
        <v>251</v>
      </c>
      <c r="B97" s="9" t="s">
        <v>248</v>
      </c>
      <c r="C97" s="9" t="s">
        <v>249</v>
      </c>
      <c r="D97" s="11"/>
    </row>
    <row r="98" spans="1:4" ht="14.25" customHeight="1">
      <c r="A98" s="9" t="s">
        <v>252</v>
      </c>
      <c r="B98" s="9" t="s">
        <v>252</v>
      </c>
      <c r="C98" s="9" t="s">
        <v>253</v>
      </c>
      <c r="D98" s="11"/>
    </row>
    <row r="99" spans="1:4" ht="14.25" customHeight="1">
      <c r="A99" s="9" t="s">
        <v>254</v>
      </c>
      <c r="B99" s="9" t="s">
        <v>254</v>
      </c>
      <c r="C99" s="9"/>
      <c r="D99" s="11"/>
    </row>
    <row r="100" spans="1:4" ht="14.25" customHeight="1">
      <c r="A100" s="9" t="s">
        <v>255</v>
      </c>
      <c r="B100" s="9" t="s">
        <v>255</v>
      </c>
      <c r="C100" s="9" t="s">
        <v>256</v>
      </c>
      <c r="D100" s="11"/>
    </row>
  </sheetData>
  <mergeCells count="2">
    <mergeCell ref="A1:D1"/>
    <mergeCell ref="A2:D3"/>
  </mergeCells>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topLeftCell="A27" zoomScaleNormal="100" workbookViewId="0">
      <selection sqref="A1:P1"/>
    </sheetView>
  </sheetViews>
  <sheetFormatPr baseColWidth="10" defaultColWidth="9" defaultRowHeight="14.4"/>
  <cols>
    <col min="1" max="1" width="19" style="7" customWidth="1"/>
    <col min="2" max="7" width="17" style="7" customWidth="1"/>
    <col min="8" max="9" width="26" style="7" customWidth="1"/>
    <col min="10" max="14" width="17" style="7" customWidth="1"/>
    <col min="15" max="16" width="40" style="7" customWidth="1"/>
  </cols>
  <sheetData>
    <row r="1" spans="1:16" ht="30" customHeight="1">
      <c r="A1" s="6" t="s">
        <v>257</v>
      </c>
      <c r="B1" s="6"/>
      <c r="C1" s="6"/>
      <c r="D1" s="6"/>
      <c r="E1" s="6"/>
      <c r="F1" s="6"/>
      <c r="G1" s="6"/>
      <c r="H1" s="6"/>
      <c r="I1" s="6"/>
      <c r="J1" s="6"/>
      <c r="K1" s="6"/>
      <c r="L1" s="6"/>
      <c r="M1" s="6"/>
      <c r="N1" s="6"/>
      <c r="O1" s="6"/>
      <c r="P1" s="6"/>
    </row>
    <row r="2" spans="1:16" ht="21.75" customHeight="1">
      <c r="A2" s="5" t="s">
        <v>258</v>
      </c>
      <c r="B2" s="5"/>
      <c r="C2" s="5"/>
      <c r="D2" s="5"/>
      <c r="E2" s="5"/>
      <c r="F2" s="5"/>
      <c r="G2" s="5"/>
      <c r="H2" s="5"/>
      <c r="I2" s="5"/>
      <c r="J2" s="5"/>
      <c r="K2" s="5"/>
      <c r="L2" s="5"/>
      <c r="M2" s="5"/>
      <c r="N2" s="5"/>
      <c r="O2" s="5"/>
      <c r="P2" s="5"/>
    </row>
    <row r="3" spans="1:16" ht="21.75" customHeight="1">
      <c r="A3" s="5"/>
      <c r="B3" s="5"/>
      <c r="C3" s="5"/>
      <c r="D3" s="5"/>
      <c r="E3" s="5"/>
      <c r="F3" s="5"/>
      <c r="G3" s="5"/>
      <c r="H3" s="5"/>
      <c r="I3" s="5"/>
      <c r="J3" s="5"/>
      <c r="K3" s="5"/>
      <c r="L3" s="5"/>
      <c r="M3" s="5"/>
      <c r="N3" s="5"/>
      <c r="O3" s="5"/>
      <c r="P3" s="5"/>
    </row>
    <row r="5" spans="1:16" ht="15" customHeight="1">
      <c r="A5" s="8" t="s">
        <v>259</v>
      </c>
      <c r="B5" s="8" t="s">
        <v>260</v>
      </c>
      <c r="C5" s="8" t="s">
        <v>261</v>
      </c>
      <c r="D5" s="8" t="s">
        <v>262</v>
      </c>
      <c r="E5" s="8" t="s">
        <v>263</v>
      </c>
      <c r="F5" s="8" t="s">
        <v>68</v>
      </c>
      <c r="G5" s="8" t="s">
        <v>264</v>
      </c>
      <c r="H5" s="8" t="s">
        <v>265</v>
      </c>
      <c r="I5" s="8" t="s">
        <v>266</v>
      </c>
      <c r="J5" s="8" t="s">
        <v>267</v>
      </c>
      <c r="K5" s="8" t="s">
        <v>268</v>
      </c>
      <c r="L5" s="8" t="s">
        <v>269</v>
      </c>
      <c r="M5" s="8" t="s">
        <v>270</v>
      </c>
      <c r="N5" s="8" t="s">
        <v>271</v>
      </c>
      <c r="O5" s="8" t="s">
        <v>272</v>
      </c>
      <c r="P5" s="8" t="s">
        <v>273</v>
      </c>
    </row>
    <row r="6" spans="1:16" ht="14.25" customHeight="1">
      <c r="A6" s="9" t="s">
        <v>274</v>
      </c>
      <c r="B6" s="9" t="s">
        <v>275</v>
      </c>
      <c r="C6" s="9" t="s">
        <v>61</v>
      </c>
      <c r="D6" s="9" t="s">
        <v>276</v>
      </c>
      <c r="E6" s="9" t="s">
        <v>7</v>
      </c>
      <c r="F6" s="9" t="s">
        <v>70</v>
      </c>
      <c r="G6" s="9" t="s">
        <v>277</v>
      </c>
      <c r="H6" s="9" t="s">
        <v>278</v>
      </c>
      <c r="I6" s="9" t="s">
        <v>217</v>
      </c>
      <c r="J6" s="9" t="s">
        <v>279</v>
      </c>
      <c r="K6" s="9"/>
      <c r="L6" s="9" t="s">
        <v>83</v>
      </c>
      <c r="M6" s="9" t="s">
        <v>84</v>
      </c>
      <c r="N6" s="9" t="s">
        <v>280</v>
      </c>
      <c r="O6" s="9" t="s">
        <v>281</v>
      </c>
      <c r="P6" s="9" t="s">
        <v>282</v>
      </c>
    </row>
    <row r="7" spans="1:16" ht="14.25" customHeight="1">
      <c r="A7" s="9" t="s">
        <v>283</v>
      </c>
      <c r="B7" s="9" t="s">
        <v>275</v>
      </c>
      <c r="C7" s="9" t="s">
        <v>284</v>
      </c>
      <c r="D7" s="9" t="s">
        <v>64</v>
      </c>
      <c r="E7" s="9" t="s">
        <v>7</v>
      </c>
      <c r="F7" s="9" t="s">
        <v>285</v>
      </c>
      <c r="G7" s="9" t="s">
        <v>286</v>
      </c>
      <c r="H7" s="9" t="s">
        <v>159</v>
      </c>
      <c r="I7" s="9" t="s">
        <v>252</v>
      </c>
      <c r="J7" s="9" t="s">
        <v>287</v>
      </c>
      <c r="K7" s="9" t="s">
        <v>7</v>
      </c>
      <c r="L7" s="9" t="s">
        <v>288</v>
      </c>
      <c r="M7" s="9" t="s">
        <v>287</v>
      </c>
      <c r="N7" s="9" t="s">
        <v>289</v>
      </c>
      <c r="O7" s="9" t="s">
        <v>290</v>
      </c>
      <c r="P7" s="9" t="s">
        <v>282</v>
      </c>
    </row>
    <row r="8" spans="1:16" ht="14.25" customHeight="1">
      <c r="A8" s="9" t="s">
        <v>291</v>
      </c>
      <c r="B8" s="9" t="s">
        <v>275</v>
      </c>
      <c r="C8" s="9" t="s">
        <v>292</v>
      </c>
      <c r="D8" s="9" t="s">
        <v>293</v>
      </c>
      <c r="E8" s="9" t="s">
        <v>7</v>
      </c>
      <c r="F8" s="9" t="s">
        <v>294</v>
      </c>
      <c r="G8" s="9" t="s">
        <v>277</v>
      </c>
      <c r="H8" s="9" t="s">
        <v>191</v>
      </c>
      <c r="I8" s="9" t="s">
        <v>177</v>
      </c>
      <c r="J8" s="9" t="s">
        <v>287</v>
      </c>
      <c r="K8" s="9" t="s">
        <v>7</v>
      </c>
      <c r="L8" s="9" t="s">
        <v>295</v>
      </c>
      <c r="M8" s="9" t="s">
        <v>296</v>
      </c>
      <c r="N8" s="9" t="s">
        <v>297</v>
      </c>
      <c r="O8" s="9" t="s">
        <v>298</v>
      </c>
      <c r="P8" s="9" t="s">
        <v>282</v>
      </c>
    </row>
    <row r="9" spans="1:16" ht="14.25" customHeight="1">
      <c r="A9" s="9" t="s">
        <v>299</v>
      </c>
      <c r="B9" s="9" t="s">
        <v>275</v>
      </c>
      <c r="C9" s="9" t="s">
        <v>300</v>
      </c>
      <c r="D9" s="9" t="s">
        <v>301</v>
      </c>
      <c r="E9" s="9" t="s">
        <v>7</v>
      </c>
      <c r="F9" s="9" t="s">
        <v>302</v>
      </c>
      <c r="G9" s="9" t="s">
        <v>303</v>
      </c>
      <c r="H9" s="9" t="s">
        <v>212</v>
      </c>
      <c r="I9" s="9" t="s">
        <v>233</v>
      </c>
      <c r="J9" s="9" t="s">
        <v>15</v>
      </c>
      <c r="K9" s="9" t="s">
        <v>15</v>
      </c>
      <c r="L9" s="9" t="s">
        <v>304</v>
      </c>
      <c r="M9" s="9" t="s">
        <v>305</v>
      </c>
      <c r="N9" s="9" t="s">
        <v>306</v>
      </c>
      <c r="O9" s="9" t="s">
        <v>307</v>
      </c>
      <c r="P9" s="9" t="s">
        <v>282</v>
      </c>
    </row>
    <row r="10" spans="1:16" ht="14.25" customHeight="1">
      <c r="A10" s="9" t="s">
        <v>308</v>
      </c>
      <c r="B10" s="9" t="s">
        <v>275</v>
      </c>
      <c r="C10" s="9" t="s">
        <v>61</v>
      </c>
      <c r="D10" s="9" t="s">
        <v>309</v>
      </c>
      <c r="E10" s="9" t="s">
        <v>7</v>
      </c>
      <c r="F10" s="9" t="s">
        <v>310</v>
      </c>
      <c r="G10" s="9" t="s">
        <v>311</v>
      </c>
      <c r="H10" s="9" t="s">
        <v>163</v>
      </c>
      <c r="I10" s="9" t="s">
        <v>114</v>
      </c>
      <c r="J10" s="9" t="s">
        <v>11</v>
      </c>
      <c r="K10" s="9" t="s">
        <v>7</v>
      </c>
      <c r="L10" s="9" t="s">
        <v>312</v>
      </c>
      <c r="M10" s="9" t="s">
        <v>54</v>
      </c>
      <c r="N10" s="9" t="s">
        <v>313</v>
      </c>
      <c r="O10" s="9" t="s">
        <v>314</v>
      </c>
      <c r="P10" s="9" t="s">
        <v>282</v>
      </c>
    </row>
    <row r="11" spans="1:16" ht="14.25" customHeight="1">
      <c r="A11" s="9" t="s">
        <v>315</v>
      </c>
      <c r="B11" s="9" t="s">
        <v>275</v>
      </c>
      <c r="C11" s="9" t="s">
        <v>284</v>
      </c>
      <c r="D11" s="9" t="s">
        <v>316</v>
      </c>
      <c r="E11" s="9" t="s">
        <v>7</v>
      </c>
      <c r="F11" s="9" t="s">
        <v>317</v>
      </c>
      <c r="G11" s="9" t="s">
        <v>318</v>
      </c>
      <c r="H11" s="9" t="s">
        <v>112</v>
      </c>
      <c r="I11" s="9" t="s">
        <v>172</v>
      </c>
      <c r="J11" s="9" t="s">
        <v>7</v>
      </c>
      <c r="K11" s="9" t="s">
        <v>7</v>
      </c>
      <c r="L11" s="9" t="s">
        <v>319</v>
      </c>
      <c r="M11" s="9" t="s">
        <v>287</v>
      </c>
      <c r="N11" s="9" t="s">
        <v>320</v>
      </c>
      <c r="O11" s="9" t="s">
        <v>281</v>
      </c>
      <c r="P11" s="9" t="s">
        <v>282</v>
      </c>
    </row>
    <row r="12" spans="1:16" ht="14.25" customHeight="1">
      <c r="A12" s="9" t="s">
        <v>321</v>
      </c>
      <c r="B12" s="9" t="s">
        <v>275</v>
      </c>
      <c r="C12" s="9" t="s">
        <v>292</v>
      </c>
      <c r="D12" s="9" t="s">
        <v>322</v>
      </c>
      <c r="E12" s="9" t="s">
        <v>7</v>
      </c>
      <c r="F12" s="9" t="s">
        <v>323</v>
      </c>
      <c r="G12" s="9" t="s">
        <v>324</v>
      </c>
      <c r="H12" s="9" t="s">
        <v>208</v>
      </c>
      <c r="I12" s="9" t="s">
        <v>155</v>
      </c>
      <c r="J12" s="9" t="s">
        <v>287</v>
      </c>
      <c r="K12" s="9" t="s">
        <v>7</v>
      </c>
      <c r="L12" s="9" t="s">
        <v>288</v>
      </c>
      <c r="M12" s="9" t="s">
        <v>296</v>
      </c>
      <c r="N12" s="9" t="s">
        <v>325</v>
      </c>
      <c r="O12" s="9" t="s">
        <v>326</v>
      </c>
      <c r="P12" s="9" t="s">
        <v>282</v>
      </c>
    </row>
    <row r="13" spans="1:16" ht="14.25" customHeight="1">
      <c r="A13" s="9" t="s">
        <v>327</v>
      </c>
      <c r="B13" s="9" t="s">
        <v>275</v>
      </c>
      <c r="C13" s="9" t="s">
        <v>300</v>
      </c>
      <c r="D13" s="9" t="s">
        <v>328</v>
      </c>
      <c r="E13" s="9" t="s">
        <v>7</v>
      </c>
      <c r="F13" s="9" t="s">
        <v>329</v>
      </c>
      <c r="G13" s="9" t="s">
        <v>303</v>
      </c>
      <c r="H13" s="9" t="s">
        <v>140</v>
      </c>
      <c r="I13" s="9" t="s">
        <v>200</v>
      </c>
      <c r="J13" s="9" t="s">
        <v>11</v>
      </c>
      <c r="K13" s="9" t="s">
        <v>287</v>
      </c>
      <c r="L13" s="9" t="s">
        <v>330</v>
      </c>
      <c r="M13" s="9" t="s">
        <v>305</v>
      </c>
      <c r="N13" s="9" t="s">
        <v>331</v>
      </c>
      <c r="O13" s="9" t="s">
        <v>332</v>
      </c>
      <c r="P13" s="9" t="s">
        <v>282</v>
      </c>
    </row>
    <row r="14" spans="1:16" ht="14.25" customHeight="1">
      <c r="A14" s="9" t="s">
        <v>333</v>
      </c>
      <c r="B14" s="9" t="s">
        <v>275</v>
      </c>
      <c r="C14" s="9" t="s">
        <v>61</v>
      </c>
      <c r="D14" s="9" t="s">
        <v>334</v>
      </c>
      <c r="E14" s="9" t="s">
        <v>7</v>
      </c>
      <c r="F14" s="9" t="s">
        <v>335</v>
      </c>
      <c r="G14" s="9" t="s">
        <v>318</v>
      </c>
      <c r="H14" s="9" t="s">
        <v>138</v>
      </c>
      <c r="I14" s="9" t="s">
        <v>224</v>
      </c>
      <c r="J14" s="9" t="s">
        <v>287</v>
      </c>
      <c r="K14" s="9" t="s">
        <v>7</v>
      </c>
      <c r="L14" s="9" t="s">
        <v>336</v>
      </c>
      <c r="M14" s="9" t="s">
        <v>54</v>
      </c>
      <c r="N14" s="9" t="s">
        <v>337</v>
      </c>
      <c r="O14" s="9" t="s">
        <v>338</v>
      </c>
      <c r="P14" s="9" t="s">
        <v>282</v>
      </c>
    </row>
    <row r="15" spans="1:16" ht="14.25" customHeight="1">
      <c r="A15" s="9" t="s">
        <v>339</v>
      </c>
      <c r="B15" s="9" t="s">
        <v>275</v>
      </c>
      <c r="C15" s="9" t="s">
        <v>284</v>
      </c>
      <c r="D15" s="9"/>
      <c r="E15" s="9" t="s">
        <v>7</v>
      </c>
      <c r="F15" s="9" t="s">
        <v>340</v>
      </c>
      <c r="G15" s="9" t="s">
        <v>277</v>
      </c>
      <c r="H15" s="9" t="s">
        <v>166</v>
      </c>
      <c r="I15" s="9" t="s">
        <v>188</v>
      </c>
      <c r="J15" s="9" t="s">
        <v>287</v>
      </c>
      <c r="K15" s="9" t="s">
        <v>7</v>
      </c>
      <c r="L15" s="9" t="s">
        <v>341</v>
      </c>
      <c r="M15" s="9" t="s">
        <v>287</v>
      </c>
      <c r="N15" s="9" t="s">
        <v>280</v>
      </c>
      <c r="O15" s="9" t="s">
        <v>281</v>
      </c>
      <c r="P15" s="9" t="s">
        <v>282</v>
      </c>
    </row>
    <row r="16" spans="1:16" ht="14.25" customHeight="1">
      <c r="A16" s="9" t="s">
        <v>342</v>
      </c>
      <c r="B16" s="9" t="s">
        <v>275</v>
      </c>
      <c r="C16" s="9" t="s">
        <v>292</v>
      </c>
      <c r="D16" s="9" t="s">
        <v>343</v>
      </c>
      <c r="E16" s="9" t="s">
        <v>7</v>
      </c>
      <c r="F16" s="9" t="s">
        <v>344</v>
      </c>
      <c r="G16" s="9" t="s">
        <v>303</v>
      </c>
      <c r="H16" s="9" t="s">
        <v>125</v>
      </c>
      <c r="I16" s="9" t="s">
        <v>239</v>
      </c>
      <c r="J16" s="9" t="s">
        <v>7</v>
      </c>
      <c r="K16" s="9" t="s">
        <v>7</v>
      </c>
      <c r="L16" s="9" t="s">
        <v>319</v>
      </c>
      <c r="M16" s="9" t="s">
        <v>296</v>
      </c>
      <c r="N16" s="9" t="s">
        <v>345</v>
      </c>
      <c r="O16" s="9" t="s">
        <v>346</v>
      </c>
      <c r="P16" s="9" t="s">
        <v>282</v>
      </c>
    </row>
    <row r="17" spans="1:16" ht="14.25" customHeight="1">
      <c r="A17" s="9" t="s">
        <v>347</v>
      </c>
      <c r="B17" s="9" t="s">
        <v>275</v>
      </c>
      <c r="C17" s="9" t="s">
        <v>300</v>
      </c>
      <c r="D17" s="9" t="s">
        <v>348</v>
      </c>
      <c r="E17" s="9" t="s">
        <v>7</v>
      </c>
      <c r="F17" s="9" t="s">
        <v>349</v>
      </c>
      <c r="G17" s="9" t="s">
        <v>350</v>
      </c>
      <c r="H17" s="9" t="s">
        <v>236</v>
      </c>
      <c r="I17" s="9" t="s">
        <v>232</v>
      </c>
      <c r="J17" s="9" t="s">
        <v>7</v>
      </c>
      <c r="K17" s="9" t="s">
        <v>287</v>
      </c>
      <c r="L17" s="9" t="s">
        <v>351</v>
      </c>
      <c r="M17" s="9" t="s">
        <v>305</v>
      </c>
      <c r="N17" s="9" t="s">
        <v>352</v>
      </c>
      <c r="O17" s="9" t="s">
        <v>353</v>
      </c>
      <c r="P17" s="9" t="s">
        <v>282</v>
      </c>
    </row>
    <row r="18" spans="1:16" ht="14.25" customHeight="1">
      <c r="A18" s="9" t="s">
        <v>354</v>
      </c>
      <c r="B18" s="9" t="s">
        <v>275</v>
      </c>
      <c r="C18" s="9" t="s">
        <v>61</v>
      </c>
      <c r="D18" s="9" t="s">
        <v>355</v>
      </c>
      <c r="E18" s="9" t="s">
        <v>7</v>
      </c>
      <c r="F18" s="9" t="s">
        <v>356</v>
      </c>
      <c r="G18" s="9" t="s">
        <v>277</v>
      </c>
      <c r="H18" s="9" t="s">
        <v>118</v>
      </c>
      <c r="I18" s="9" t="s">
        <v>204</v>
      </c>
      <c r="J18" s="9" t="s">
        <v>15</v>
      </c>
      <c r="K18" s="9" t="s">
        <v>287</v>
      </c>
      <c r="L18" s="9" t="s">
        <v>357</v>
      </c>
      <c r="M18" s="9" t="s">
        <v>54</v>
      </c>
      <c r="N18" s="9" t="s">
        <v>306</v>
      </c>
      <c r="O18" s="9" t="s">
        <v>307</v>
      </c>
      <c r="P18" s="9" t="s">
        <v>282</v>
      </c>
    </row>
    <row r="19" spans="1:16" ht="14.25" customHeight="1">
      <c r="A19" s="9" t="s">
        <v>358</v>
      </c>
      <c r="B19" s="9" t="s">
        <v>275</v>
      </c>
      <c r="C19" s="9" t="s">
        <v>284</v>
      </c>
      <c r="D19" s="9" t="s">
        <v>359</v>
      </c>
      <c r="E19" s="9" t="s">
        <v>7</v>
      </c>
      <c r="F19" s="9" t="s">
        <v>360</v>
      </c>
      <c r="G19" s="9" t="s">
        <v>303</v>
      </c>
      <c r="H19" s="9" t="s">
        <v>241</v>
      </c>
      <c r="I19" s="9" t="s">
        <v>161</v>
      </c>
      <c r="J19" s="9" t="s">
        <v>361</v>
      </c>
      <c r="K19" s="9" t="s">
        <v>11</v>
      </c>
      <c r="L19" s="9" t="s">
        <v>362</v>
      </c>
      <c r="M19" s="9" t="s">
        <v>287</v>
      </c>
      <c r="N19" s="9" t="s">
        <v>363</v>
      </c>
      <c r="O19" s="9" t="s">
        <v>364</v>
      </c>
      <c r="P19" s="9" t="s">
        <v>282</v>
      </c>
    </row>
    <row r="20" spans="1:16" ht="14.25" customHeight="1">
      <c r="A20" s="9" t="s">
        <v>365</v>
      </c>
      <c r="B20" s="9" t="s">
        <v>275</v>
      </c>
      <c r="C20" s="9" t="s">
        <v>292</v>
      </c>
      <c r="D20" s="9" t="s">
        <v>366</v>
      </c>
      <c r="E20" s="9" t="s">
        <v>7</v>
      </c>
      <c r="F20" s="9" t="s">
        <v>367</v>
      </c>
      <c r="G20" s="9" t="s">
        <v>350</v>
      </c>
      <c r="H20" s="9" t="s">
        <v>136</v>
      </c>
      <c r="I20" s="9" t="s">
        <v>368</v>
      </c>
      <c r="J20" s="9" t="s">
        <v>7</v>
      </c>
      <c r="K20" s="9" t="s">
        <v>11</v>
      </c>
      <c r="L20" s="9" t="s">
        <v>369</v>
      </c>
      <c r="M20" s="9" t="s">
        <v>296</v>
      </c>
      <c r="N20" s="9" t="s">
        <v>325</v>
      </c>
      <c r="O20" s="9" t="s">
        <v>326</v>
      </c>
      <c r="P20" s="9" t="s">
        <v>282</v>
      </c>
    </row>
    <row r="21" spans="1:16" ht="14.25" customHeight="1">
      <c r="A21" s="9" t="s">
        <v>370</v>
      </c>
      <c r="B21" s="9" t="s">
        <v>275</v>
      </c>
      <c r="C21" s="9" t="s">
        <v>300</v>
      </c>
      <c r="D21" s="9" t="s">
        <v>371</v>
      </c>
      <c r="E21" s="9" t="s">
        <v>7</v>
      </c>
      <c r="F21" s="9" t="s">
        <v>372</v>
      </c>
      <c r="G21" s="9" t="s">
        <v>277</v>
      </c>
      <c r="H21" s="9" t="s">
        <v>210</v>
      </c>
      <c r="I21" s="9" t="s">
        <v>222</v>
      </c>
      <c r="J21" s="9" t="s">
        <v>7</v>
      </c>
      <c r="K21" s="9" t="s">
        <v>11</v>
      </c>
      <c r="L21" s="9"/>
      <c r="M21" s="9" t="s">
        <v>305</v>
      </c>
      <c r="N21" s="9" t="s">
        <v>320</v>
      </c>
      <c r="O21" s="9" t="s">
        <v>281</v>
      </c>
      <c r="P21" s="9" t="s">
        <v>282</v>
      </c>
    </row>
    <row r="22" spans="1:16" ht="14.25" customHeight="1">
      <c r="A22" s="9" t="s">
        <v>373</v>
      </c>
      <c r="B22" s="9" t="s">
        <v>275</v>
      </c>
      <c r="C22" s="9" t="s">
        <v>61</v>
      </c>
      <c r="D22" s="9" t="s">
        <v>64</v>
      </c>
      <c r="E22" s="9" t="s">
        <v>11</v>
      </c>
      <c r="F22" s="9" t="s">
        <v>374</v>
      </c>
      <c r="G22" s="9" t="s">
        <v>303</v>
      </c>
      <c r="H22" s="9" t="s">
        <v>73</v>
      </c>
      <c r="I22" s="9" t="s">
        <v>159</v>
      </c>
      <c r="J22" s="9" t="s">
        <v>15</v>
      </c>
      <c r="K22" s="9" t="s">
        <v>7</v>
      </c>
      <c r="L22" s="9" t="s">
        <v>375</v>
      </c>
      <c r="M22" s="9" t="s">
        <v>84</v>
      </c>
      <c r="N22" s="9" t="s">
        <v>297</v>
      </c>
      <c r="O22" s="9" t="s">
        <v>298</v>
      </c>
      <c r="P22" s="9" t="s">
        <v>282</v>
      </c>
    </row>
    <row r="23" spans="1:16" ht="14.25" customHeight="1">
      <c r="A23" s="9" t="s">
        <v>376</v>
      </c>
      <c r="B23" s="9" t="s">
        <v>275</v>
      </c>
      <c r="C23" s="9" t="s">
        <v>284</v>
      </c>
      <c r="D23" s="9" t="s">
        <v>293</v>
      </c>
      <c r="E23" s="9" t="s">
        <v>11</v>
      </c>
      <c r="F23" s="9" t="s">
        <v>377</v>
      </c>
      <c r="G23" s="9" t="s">
        <v>350</v>
      </c>
      <c r="H23" s="9" t="s">
        <v>378</v>
      </c>
      <c r="I23" s="9" t="s">
        <v>191</v>
      </c>
      <c r="J23" s="9" t="s">
        <v>7</v>
      </c>
      <c r="K23" s="9" t="s">
        <v>287</v>
      </c>
      <c r="L23" s="9" t="s">
        <v>379</v>
      </c>
      <c r="M23" s="9" t="s">
        <v>287</v>
      </c>
      <c r="N23" s="9" t="s">
        <v>280</v>
      </c>
      <c r="O23" s="9" t="s">
        <v>281</v>
      </c>
      <c r="P23" s="9" t="s">
        <v>282</v>
      </c>
    </row>
    <row r="24" spans="1:16" ht="14.25" customHeight="1">
      <c r="A24" s="9" t="s">
        <v>380</v>
      </c>
      <c r="B24" s="9" t="s">
        <v>275</v>
      </c>
      <c r="C24" s="9" t="s">
        <v>292</v>
      </c>
      <c r="D24" s="9" t="s">
        <v>276</v>
      </c>
      <c r="E24" s="9" t="s">
        <v>11</v>
      </c>
      <c r="F24" s="9" t="s">
        <v>381</v>
      </c>
      <c r="G24" s="9" t="s">
        <v>277</v>
      </c>
      <c r="H24" s="9" t="s">
        <v>252</v>
      </c>
      <c r="I24" s="9" t="s">
        <v>217</v>
      </c>
      <c r="J24" s="9" t="s">
        <v>7</v>
      </c>
      <c r="K24" s="9" t="s">
        <v>287</v>
      </c>
      <c r="L24" s="9" t="s">
        <v>382</v>
      </c>
      <c r="M24" s="9" t="s">
        <v>296</v>
      </c>
      <c r="N24" s="9" t="s">
        <v>345</v>
      </c>
      <c r="O24" s="9" t="s">
        <v>346</v>
      </c>
      <c r="P24" s="9" t="s">
        <v>282</v>
      </c>
    </row>
    <row r="25" spans="1:16" ht="14.25" customHeight="1">
      <c r="A25" s="9" t="s">
        <v>383</v>
      </c>
      <c r="B25" s="9" t="s">
        <v>275</v>
      </c>
      <c r="C25" s="9" t="s">
        <v>300</v>
      </c>
      <c r="D25" s="9" t="s">
        <v>384</v>
      </c>
      <c r="E25" s="9" t="s">
        <v>11</v>
      </c>
      <c r="F25" s="9" t="s">
        <v>385</v>
      </c>
      <c r="G25" s="9" t="s">
        <v>303</v>
      </c>
      <c r="H25" s="9" t="s">
        <v>175</v>
      </c>
      <c r="I25" s="9" t="s">
        <v>233</v>
      </c>
      <c r="J25" s="9" t="s">
        <v>287</v>
      </c>
      <c r="K25" s="9"/>
      <c r="L25" s="9" t="s">
        <v>341</v>
      </c>
      <c r="M25" s="9" t="s">
        <v>305</v>
      </c>
      <c r="N25" s="9" t="s">
        <v>313</v>
      </c>
      <c r="O25" s="9" t="s">
        <v>314</v>
      </c>
      <c r="P25" s="9" t="s">
        <v>282</v>
      </c>
    </row>
    <row r="26" spans="1:16" ht="14.25" customHeight="1">
      <c r="A26" s="9" t="s">
        <v>386</v>
      </c>
      <c r="B26" s="9" t="s">
        <v>275</v>
      </c>
      <c r="C26" s="9" t="s">
        <v>61</v>
      </c>
      <c r="D26" s="9" t="s">
        <v>387</v>
      </c>
      <c r="E26" s="9" t="s">
        <v>11</v>
      </c>
      <c r="F26" s="9" t="s">
        <v>388</v>
      </c>
      <c r="G26" s="9" t="s">
        <v>318</v>
      </c>
      <c r="H26" s="9" t="s">
        <v>155</v>
      </c>
      <c r="I26" s="9" t="s">
        <v>389</v>
      </c>
      <c r="J26" s="9" t="s">
        <v>7</v>
      </c>
      <c r="K26" s="9" t="s">
        <v>7</v>
      </c>
      <c r="L26" s="9" t="s">
        <v>319</v>
      </c>
      <c r="M26" s="9" t="s">
        <v>54</v>
      </c>
      <c r="N26" s="9" t="s">
        <v>337</v>
      </c>
      <c r="O26" s="9" t="s">
        <v>338</v>
      </c>
      <c r="P26" s="9" t="s">
        <v>282</v>
      </c>
    </row>
    <row r="27" spans="1:16" ht="14.25" customHeight="1">
      <c r="A27" s="9" t="s">
        <v>390</v>
      </c>
      <c r="B27" s="9" t="s">
        <v>275</v>
      </c>
      <c r="C27" s="9" t="s">
        <v>284</v>
      </c>
      <c r="D27" s="9" t="s">
        <v>322</v>
      </c>
      <c r="E27" s="9" t="s">
        <v>11</v>
      </c>
      <c r="F27" s="9" t="s">
        <v>391</v>
      </c>
      <c r="G27" s="9" t="s">
        <v>392</v>
      </c>
      <c r="H27" s="9" t="s">
        <v>163</v>
      </c>
      <c r="I27" s="9" t="s">
        <v>208</v>
      </c>
      <c r="J27" s="9" t="s">
        <v>7</v>
      </c>
      <c r="K27" s="9" t="s">
        <v>287</v>
      </c>
      <c r="L27" s="9" t="s">
        <v>351</v>
      </c>
      <c r="M27" s="9" t="s">
        <v>287</v>
      </c>
      <c r="N27" s="9" t="s">
        <v>289</v>
      </c>
      <c r="O27" s="9" t="s">
        <v>290</v>
      </c>
      <c r="P27" s="9" t="s">
        <v>282</v>
      </c>
    </row>
    <row r="28" spans="1:16" ht="14.25" customHeight="1">
      <c r="A28" s="9" t="s">
        <v>393</v>
      </c>
      <c r="B28" s="9" t="s">
        <v>275</v>
      </c>
      <c r="C28" s="9" t="s">
        <v>292</v>
      </c>
      <c r="D28" s="9" t="s">
        <v>328</v>
      </c>
      <c r="E28" s="9" t="s">
        <v>11</v>
      </c>
      <c r="F28" s="9" t="s">
        <v>394</v>
      </c>
      <c r="G28" s="9" t="s">
        <v>303</v>
      </c>
      <c r="H28" s="9" t="s">
        <v>112</v>
      </c>
      <c r="I28" s="9" t="s">
        <v>140</v>
      </c>
      <c r="J28" s="9" t="s">
        <v>395</v>
      </c>
      <c r="K28" s="9" t="s">
        <v>15</v>
      </c>
      <c r="L28" s="9" t="s">
        <v>396</v>
      </c>
      <c r="M28" s="9" t="s">
        <v>296</v>
      </c>
      <c r="N28" s="9" t="s">
        <v>352</v>
      </c>
      <c r="O28" s="9" t="s">
        <v>353</v>
      </c>
      <c r="P28" s="9" t="s">
        <v>282</v>
      </c>
    </row>
    <row r="29" spans="1:16" ht="14.25" customHeight="1">
      <c r="A29" s="9" t="s">
        <v>397</v>
      </c>
      <c r="B29" s="9" t="s">
        <v>275</v>
      </c>
      <c r="C29" s="9" t="s">
        <v>300</v>
      </c>
      <c r="D29" s="9" t="s">
        <v>334</v>
      </c>
      <c r="E29" s="9" t="s">
        <v>11</v>
      </c>
      <c r="F29" s="9" t="s">
        <v>398</v>
      </c>
      <c r="G29" s="9" t="s">
        <v>350</v>
      </c>
      <c r="H29" s="9" t="s">
        <v>399</v>
      </c>
      <c r="I29" s="9" t="s">
        <v>138</v>
      </c>
      <c r="J29" s="9" t="s">
        <v>11</v>
      </c>
      <c r="K29" s="9" t="s">
        <v>287</v>
      </c>
      <c r="L29" s="9" t="s">
        <v>400</v>
      </c>
      <c r="M29" s="9" t="s">
        <v>305</v>
      </c>
      <c r="N29" s="9" t="s">
        <v>297</v>
      </c>
      <c r="O29" s="9" t="s">
        <v>298</v>
      </c>
      <c r="P29" s="9" t="s">
        <v>282</v>
      </c>
    </row>
    <row r="30" spans="1:16" ht="14.25" customHeight="1">
      <c r="A30" s="9" t="s">
        <v>401</v>
      </c>
      <c r="B30" s="9" t="s">
        <v>275</v>
      </c>
      <c r="C30" s="9" t="s">
        <v>61</v>
      </c>
      <c r="D30" s="9" t="s">
        <v>402</v>
      </c>
      <c r="E30" s="9" t="s">
        <v>11</v>
      </c>
      <c r="F30" s="9" t="s">
        <v>403</v>
      </c>
      <c r="G30" s="9" t="s">
        <v>277</v>
      </c>
      <c r="H30" s="9" t="s">
        <v>200</v>
      </c>
      <c r="I30" s="9" t="s">
        <v>172</v>
      </c>
      <c r="J30" s="9" t="s">
        <v>11</v>
      </c>
      <c r="K30" s="9" t="s">
        <v>287</v>
      </c>
      <c r="L30" s="9" t="s">
        <v>404</v>
      </c>
      <c r="M30" s="9" t="s">
        <v>54</v>
      </c>
      <c r="N30" s="9" t="s">
        <v>363</v>
      </c>
      <c r="O30" s="9" t="s">
        <v>364</v>
      </c>
      <c r="P30" s="9" t="s">
        <v>282</v>
      </c>
    </row>
    <row r="31" spans="1:16" ht="14.25" customHeight="1">
      <c r="A31" s="9" t="s">
        <v>405</v>
      </c>
      <c r="B31" s="9" t="s">
        <v>275</v>
      </c>
      <c r="C31" s="9" t="s">
        <v>284</v>
      </c>
      <c r="D31" s="9" t="s">
        <v>343</v>
      </c>
      <c r="E31" s="9" t="s">
        <v>11</v>
      </c>
      <c r="F31" s="9" t="s">
        <v>406</v>
      </c>
      <c r="G31" s="9" t="s">
        <v>392</v>
      </c>
      <c r="H31" s="9" t="s">
        <v>224</v>
      </c>
      <c r="I31" s="9" t="s">
        <v>238</v>
      </c>
      <c r="J31" s="9" t="s">
        <v>7</v>
      </c>
      <c r="K31" s="9" t="s">
        <v>11</v>
      </c>
      <c r="L31" s="9" t="s">
        <v>407</v>
      </c>
      <c r="M31" s="9" t="s">
        <v>287</v>
      </c>
      <c r="N31" s="9" t="s">
        <v>331</v>
      </c>
      <c r="O31" s="9" t="s">
        <v>332</v>
      </c>
      <c r="P31" s="9" t="s">
        <v>282</v>
      </c>
    </row>
    <row r="32" spans="1:16" ht="14.25" customHeight="1">
      <c r="A32" s="9" t="s">
        <v>408</v>
      </c>
      <c r="B32" s="9" t="s">
        <v>275</v>
      </c>
      <c r="C32" s="9" t="s">
        <v>292</v>
      </c>
      <c r="D32" s="9" t="s">
        <v>409</v>
      </c>
      <c r="E32" s="9" t="s">
        <v>11</v>
      </c>
      <c r="F32" s="9" t="s">
        <v>410</v>
      </c>
      <c r="G32" s="9" t="s">
        <v>350</v>
      </c>
      <c r="H32" s="9" t="s">
        <v>118</v>
      </c>
      <c r="I32" s="9" t="s">
        <v>241</v>
      </c>
      <c r="J32" s="9" t="s">
        <v>279</v>
      </c>
      <c r="K32" s="9" t="s">
        <v>11</v>
      </c>
      <c r="L32" s="9" t="s">
        <v>411</v>
      </c>
      <c r="M32" s="9" t="s">
        <v>296</v>
      </c>
      <c r="N32" s="9" t="s">
        <v>320</v>
      </c>
      <c r="O32" s="9" t="s">
        <v>281</v>
      </c>
      <c r="P32" s="9" t="s">
        <v>282</v>
      </c>
    </row>
    <row r="33" spans="1:16" ht="14.25" customHeight="1">
      <c r="A33" s="9" t="s">
        <v>412</v>
      </c>
      <c r="B33" s="9" t="s">
        <v>275</v>
      </c>
      <c r="C33" s="9" t="s">
        <v>300</v>
      </c>
      <c r="D33" s="9" t="s">
        <v>413</v>
      </c>
      <c r="E33" s="9" t="s">
        <v>11</v>
      </c>
      <c r="F33" s="9" t="s">
        <v>414</v>
      </c>
      <c r="G33" s="9" t="s">
        <v>277</v>
      </c>
      <c r="H33" s="9" t="s">
        <v>229</v>
      </c>
      <c r="I33" s="9" t="s">
        <v>188</v>
      </c>
      <c r="J33" s="9" t="s">
        <v>7</v>
      </c>
      <c r="K33" s="9" t="s">
        <v>11</v>
      </c>
      <c r="L33" s="9" t="s">
        <v>415</v>
      </c>
      <c r="M33" s="9" t="s">
        <v>305</v>
      </c>
      <c r="N33" s="9" t="s">
        <v>345</v>
      </c>
      <c r="O33" s="9" t="s">
        <v>346</v>
      </c>
      <c r="P33" s="9" t="s">
        <v>282</v>
      </c>
    </row>
    <row r="34" spans="1:16" ht="14.25" customHeight="1">
      <c r="A34" s="9" t="s">
        <v>416</v>
      </c>
      <c r="B34" s="9" t="s">
        <v>275</v>
      </c>
      <c r="C34" s="9" t="s">
        <v>61</v>
      </c>
      <c r="D34" s="9" t="s">
        <v>417</v>
      </c>
      <c r="E34" s="9" t="s">
        <v>11</v>
      </c>
      <c r="F34" s="9" t="s">
        <v>418</v>
      </c>
      <c r="G34" s="9" t="s">
        <v>303</v>
      </c>
      <c r="H34" s="9" t="s">
        <v>165</v>
      </c>
      <c r="I34" s="9" t="s">
        <v>236</v>
      </c>
      <c r="J34" s="9" t="s">
        <v>11</v>
      </c>
      <c r="K34" s="9" t="s">
        <v>7</v>
      </c>
      <c r="L34" s="9" t="s">
        <v>419</v>
      </c>
      <c r="M34" s="9" t="s">
        <v>54</v>
      </c>
      <c r="N34" s="9" t="s">
        <v>306</v>
      </c>
      <c r="O34" s="9" t="s">
        <v>307</v>
      </c>
      <c r="P34" s="9" t="s">
        <v>282</v>
      </c>
    </row>
    <row r="35" spans="1:16" ht="14.25" customHeight="1">
      <c r="A35" s="9" t="s">
        <v>420</v>
      </c>
      <c r="B35" s="9" t="s">
        <v>275</v>
      </c>
      <c r="C35" s="9" t="s">
        <v>284</v>
      </c>
      <c r="D35" s="9" t="s">
        <v>409</v>
      </c>
      <c r="E35" s="9" t="s">
        <v>11</v>
      </c>
      <c r="F35" s="9" t="s">
        <v>421</v>
      </c>
      <c r="G35" s="9" t="s">
        <v>350</v>
      </c>
      <c r="H35" s="9" t="s">
        <v>161</v>
      </c>
      <c r="I35" s="9" t="s">
        <v>204</v>
      </c>
      <c r="J35" s="9" t="s">
        <v>26</v>
      </c>
      <c r="K35" s="9" t="s">
        <v>7</v>
      </c>
      <c r="L35" s="9" t="s">
        <v>422</v>
      </c>
      <c r="M35" s="9" t="s">
        <v>287</v>
      </c>
      <c r="N35" s="9" t="s">
        <v>352</v>
      </c>
      <c r="O35" s="9" t="s">
        <v>353</v>
      </c>
      <c r="P35" s="9" t="s">
        <v>282</v>
      </c>
    </row>
    <row r="36" spans="1:16" ht="14.25" customHeight="1">
      <c r="A36" s="9" t="s">
        <v>423</v>
      </c>
      <c r="B36" s="9" t="s">
        <v>275</v>
      </c>
      <c r="C36" s="9" t="s">
        <v>292</v>
      </c>
      <c r="D36" s="9" t="s">
        <v>371</v>
      </c>
      <c r="E36" s="9" t="s">
        <v>11</v>
      </c>
      <c r="F36" s="9" t="s">
        <v>424</v>
      </c>
      <c r="G36" s="9" t="s">
        <v>392</v>
      </c>
      <c r="H36" s="9" t="s">
        <v>185</v>
      </c>
      <c r="I36" s="9" t="s">
        <v>222</v>
      </c>
      <c r="J36" s="9" t="s">
        <v>11</v>
      </c>
      <c r="K36" s="9" t="s">
        <v>11</v>
      </c>
      <c r="L36" s="9" t="s">
        <v>425</v>
      </c>
      <c r="M36" s="9" t="s">
        <v>296</v>
      </c>
      <c r="N36" s="9" t="s">
        <v>289</v>
      </c>
      <c r="O36" s="9" t="s">
        <v>290</v>
      </c>
      <c r="P36" s="9" t="s">
        <v>282</v>
      </c>
    </row>
    <row r="37" spans="1:16" ht="14.25" customHeight="1">
      <c r="A37" s="9" t="s">
        <v>426</v>
      </c>
      <c r="B37" s="9" t="s">
        <v>275</v>
      </c>
      <c r="C37" s="9" t="s">
        <v>300</v>
      </c>
      <c r="D37" s="9" t="s">
        <v>427</v>
      </c>
      <c r="E37" s="9" t="s">
        <v>11</v>
      </c>
      <c r="F37" s="9" t="s">
        <v>428</v>
      </c>
      <c r="G37" s="9" t="s">
        <v>303</v>
      </c>
      <c r="H37" s="9" t="s">
        <v>210</v>
      </c>
      <c r="I37" s="9" t="s">
        <v>429</v>
      </c>
      <c r="J37" s="9" t="s">
        <v>287</v>
      </c>
      <c r="K37" s="9" t="s">
        <v>15</v>
      </c>
      <c r="L37" s="9" t="s">
        <v>430</v>
      </c>
      <c r="M37" s="9" t="s">
        <v>305</v>
      </c>
      <c r="N37" s="9" t="s">
        <v>313</v>
      </c>
      <c r="O37" s="9" t="s">
        <v>314</v>
      </c>
      <c r="P37" s="9" t="s">
        <v>282</v>
      </c>
    </row>
    <row r="38" spans="1:16" ht="14.25" customHeight="1">
      <c r="A38" s="9" t="s">
        <v>431</v>
      </c>
      <c r="B38" s="9" t="s">
        <v>275</v>
      </c>
      <c r="C38" s="9" t="s">
        <v>61</v>
      </c>
      <c r="D38" s="9" t="s">
        <v>432</v>
      </c>
      <c r="E38" s="9" t="s">
        <v>15</v>
      </c>
      <c r="F38" s="9" t="s">
        <v>433</v>
      </c>
      <c r="G38" s="9" t="s">
        <v>286</v>
      </c>
      <c r="H38" s="9" t="s">
        <v>219</v>
      </c>
      <c r="I38" s="9" t="s">
        <v>159</v>
      </c>
      <c r="J38" s="9" t="s">
        <v>11</v>
      </c>
      <c r="K38" s="9" t="s">
        <v>7</v>
      </c>
      <c r="L38" s="9" t="s">
        <v>434</v>
      </c>
      <c r="M38" s="9" t="s">
        <v>54</v>
      </c>
      <c r="N38" s="9" t="s">
        <v>363</v>
      </c>
      <c r="O38" s="9" t="s">
        <v>364</v>
      </c>
      <c r="P38" s="9" t="s">
        <v>282</v>
      </c>
    </row>
    <row r="39" spans="1:16" ht="14.25" customHeight="1">
      <c r="A39" s="9" t="s">
        <v>435</v>
      </c>
      <c r="B39" s="9" t="s">
        <v>275</v>
      </c>
      <c r="C39" s="9" t="s">
        <v>284</v>
      </c>
      <c r="D39" s="9" t="s">
        <v>276</v>
      </c>
      <c r="E39" s="9" t="s">
        <v>15</v>
      </c>
      <c r="F39" s="9" t="s">
        <v>436</v>
      </c>
      <c r="G39" s="9" t="s">
        <v>277</v>
      </c>
      <c r="H39" s="9" t="s">
        <v>252</v>
      </c>
      <c r="I39" s="9" t="s">
        <v>73</v>
      </c>
      <c r="J39" s="9" t="s">
        <v>15</v>
      </c>
      <c r="K39" s="9" t="s">
        <v>287</v>
      </c>
      <c r="L39" s="9" t="s">
        <v>437</v>
      </c>
      <c r="M39" s="9" t="s">
        <v>287</v>
      </c>
      <c r="N39" s="9" t="s">
        <v>337</v>
      </c>
      <c r="O39" s="9" t="s">
        <v>338</v>
      </c>
      <c r="P39" s="9" t="s">
        <v>282</v>
      </c>
    </row>
    <row r="40" spans="1:16" ht="14.25" customHeight="1">
      <c r="A40" s="9" t="s">
        <v>438</v>
      </c>
      <c r="B40" s="9" t="s">
        <v>275</v>
      </c>
      <c r="C40" s="9" t="s">
        <v>292</v>
      </c>
      <c r="D40" s="9" t="s">
        <v>384</v>
      </c>
      <c r="E40" s="9" t="s">
        <v>15</v>
      </c>
      <c r="F40" s="9" t="s">
        <v>439</v>
      </c>
      <c r="G40" s="9" t="s">
        <v>392</v>
      </c>
      <c r="H40" s="9" t="s">
        <v>440</v>
      </c>
      <c r="I40" s="9" t="s">
        <v>191</v>
      </c>
      <c r="J40" s="9" t="s">
        <v>11</v>
      </c>
      <c r="K40" s="9" t="s">
        <v>11</v>
      </c>
      <c r="L40" s="9" t="s">
        <v>441</v>
      </c>
      <c r="M40" s="9" t="s">
        <v>296</v>
      </c>
      <c r="N40" s="9" t="s">
        <v>331</v>
      </c>
      <c r="O40" s="9" t="s">
        <v>332</v>
      </c>
      <c r="P40" s="9" t="s">
        <v>282</v>
      </c>
    </row>
    <row r="41" spans="1:16" ht="14.25" customHeight="1">
      <c r="A41" s="9" t="s">
        <v>442</v>
      </c>
      <c r="B41" s="9" t="s">
        <v>275</v>
      </c>
      <c r="C41" s="9" t="s">
        <v>300</v>
      </c>
      <c r="D41" s="9" t="s">
        <v>293</v>
      </c>
      <c r="E41" s="9" t="s">
        <v>15</v>
      </c>
      <c r="F41" s="9" t="s">
        <v>443</v>
      </c>
      <c r="G41" s="9" t="s">
        <v>303</v>
      </c>
      <c r="H41" s="9" t="s">
        <v>177</v>
      </c>
      <c r="I41" s="9" t="s">
        <v>212</v>
      </c>
      <c r="J41" s="9" t="s">
        <v>7</v>
      </c>
      <c r="K41" s="9" t="s">
        <v>7</v>
      </c>
      <c r="L41" s="9" t="s">
        <v>319</v>
      </c>
      <c r="M41" s="9" t="s">
        <v>305</v>
      </c>
      <c r="N41" s="9" t="s">
        <v>325</v>
      </c>
      <c r="O41" s="9" t="s">
        <v>326</v>
      </c>
      <c r="P41" s="9" t="s">
        <v>282</v>
      </c>
    </row>
    <row r="42" spans="1:16" ht="14.25" customHeight="1">
      <c r="A42" s="9" t="s">
        <v>444</v>
      </c>
      <c r="B42" s="9" t="s">
        <v>275</v>
      </c>
      <c r="C42" s="9" t="s">
        <v>61</v>
      </c>
      <c r="D42" s="9" t="s">
        <v>322</v>
      </c>
      <c r="E42" s="9" t="s">
        <v>15</v>
      </c>
      <c r="F42" s="9" t="s">
        <v>445</v>
      </c>
      <c r="G42" s="9" t="s">
        <v>286</v>
      </c>
      <c r="H42" s="9" t="s">
        <v>114</v>
      </c>
      <c r="I42" s="9" t="s">
        <v>208</v>
      </c>
      <c r="J42" s="9" t="s">
        <v>287</v>
      </c>
      <c r="K42" s="9" t="s">
        <v>11</v>
      </c>
      <c r="L42" s="9" t="s">
        <v>446</v>
      </c>
      <c r="M42" s="9" t="s">
        <v>54</v>
      </c>
      <c r="N42" s="9" t="s">
        <v>306</v>
      </c>
      <c r="O42" s="9" t="s">
        <v>307</v>
      </c>
      <c r="P42" s="9" t="s">
        <v>282</v>
      </c>
    </row>
    <row r="43" spans="1:16" ht="14.25" customHeight="1">
      <c r="A43" s="9" t="s">
        <v>447</v>
      </c>
      <c r="B43" s="9" t="s">
        <v>275</v>
      </c>
      <c r="C43" s="9" t="s">
        <v>284</v>
      </c>
      <c r="D43" s="9" t="s">
        <v>309</v>
      </c>
      <c r="E43" s="9" t="s">
        <v>15</v>
      </c>
      <c r="F43" s="9" t="s">
        <v>448</v>
      </c>
      <c r="G43" s="9" t="s">
        <v>286</v>
      </c>
      <c r="H43" s="9" t="s">
        <v>155</v>
      </c>
      <c r="I43" s="9" t="s">
        <v>163</v>
      </c>
      <c r="J43" s="9" t="s">
        <v>287</v>
      </c>
      <c r="K43" s="9" t="s">
        <v>287</v>
      </c>
      <c r="L43" s="9" t="s">
        <v>449</v>
      </c>
      <c r="M43" s="9" t="s">
        <v>287</v>
      </c>
      <c r="N43" s="9" t="s">
        <v>280</v>
      </c>
      <c r="O43" s="9" t="s">
        <v>281</v>
      </c>
      <c r="P43" s="9" t="s">
        <v>282</v>
      </c>
    </row>
    <row r="44" spans="1:16" ht="14.25" customHeight="1">
      <c r="A44" s="9" t="s">
        <v>450</v>
      </c>
      <c r="B44" s="9" t="s">
        <v>275</v>
      </c>
      <c r="C44" s="9" t="s">
        <v>292</v>
      </c>
      <c r="D44" s="9" t="s">
        <v>316</v>
      </c>
      <c r="E44" s="9" t="s">
        <v>15</v>
      </c>
      <c r="F44" s="9" t="s">
        <v>451</v>
      </c>
      <c r="G44" s="9" t="s">
        <v>303</v>
      </c>
      <c r="H44" s="9" t="s">
        <v>172</v>
      </c>
      <c r="I44" s="9" t="s">
        <v>140</v>
      </c>
      <c r="J44" s="9" t="s">
        <v>7</v>
      </c>
      <c r="K44" s="9"/>
      <c r="L44" s="9" t="s">
        <v>362</v>
      </c>
      <c r="M44" s="9" t="s">
        <v>296</v>
      </c>
      <c r="N44" s="9" t="s">
        <v>345</v>
      </c>
      <c r="O44" s="9" t="s">
        <v>346</v>
      </c>
      <c r="P44" s="9" t="s">
        <v>282</v>
      </c>
    </row>
    <row r="45" spans="1:16" ht="14.25" customHeight="1">
      <c r="A45" s="9" t="s">
        <v>452</v>
      </c>
      <c r="B45" s="9" t="s">
        <v>275</v>
      </c>
      <c r="C45" s="9" t="s">
        <v>300</v>
      </c>
      <c r="D45" s="9" t="s">
        <v>402</v>
      </c>
      <c r="E45" s="9" t="s">
        <v>15</v>
      </c>
      <c r="F45" s="9" t="s">
        <v>453</v>
      </c>
      <c r="G45" s="9" t="s">
        <v>303</v>
      </c>
      <c r="H45" s="9" t="s">
        <v>200</v>
      </c>
      <c r="I45" s="9" t="s">
        <v>112</v>
      </c>
      <c r="J45" s="9" t="s">
        <v>361</v>
      </c>
      <c r="K45" s="9" t="s">
        <v>11</v>
      </c>
      <c r="L45" s="9" t="s">
        <v>369</v>
      </c>
      <c r="M45" s="9" t="s">
        <v>305</v>
      </c>
      <c r="N45" s="9" t="s">
        <v>297</v>
      </c>
      <c r="O45" s="9" t="s">
        <v>298</v>
      </c>
      <c r="P45" s="9" t="s">
        <v>282</v>
      </c>
    </row>
    <row r="46" spans="1:16" ht="14.25" customHeight="1">
      <c r="A46" s="9" t="s">
        <v>454</v>
      </c>
      <c r="B46" s="9" t="s">
        <v>275</v>
      </c>
      <c r="C46" s="9" t="s">
        <v>61</v>
      </c>
      <c r="D46" s="9" t="s">
        <v>417</v>
      </c>
      <c r="E46" s="9" t="s">
        <v>15</v>
      </c>
      <c r="F46" s="9" t="s">
        <v>455</v>
      </c>
      <c r="G46" s="9" t="s">
        <v>286</v>
      </c>
      <c r="H46" s="9" t="s">
        <v>228</v>
      </c>
      <c r="I46" s="9" t="s">
        <v>166</v>
      </c>
      <c r="J46" s="9" t="s">
        <v>11</v>
      </c>
      <c r="K46" s="9" t="s">
        <v>287</v>
      </c>
      <c r="L46" s="9" t="s">
        <v>456</v>
      </c>
      <c r="M46" s="9" t="s">
        <v>54</v>
      </c>
      <c r="N46" s="9" t="s">
        <v>313</v>
      </c>
      <c r="O46" s="9" t="s">
        <v>314</v>
      </c>
      <c r="P46" s="9" t="s">
        <v>282</v>
      </c>
    </row>
    <row r="47" spans="1:16" ht="14.25" customHeight="1">
      <c r="A47" s="9" t="s">
        <v>457</v>
      </c>
      <c r="B47" s="9" t="s">
        <v>275</v>
      </c>
      <c r="C47" s="9" t="s">
        <v>284</v>
      </c>
      <c r="D47" s="9" t="s">
        <v>348</v>
      </c>
      <c r="E47" s="9" t="s">
        <v>15</v>
      </c>
      <c r="F47" s="9" t="s">
        <v>458</v>
      </c>
      <c r="G47" s="9" t="s">
        <v>324</v>
      </c>
      <c r="H47" s="9" t="s">
        <v>190</v>
      </c>
      <c r="I47" s="9" t="s">
        <v>236</v>
      </c>
      <c r="J47" s="9" t="s">
        <v>287</v>
      </c>
      <c r="K47" s="9" t="s">
        <v>15</v>
      </c>
      <c r="L47" s="9" t="s">
        <v>430</v>
      </c>
      <c r="M47" s="9" t="s">
        <v>287</v>
      </c>
      <c r="N47" s="9" t="s">
        <v>289</v>
      </c>
      <c r="O47" s="9" t="s">
        <v>290</v>
      </c>
      <c r="P47" s="9" t="s">
        <v>282</v>
      </c>
    </row>
    <row r="48" spans="1:16" ht="14.25" customHeight="1">
      <c r="A48" s="9" t="s">
        <v>459</v>
      </c>
      <c r="B48" s="9" t="s">
        <v>275</v>
      </c>
      <c r="C48" s="9" t="s">
        <v>292</v>
      </c>
      <c r="D48" s="9" t="s">
        <v>460</v>
      </c>
      <c r="E48" s="9" t="s">
        <v>15</v>
      </c>
      <c r="F48" s="9" t="s">
        <v>461</v>
      </c>
      <c r="G48" s="9" t="s">
        <v>303</v>
      </c>
      <c r="H48" s="9" t="s">
        <v>224</v>
      </c>
      <c r="I48" s="9" t="s">
        <v>126</v>
      </c>
      <c r="J48" s="9" t="s">
        <v>287</v>
      </c>
      <c r="K48" s="9" t="s">
        <v>11</v>
      </c>
      <c r="L48" s="9" t="s">
        <v>462</v>
      </c>
      <c r="M48" s="9" t="s">
        <v>296</v>
      </c>
      <c r="N48" s="9" t="s">
        <v>320</v>
      </c>
      <c r="O48" s="9" t="s">
        <v>281</v>
      </c>
      <c r="P48" s="9" t="s">
        <v>282</v>
      </c>
    </row>
    <row r="49" spans="1:16" ht="14.25" customHeight="1">
      <c r="A49" s="9" t="s">
        <v>463</v>
      </c>
      <c r="B49" s="9" t="s">
        <v>275</v>
      </c>
      <c r="C49" s="9" t="s">
        <v>300</v>
      </c>
      <c r="D49" s="9" t="s">
        <v>343</v>
      </c>
      <c r="E49" s="9" t="s">
        <v>15</v>
      </c>
      <c r="F49" s="9" t="s">
        <v>464</v>
      </c>
      <c r="G49" s="9" t="s">
        <v>303</v>
      </c>
      <c r="H49" s="9" t="s">
        <v>239</v>
      </c>
      <c r="I49" s="9" t="s">
        <v>465</v>
      </c>
      <c r="J49" s="9" t="s">
        <v>11</v>
      </c>
      <c r="K49" s="9" t="s">
        <v>11</v>
      </c>
      <c r="L49" s="9" t="s">
        <v>466</v>
      </c>
      <c r="M49" s="9" t="s">
        <v>305</v>
      </c>
      <c r="N49" s="9" t="s">
        <v>352</v>
      </c>
      <c r="O49" s="9" t="s">
        <v>353</v>
      </c>
      <c r="P49" s="9" t="s">
        <v>282</v>
      </c>
    </row>
    <row r="50" spans="1:16" ht="14.25" customHeight="1">
      <c r="A50" s="9" t="s">
        <v>467</v>
      </c>
      <c r="B50" s="9" t="s">
        <v>275</v>
      </c>
      <c r="C50" s="9" t="s">
        <v>61</v>
      </c>
      <c r="D50" s="9" t="s">
        <v>366</v>
      </c>
      <c r="E50" s="9" t="s">
        <v>15</v>
      </c>
      <c r="F50" s="9" t="s">
        <v>468</v>
      </c>
      <c r="G50" s="9" t="s">
        <v>286</v>
      </c>
      <c r="H50" s="9" t="s">
        <v>185</v>
      </c>
      <c r="I50" s="9" t="s">
        <v>210</v>
      </c>
      <c r="J50" s="9" t="s">
        <v>287</v>
      </c>
      <c r="K50" s="9" t="s">
        <v>7</v>
      </c>
      <c r="L50" s="9" t="s">
        <v>341</v>
      </c>
      <c r="M50" s="9" t="s">
        <v>54</v>
      </c>
      <c r="N50" s="9" t="s">
        <v>363</v>
      </c>
      <c r="O50" s="9" t="s">
        <v>364</v>
      </c>
      <c r="P50" s="9" t="s">
        <v>282</v>
      </c>
    </row>
    <row r="51" spans="1:16" ht="14.25" customHeight="1">
      <c r="A51" s="9" t="s">
        <v>469</v>
      </c>
      <c r="B51" s="9" t="s">
        <v>275</v>
      </c>
      <c r="C51" s="9" t="s">
        <v>284</v>
      </c>
      <c r="D51" s="9" t="s">
        <v>371</v>
      </c>
      <c r="E51" s="9" t="s">
        <v>15</v>
      </c>
      <c r="F51" s="9" t="s">
        <v>470</v>
      </c>
      <c r="G51" s="9" t="s">
        <v>277</v>
      </c>
      <c r="H51" s="9" t="s">
        <v>222</v>
      </c>
      <c r="I51" s="9" t="s">
        <v>136</v>
      </c>
      <c r="J51" s="9" t="s">
        <v>287</v>
      </c>
      <c r="K51" s="9" t="s">
        <v>7</v>
      </c>
      <c r="L51" s="9" t="s">
        <v>471</v>
      </c>
      <c r="M51" s="9" t="s">
        <v>287</v>
      </c>
      <c r="N51" s="9" t="s">
        <v>337</v>
      </c>
      <c r="O51" s="9" t="s">
        <v>338</v>
      </c>
      <c r="P51" s="9" t="s">
        <v>282</v>
      </c>
    </row>
    <row r="52" spans="1:16" ht="14.25" customHeight="1">
      <c r="A52" s="9" t="s">
        <v>472</v>
      </c>
      <c r="B52" s="9" t="s">
        <v>275</v>
      </c>
      <c r="C52" s="9" t="s">
        <v>292</v>
      </c>
      <c r="D52" s="9" t="s">
        <v>359</v>
      </c>
      <c r="E52" s="9" t="s">
        <v>15</v>
      </c>
      <c r="F52" s="9" t="s">
        <v>473</v>
      </c>
      <c r="G52" s="9" t="s">
        <v>392</v>
      </c>
      <c r="H52" s="9" t="s">
        <v>474</v>
      </c>
      <c r="I52" s="9" t="s">
        <v>118</v>
      </c>
      <c r="J52" s="9" t="s">
        <v>287</v>
      </c>
      <c r="K52" s="9" t="s">
        <v>7</v>
      </c>
      <c r="L52" s="9" t="s">
        <v>288</v>
      </c>
      <c r="M52" s="9" t="s">
        <v>296</v>
      </c>
      <c r="N52" s="9" t="s">
        <v>331</v>
      </c>
      <c r="O52" s="9" t="s">
        <v>332</v>
      </c>
      <c r="P52" s="9" t="s">
        <v>282</v>
      </c>
    </row>
    <row r="53" spans="1:16" ht="14.25" customHeight="1">
      <c r="A53" s="9" t="s">
        <v>475</v>
      </c>
      <c r="B53" s="9" t="s">
        <v>275</v>
      </c>
      <c r="C53" s="9" t="s">
        <v>300</v>
      </c>
      <c r="D53" s="9" t="s">
        <v>409</v>
      </c>
      <c r="E53" s="9" t="s">
        <v>15</v>
      </c>
      <c r="F53" s="9" t="s">
        <v>476</v>
      </c>
      <c r="G53" s="9" t="s">
        <v>303</v>
      </c>
      <c r="H53" s="9" t="s">
        <v>204</v>
      </c>
      <c r="I53" s="9" t="s">
        <v>241</v>
      </c>
      <c r="J53" s="9" t="s">
        <v>7</v>
      </c>
      <c r="K53" s="9" t="s">
        <v>11</v>
      </c>
      <c r="L53" s="9" t="s">
        <v>415</v>
      </c>
      <c r="M53" s="9" t="s">
        <v>305</v>
      </c>
      <c r="N53" s="9" t="s">
        <v>325</v>
      </c>
      <c r="O53" s="9" t="s">
        <v>326</v>
      </c>
      <c r="P53" s="9" t="s">
        <v>282</v>
      </c>
    </row>
    <row r="54" spans="1:16" ht="14.25" customHeight="1">
      <c r="A54" s="9" t="s">
        <v>308</v>
      </c>
      <c r="B54" s="9" t="s">
        <v>275</v>
      </c>
      <c r="C54" s="9" t="s">
        <v>61</v>
      </c>
      <c r="D54" s="9" t="s">
        <v>309</v>
      </c>
      <c r="E54" s="9" t="s">
        <v>7</v>
      </c>
      <c r="F54" s="9" t="s">
        <v>310</v>
      </c>
      <c r="G54" s="9" t="s">
        <v>311</v>
      </c>
      <c r="H54" s="9" t="s">
        <v>163</v>
      </c>
      <c r="I54" s="9" t="s">
        <v>114</v>
      </c>
      <c r="J54" s="9" t="s">
        <v>11</v>
      </c>
      <c r="K54" s="9" t="s">
        <v>7</v>
      </c>
      <c r="L54" s="9" t="s">
        <v>312</v>
      </c>
      <c r="M54" s="9" t="s">
        <v>54</v>
      </c>
      <c r="N54" s="9" t="s">
        <v>313</v>
      </c>
      <c r="O54" s="9" t="s">
        <v>314</v>
      </c>
      <c r="P54" s="9" t="s">
        <v>282</v>
      </c>
    </row>
    <row r="55" spans="1:16" ht="14.25" customHeight="1">
      <c r="A55" s="9" t="s">
        <v>376</v>
      </c>
      <c r="B55" s="9" t="s">
        <v>275</v>
      </c>
      <c r="C55" s="9" t="s">
        <v>284</v>
      </c>
      <c r="D55" s="9" t="s">
        <v>293</v>
      </c>
      <c r="E55" s="9" t="s">
        <v>11</v>
      </c>
      <c r="F55" s="9" t="s">
        <v>377</v>
      </c>
      <c r="G55" s="9" t="s">
        <v>350</v>
      </c>
      <c r="H55" s="9" t="s">
        <v>378</v>
      </c>
      <c r="I55" s="9" t="s">
        <v>191</v>
      </c>
      <c r="J55" s="9" t="s">
        <v>7</v>
      </c>
      <c r="K55" s="9" t="s">
        <v>287</v>
      </c>
      <c r="L55" s="9" t="s">
        <v>379</v>
      </c>
      <c r="M55" s="9" t="s">
        <v>287</v>
      </c>
      <c r="N55" s="9" t="s">
        <v>280</v>
      </c>
      <c r="O55" s="9" t="s">
        <v>281</v>
      </c>
      <c r="P55" s="9" t="s">
        <v>282</v>
      </c>
    </row>
  </sheetData>
  <mergeCells count="2">
    <mergeCell ref="A1:P1"/>
    <mergeCell ref="A2:P3"/>
  </mergeCells>
  <conditionalFormatting sqref="A6:P55">
    <cfRule type="expression" dxfId="7" priority="2">
      <formula>OR(A6="",COUNTIF($A:$A,A6)&gt;1)</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6"/>
  <sheetViews>
    <sheetView topLeftCell="D1" zoomScaleNormal="100" workbookViewId="0">
      <selection sqref="A1:P1"/>
    </sheetView>
  </sheetViews>
  <sheetFormatPr baseColWidth="10" defaultColWidth="9" defaultRowHeight="14.4"/>
  <cols>
    <col min="1" max="1" width="19" style="7" customWidth="1"/>
    <col min="2" max="7" width="17" style="7" customWidth="1"/>
    <col min="8" max="9" width="26" style="7" customWidth="1"/>
    <col min="10" max="14" width="17" style="7" customWidth="1"/>
    <col min="15" max="16" width="40" style="7" customWidth="1"/>
  </cols>
  <sheetData>
    <row r="1" spans="1:16" ht="30" customHeight="1">
      <c r="A1" s="6" t="s">
        <v>477</v>
      </c>
      <c r="B1" s="6"/>
      <c r="C1" s="6"/>
      <c r="D1" s="6"/>
      <c r="E1" s="6"/>
      <c r="F1" s="6"/>
      <c r="G1" s="6"/>
      <c r="H1" s="6"/>
      <c r="I1" s="6"/>
      <c r="J1" s="6"/>
      <c r="K1" s="6"/>
      <c r="L1" s="6"/>
      <c r="M1" s="6"/>
      <c r="N1" s="6"/>
      <c r="O1" s="6"/>
      <c r="P1" s="6"/>
    </row>
    <row r="2" spans="1:16" ht="21.75" customHeight="1">
      <c r="A2" s="5" t="s">
        <v>478</v>
      </c>
      <c r="B2" s="5"/>
      <c r="C2" s="5"/>
      <c r="D2" s="5"/>
      <c r="E2" s="5"/>
      <c r="F2" s="5"/>
      <c r="G2" s="5"/>
      <c r="H2" s="5"/>
      <c r="I2" s="5"/>
      <c r="J2" s="5"/>
      <c r="K2" s="5"/>
      <c r="L2" s="5"/>
      <c r="M2" s="5"/>
      <c r="N2" s="5"/>
      <c r="O2" s="5"/>
      <c r="P2" s="5"/>
    </row>
    <row r="3" spans="1:16" ht="21.75" customHeight="1">
      <c r="A3" s="5"/>
      <c r="B3" s="5"/>
      <c r="C3" s="5"/>
      <c r="D3" s="5"/>
      <c r="E3" s="5"/>
      <c r="F3" s="5"/>
      <c r="G3" s="5"/>
      <c r="H3" s="5"/>
      <c r="I3" s="5"/>
      <c r="J3" s="5"/>
      <c r="K3" s="5"/>
      <c r="L3" s="5"/>
      <c r="M3" s="5"/>
      <c r="N3" s="5"/>
      <c r="O3" s="5"/>
      <c r="P3" s="5"/>
    </row>
    <row r="5" spans="1:16" ht="15" customHeight="1">
      <c r="A5" s="8" t="s">
        <v>479</v>
      </c>
      <c r="B5" s="8" t="s">
        <v>480</v>
      </c>
      <c r="C5" s="8" t="s">
        <v>481</v>
      </c>
      <c r="D5" s="8" t="s">
        <v>482</v>
      </c>
      <c r="E5" s="8" t="s">
        <v>483</v>
      </c>
      <c r="F5" s="8" t="s">
        <v>484</v>
      </c>
      <c r="G5" s="8" t="s">
        <v>485</v>
      </c>
      <c r="H5" s="8" t="s">
        <v>486</v>
      </c>
      <c r="I5" s="8" t="s">
        <v>487</v>
      </c>
      <c r="J5" s="8" t="s">
        <v>488</v>
      </c>
      <c r="K5" s="8" t="s">
        <v>489</v>
      </c>
      <c r="L5" s="8" t="s">
        <v>490</v>
      </c>
      <c r="M5" s="8" t="s">
        <v>491</v>
      </c>
      <c r="N5" s="8" t="s">
        <v>492</v>
      </c>
      <c r="O5" s="8" t="s">
        <v>493</v>
      </c>
      <c r="P5" s="8" t="s">
        <v>494</v>
      </c>
    </row>
    <row r="6" spans="1:16" ht="14.25" customHeight="1">
      <c r="A6" s="9" t="s">
        <v>495</v>
      </c>
      <c r="B6" s="9" t="s">
        <v>496</v>
      </c>
      <c r="C6" s="9" t="s">
        <v>497</v>
      </c>
      <c r="D6" s="9" t="s">
        <v>498</v>
      </c>
      <c r="E6" s="9" t="s">
        <v>7</v>
      </c>
      <c r="F6" s="9" t="s">
        <v>499</v>
      </c>
      <c r="G6" s="9" t="s">
        <v>214</v>
      </c>
      <c r="H6" s="9" t="s">
        <v>157</v>
      </c>
      <c r="I6" s="9" t="s">
        <v>500</v>
      </c>
      <c r="J6" s="9" t="s">
        <v>11</v>
      </c>
      <c r="K6" s="9" t="s">
        <v>462</v>
      </c>
      <c r="L6" s="9" t="s">
        <v>7</v>
      </c>
      <c r="M6" s="9" t="s">
        <v>501</v>
      </c>
      <c r="N6" s="9" t="s">
        <v>502</v>
      </c>
      <c r="O6" s="9" t="s">
        <v>503</v>
      </c>
      <c r="P6" s="9" t="s">
        <v>282</v>
      </c>
    </row>
    <row r="7" spans="1:16" ht="14.25" customHeight="1">
      <c r="A7" s="9" t="s">
        <v>504</v>
      </c>
      <c r="B7" s="9" t="s">
        <v>496</v>
      </c>
      <c r="C7" s="9" t="s">
        <v>505</v>
      </c>
      <c r="D7" s="9" t="s">
        <v>384</v>
      </c>
      <c r="E7" s="9" t="s">
        <v>7</v>
      </c>
      <c r="F7" s="9" t="s">
        <v>506</v>
      </c>
      <c r="G7" s="9" t="s">
        <v>161</v>
      </c>
      <c r="H7" s="9" t="s">
        <v>174</v>
      </c>
      <c r="I7" s="9" t="s">
        <v>26</v>
      </c>
      <c r="J7" s="9" t="s">
        <v>11</v>
      </c>
      <c r="K7" s="9" t="s">
        <v>507</v>
      </c>
      <c r="L7" s="9" t="s">
        <v>296</v>
      </c>
      <c r="M7" s="9" t="s">
        <v>508</v>
      </c>
      <c r="N7" s="9" t="s">
        <v>509</v>
      </c>
      <c r="O7" s="9"/>
      <c r="P7" s="9" t="s">
        <v>282</v>
      </c>
    </row>
    <row r="8" spans="1:16" ht="14.25" customHeight="1">
      <c r="A8" s="9" t="s">
        <v>510</v>
      </c>
      <c r="B8" s="9" t="s">
        <v>496</v>
      </c>
      <c r="C8" s="9" t="s">
        <v>511</v>
      </c>
      <c r="D8" s="9" t="s">
        <v>276</v>
      </c>
      <c r="E8" s="9" t="s">
        <v>7</v>
      </c>
      <c r="F8" s="9" t="s">
        <v>512</v>
      </c>
      <c r="G8" s="9" t="s">
        <v>222</v>
      </c>
      <c r="H8" s="9" t="s">
        <v>194</v>
      </c>
      <c r="I8" s="9" t="s">
        <v>287</v>
      </c>
      <c r="J8" s="9" t="s">
        <v>11</v>
      </c>
      <c r="K8" s="9" t="s">
        <v>513</v>
      </c>
      <c r="L8" s="9" t="s">
        <v>305</v>
      </c>
      <c r="M8" s="9" t="s">
        <v>514</v>
      </c>
      <c r="N8" s="9" t="s">
        <v>515</v>
      </c>
      <c r="O8" s="9" t="s">
        <v>516</v>
      </c>
      <c r="P8" s="9" t="s">
        <v>282</v>
      </c>
    </row>
    <row r="9" spans="1:16" ht="14.25" customHeight="1">
      <c r="A9" s="9" t="s">
        <v>517</v>
      </c>
      <c r="B9" s="9" t="s">
        <v>496</v>
      </c>
      <c r="C9" s="9" t="s">
        <v>497</v>
      </c>
      <c r="D9" s="9" t="s">
        <v>384</v>
      </c>
      <c r="E9" s="9" t="s">
        <v>7</v>
      </c>
      <c r="F9" s="9" t="s">
        <v>518</v>
      </c>
      <c r="G9" s="9" t="s">
        <v>248</v>
      </c>
      <c r="H9" s="9" t="s">
        <v>255</v>
      </c>
      <c r="I9" s="9" t="s">
        <v>7</v>
      </c>
      <c r="J9" s="9" t="s">
        <v>7</v>
      </c>
      <c r="K9" s="9" t="s">
        <v>319</v>
      </c>
      <c r="L9" s="9" t="s">
        <v>54</v>
      </c>
      <c r="M9" s="9" t="s">
        <v>519</v>
      </c>
      <c r="N9" s="9" t="s">
        <v>509</v>
      </c>
      <c r="O9" s="9" t="s">
        <v>520</v>
      </c>
      <c r="P9" s="9" t="s">
        <v>282</v>
      </c>
    </row>
    <row r="10" spans="1:16" ht="14.25" customHeight="1">
      <c r="A10" s="9" t="s">
        <v>521</v>
      </c>
      <c r="B10" s="9" t="s">
        <v>496</v>
      </c>
      <c r="C10" s="9" t="s">
        <v>505</v>
      </c>
      <c r="D10" s="9" t="s">
        <v>522</v>
      </c>
      <c r="E10" s="9" t="s">
        <v>7</v>
      </c>
      <c r="F10" s="9" t="s">
        <v>523</v>
      </c>
      <c r="G10" s="9" t="s">
        <v>112</v>
      </c>
      <c r="H10" s="9" t="s">
        <v>217</v>
      </c>
      <c r="I10" s="9" t="s">
        <v>7</v>
      </c>
      <c r="J10" s="9" t="s">
        <v>11</v>
      </c>
      <c r="K10" s="9" t="s">
        <v>524</v>
      </c>
      <c r="L10" s="9" t="s">
        <v>287</v>
      </c>
      <c r="M10" s="9" t="s">
        <v>525</v>
      </c>
      <c r="N10" s="9" t="s">
        <v>526</v>
      </c>
      <c r="O10" s="9" t="s">
        <v>503</v>
      </c>
      <c r="P10" s="9" t="s">
        <v>282</v>
      </c>
    </row>
    <row r="11" spans="1:16" ht="14.25" customHeight="1">
      <c r="A11" s="9" t="s">
        <v>527</v>
      </c>
      <c r="B11" s="9" t="s">
        <v>496</v>
      </c>
      <c r="C11" s="9" t="s">
        <v>511</v>
      </c>
      <c r="D11" s="9" t="s">
        <v>328</v>
      </c>
      <c r="E11" s="9" t="s">
        <v>7</v>
      </c>
      <c r="F11" s="9" t="s">
        <v>528</v>
      </c>
      <c r="G11" s="9" t="s">
        <v>155</v>
      </c>
      <c r="H11" s="9" t="s">
        <v>241</v>
      </c>
      <c r="I11" s="9" t="s">
        <v>287</v>
      </c>
      <c r="J11" s="9" t="s">
        <v>287</v>
      </c>
      <c r="K11" s="9" t="s">
        <v>449</v>
      </c>
      <c r="L11" s="9" t="s">
        <v>296</v>
      </c>
      <c r="M11" s="9" t="s">
        <v>529</v>
      </c>
      <c r="N11" s="9" t="s">
        <v>509</v>
      </c>
      <c r="O11" s="9"/>
      <c r="P11" s="9" t="s">
        <v>282</v>
      </c>
    </row>
    <row r="12" spans="1:16" ht="14.25" customHeight="1">
      <c r="A12" s="9" t="s">
        <v>530</v>
      </c>
      <c r="B12" s="9" t="s">
        <v>496</v>
      </c>
      <c r="C12" s="9" t="s">
        <v>497</v>
      </c>
      <c r="D12" s="9" t="s">
        <v>322</v>
      </c>
      <c r="E12" s="9" t="s">
        <v>7</v>
      </c>
      <c r="F12" s="9" t="s">
        <v>531</v>
      </c>
      <c r="G12" s="9" t="s">
        <v>190</v>
      </c>
      <c r="H12" s="9" t="s">
        <v>210</v>
      </c>
      <c r="I12" s="9" t="s">
        <v>287</v>
      </c>
      <c r="J12" s="9" t="s">
        <v>287</v>
      </c>
      <c r="K12" s="9" t="s">
        <v>532</v>
      </c>
      <c r="L12" s="9" t="s">
        <v>305</v>
      </c>
      <c r="M12" s="9" t="s">
        <v>533</v>
      </c>
      <c r="N12" s="9" t="s">
        <v>515</v>
      </c>
      <c r="O12" s="9" t="s">
        <v>516</v>
      </c>
      <c r="P12" s="9" t="s">
        <v>282</v>
      </c>
    </row>
    <row r="13" spans="1:16" ht="14.25" customHeight="1">
      <c r="A13" s="9" t="s">
        <v>534</v>
      </c>
      <c r="B13" s="9" t="s">
        <v>496</v>
      </c>
      <c r="C13" s="9" t="s">
        <v>505</v>
      </c>
      <c r="D13" s="9" t="s">
        <v>328</v>
      </c>
      <c r="E13" s="9" t="s">
        <v>7</v>
      </c>
      <c r="F13" s="9" t="s">
        <v>535</v>
      </c>
      <c r="G13" s="9" t="s">
        <v>163</v>
      </c>
      <c r="H13" s="9" t="s">
        <v>114</v>
      </c>
      <c r="I13" s="9" t="s">
        <v>19</v>
      </c>
      <c r="J13" s="9" t="s">
        <v>7</v>
      </c>
      <c r="K13" s="9" t="s">
        <v>536</v>
      </c>
      <c r="L13" s="9" t="s">
        <v>54</v>
      </c>
      <c r="M13" s="9" t="s">
        <v>537</v>
      </c>
      <c r="N13" s="9" t="s">
        <v>538</v>
      </c>
      <c r="O13" s="9" t="s">
        <v>520</v>
      </c>
      <c r="P13" s="9" t="s">
        <v>282</v>
      </c>
    </row>
    <row r="14" spans="1:16" ht="14.25" customHeight="1">
      <c r="A14" s="9" t="s">
        <v>539</v>
      </c>
      <c r="B14" s="9" t="s">
        <v>496</v>
      </c>
      <c r="C14" s="9" t="s">
        <v>511</v>
      </c>
      <c r="D14" s="9" t="s">
        <v>540</v>
      </c>
      <c r="E14" s="9" t="s">
        <v>7</v>
      </c>
      <c r="F14" s="9" t="s">
        <v>541</v>
      </c>
      <c r="G14" s="9" t="s">
        <v>191</v>
      </c>
      <c r="H14" s="9" t="s">
        <v>140</v>
      </c>
      <c r="I14" s="9" t="s">
        <v>287</v>
      </c>
      <c r="J14" s="9" t="s">
        <v>287</v>
      </c>
      <c r="K14" s="9" t="s">
        <v>542</v>
      </c>
      <c r="L14" s="9" t="s">
        <v>287</v>
      </c>
      <c r="M14" s="9" t="s">
        <v>501</v>
      </c>
      <c r="N14" s="9" t="s">
        <v>502</v>
      </c>
      <c r="O14" s="9" t="s">
        <v>503</v>
      </c>
      <c r="P14" s="9" t="s">
        <v>282</v>
      </c>
    </row>
    <row r="15" spans="1:16" ht="14.25" customHeight="1">
      <c r="A15" s="9" t="s">
        <v>543</v>
      </c>
      <c r="B15" s="9" t="s">
        <v>496</v>
      </c>
      <c r="C15" s="9" t="s">
        <v>497</v>
      </c>
      <c r="D15" s="9" t="s">
        <v>343</v>
      </c>
      <c r="E15" s="9" t="s">
        <v>7</v>
      </c>
      <c r="F15" s="9" t="s">
        <v>544</v>
      </c>
      <c r="G15" s="9" t="s">
        <v>165</v>
      </c>
      <c r="H15" s="9" t="s">
        <v>368</v>
      </c>
      <c r="I15" s="9" t="s">
        <v>7</v>
      </c>
      <c r="J15" s="9" t="s">
        <v>11</v>
      </c>
      <c r="K15" s="9" t="s">
        <v>524</v>
      </c>
      <c r="L15" s="9" t="s">
        <v>296</v>
      </c>
      <c r="M15" s="9" t="s">
        <v>508</v>
      </c>
      <c r="N15" s="9" t="s">
        <v>509</v>
      </c>
      <c r="O15" s="9"/>
      <c r="P15" s="9" t="s">
        <v>282</v>
      </c>
    </row>
    <row r="16" spans="1:16" ht="14.25" customHeight="1">
      <c r="A16" s="9" t="s">
        <v>545</v>
      </c>
      <c r="B16" s="9" t="s">
        <v>496</v>
      </c>
      <c r="C16" s="9" t="s">
        <v>505</v>
      </c>
      <c r="D16" s="9" t="s">
        <v>460</v>
      </c>
      <c r="E16" s="9" t="s">
        <v>7</v>
      </c>
      <c r="F16" s="9" t="s">
        <v>546</v>
      </c>
      <c r="G16" s="9" t="s">
        <v>234</v>
      </c>
      <c r="H16" s="9" t="s">
        <v>138</v>
      </c>
      <c r="I16" s="9" t="s">
        <v>30</v>
      </c>
      <c r="J16" s="9" t="s">
        <v>287</v>
      </c>
      <c r="K16" s="9" t="s">
        <v>547</v>
      </c>
      <c r="L16" s="9" t="s">
        <v>305</v>
      </c>
      <c r="M16" s="9" t="s">
        <v>514</v>
      </c>
      <c r="N16" s="9" t="s">
        <v>515</v>
      </c>
      <c r="O16" s="9" t="s">
        <v>516</v>
      </c>
      <c r="P16" s="9" t="s">
        <v>282</v>
      </c>
    </row>
    <row r="17" spans="1:16" ht="14.25" customHeight="1">
      <c r="A17" s="9" t="s">
        <v>548</v>
      </c>
      <c r="B17" s="9" t="s">
        <v>496</v>
      </c>
      <c r="C17" s="9" t="s">
        <v>511</v>
      </c>
      <c r="D17" s="9"/>
      <c r="E17" s="9" t="s">
        <v>7</v>
      </c>
      <c r="F17" s="9" t="s">
        <v>549</v>
      </c>
      <c r="G17" s="9" t="s">
        <v>118</v>
      </c>
      <c r="H17" s="9" t="s">
        <v>130</v>
      </c>
      <c r="I17" s="9" t="s">
        <v>7</v>
      </c>
      <c r="J17" s="9" t="s">
        <v>287</v>
      </c>
      <c r="K17" s="9" t="s">
        <v>382</v>
      </c>
      <c r="L17" s="9" t="s">
        <v>54</v>
      </c>
      <c r="M17" s="9" t="s">
        <v>519</v>
      </c>
      <c r="N17" s="9" t="s">
        <v>509</v>
      </c>
      <c r="O17" s="9" t="s">
        <v>520</v>
      </c>
      <c r="P17" s="9" t="s">
        <v>282</v>
      </c>
    </row>
    <row r="18" spans="1:16" ht="14.25" customHeight="1">
      <c r="A18" s="9" t="s">
        <v>550</v>
      </c>
      <c r="B18" s="9" t="s">
        <v>496</v>
      </c>
      <c r="C18" s="9" t="s">
        <v>497</v>
      </c>
      <c r="D18" s="9" t="s">
        <v>551</v>
      </c>
      <c r="E18" s="9" t="s">
        <v>7</v>
      </c>
      <c r="F18" s="9" t="s">
        <v>552</v>
      </c>
      <c r="G18" s="9" t="s">
        <v>553</v>
      </c>
      <c r="H18" s="9" t="s">
        <v>128</v>
      </c>
      <c r="I18" s="9" t="s">
        <v>500</v>
      </c>
      <c r="J18" s="9" t="s">
        <v>287</v>
      </c>
      <c r="K18" s="9" t="s">
        <v>554</v>
      </c>
      <c r="L18" s="9" t="s">
        <v>287</v>
      </c>
      <c r="M18" s="9" t="s">
        <v>537</v>
      </c>
      <c r="N18" s="9" t="s">
        <v>538</v>
      </c>
      <c r="O18" s="9" t="s">
        <v>503</v>
      </c>
      <c r="P18" s="9" t="s">
        <v>282</v>
      </c>
    </row>
    <row r="19" spans="1:16" ht="14.25" customHeight="1">
      <c r="A19" s="9" t="s">
        <v>555</v>
      </c>
      <c r="B19" s="9" t="s">
        <v>496</v>
      </c>
      <c r="C19" s="9" t="s">
        <v>505</v>
      </c>
      <c r="D19" s="9" t="s">
        <v>556</v>
      </c>
      <c r="E19" s="9" t="s">
        <v>7</v>
      </c>
      <c r="F19" s="9" t="s">
        <v>557</v>
      </c>
      <c r="G19" s="9" t="s">
        <v>252</v>
      </c>
      <c r="H19" s="9" t="s">
        <v>231</v>
      </c>
      <c r="I19" s="9" t="s">
        <v>287</v>
      </c>
      <c r="J19" s="9" t="s">
        <v>287</v>
      </c>
      <c r="K19" s="9" t="s">
        <v>558</v>
      </c>
      <c r="L19" s="9" t="s">
        <v>296</v>
      </c>
      <c r="M19" s="9" t="s">
        <v>529</v>
      </c>
      <c r="N19" s="9" t="s">
        <v>509</v>
      </c>
      <c r="O19" s="9"/>
      <c r="P19" s="9" t="s">
        <v>282</v>
      </c>
    </row>
    <row r="20" spans="1:16" ht="14.25" customHeight="1">
      <c r="A20" s="9" t="s">
        <v>559</v>
      </c>
      <c r="B20" s="9" t="s">
        <v>496</v>
      </c>
      <c r="C20" s="9" t="s">
        <v>511</v>
      </c>
      <c r="D20" s="9" t="s">
        <v>371</v>
      </c>
      <c r="E20" s="9" t="s">
        <v>7</v>
      </c>
      <c r="F20" s="9" t="s">
        <v>560</v>
      </c>
      <c r="G20" s="9" t="s">
        <v>212</v>
      </c>
      <c r="H20" s="9" t="s">
        <v>168</v>
      </c>
      <c r="I20" s="9" t="s">
        <v>15</v>
      </c>
      <c r="J20" s="9" t="s">
        <v>11</v>
      </c>
      <c r="K20" s="9" t="s">
        <v>561</v>
      </c>
      <c r="L20" s="9" t="s">
        <v>305</v>
      </c>
      <c r="M20" s="9" t="s">
        <v>533</v>
      </c>
      <c r="N20" s="9" t="s">
        <v>515</v>
      </c>
      <c r="O20" s="9" t="s">
        <v>516</v>
      </c>
      <c r="P20" s="9" t="s">
        <v>282</v>
      </c>
    </row>
    <row r="21" spans="1:16" ht="14.25" customHeight="1">
      <c r="A21" s="9" t="s">
        <v>562</v>
      </c>
      <c r="B21" s="9" t="s">
        <v>496</v>
      </c>
      <c r="C21" s="9" t="s">
        <v>497</v>
      </c>
      <c r="D21" s="9" t="s">
        <v>359</v>
      </c>
      <c r="E21" s="9" t="s">
        <v>7</v>
      </c>
      <c r="F21" s="9" t="s">
        <v>563</v>
      </c>
      <c r="G21" s="9" t="s">
        <v>125</v>
      </c>
      <c r="H21" s="9" t="s">
        <v>564</v>
      </c>
      <c r="I21" s="9" t="s">
        <v>11</v>
      </c>
      <c r="J21" s="9" t="s">
        <v>287</v>
      </c>
      <c r="K21" s="9" t="s">
        <v>330</v>
      </c>
      <c r="L21" s="9" t="s">
        <v>54</v>
      </c>
      <c r="M21" s="9" t="s">
        <v>525</v>
      </c>
      <c r="N21" s="9" t="s">
        <v>526</v>
      </c>
      <c r="O21" s="9" t="s">
        <v>520</v>
      </c>
      <c r="P21" s="9" t="s">
        <v>282</v>
      </c>
    </row>
    <row r="22" spans="1:16" ht="14.25" customHeight="1">
      <c r="A22" s="9" t="s">
        <v>565</v>
      </c>
      <c r="B22" s="9" t="s">
        <v>496</v>
      </c>
      <c r="C22" s="9" t="s">
        <v>505</v>
      </c>
      <c r="D22" s="9" t="s">
        <v>566</v>
      </c>
      <c r="E22" s="9" t="s">
        <v>11</v>
      </c>
      <c r="F22" s="9" t="s">
        <v>567</v>
      </c>
      <c r="G22" s="9" t="s">
        <v>255</v>
      </c>
      <c r="H22" s="9" t="s">
        <v>174</v>
      </c>
      <c r="I22" s="9" t="s">
        <v>287</v>
      </c>
      <c r="J22" s="9" t="s">
        <v>11</v>
      </c>
      <c r="K22" s="9" t="s">
        <v>568</v>
      </c>
      <c r="L22" s="9" t="s">
        <v>287</v>
      </c>
      <c r="M22" s="9" t="s">
        <v>519</v>
      </c>
      <c r="N22" s="9" t="s">
        <v>509</v>
      </c>
      <c r="O22" s="9" t="s">
        <v>503</v>
      </c>
      <c r="P22" s="9" t="s">
        <v>282</v>
      </c>
    </row>
    <row r="23" spans="1:16" ht="14.25" customHeight="1">
      <c r="A23" s="9" t="s">
        <v>569</v>
      </c>
      <c r="B23" s="9" t="s">
        <v>496</v>
      </c>
      <c r="C23" s="9" t="s">
        <v>511</v>
      </c>
      <c r="D23" s="9" t="s">
        <v>64</v>
      </c>
      <c r="E23" s="9" t="s">
        <v>11</v>
      </c>
      <c r="F23" s="9" t="s">
        <v>570</v>
      </c>
      <c r="G23" s="9" t="s">
        <v>214</v>
      </c>
      <c r="H23" s="9" t="s">
        <v>222</v>
      </c>
      <c r="I23" s="9" t="s">
        <v>7</v>
      </c>
      <c r="J23" s="9" t="s">
        <v>15</v>
      </c>
      <c r="K23" s="9" t="s">
        <v>571</v>
      </c>
      <c r="L23" s="9" t="s">
        <v>572</v>
      </c>
      <c r="M23" s="9" t="s">
        <v>514</v>
      </c>
      <c r="N23" s="9" t="s">
        <v>515</v>
      </c>
      <c r="O23" s="9"/>
      <c r="P23" s="9" t="s">
        <v>282</v>
      </c>
    </row>
    <row r="24" spans="1:16" ht="14.25" customHeight="1">
      <c r="A24" s="9" t="s">
        <v>573</v>
      </c>
      <c r="B24" s="9" t="s">
        <v>496</v>
      </c>
      <c r="C24" s="9" t="s">
        <v>497</v>
      </c>
      <c r="D24" s="9" t="s">
        <v>276</v>
      </c>
      <c r="E24" s="9" t="s">
        <v>11</v>
      </c>
      <c r="F24" s="9" t="s">
        <v>574</v>
      </c>
      <c r="G24" s="9" t="s">
        <v>575</v>
      </c>
      <c r="H24" s="9" t="s">
        <v>157</v>
      </c>
      <c r="I24" s="9" t="s">
        <v>7</v>
      </c>
      <c r="J24" s="9" t="s">
        <v>7</v>
      </c>
      <c r="K24" s="9" t="s">
        <v>319</v>
      </c>
      <c r="L24" s="9" t="s">
        <v>305</v>
      </c>
      <c r="M24" s="9" t="s">
        <v>508</v>
      </c>
      <c r="N24" s="9" t="s">
        <v>509</v>
      </c>
      <c r="O24" s="9" t="s">
        <v>516</v>
      </c>
      <c r="P24" s="9" t="s">
        <v>282</v>
      </c>
    </row>
    <row r="25" spans="1:16" ht="14.25" customHeight="1">
      <c r="A25" s="9" t="s">
        <v>576</v>
      </c>
      <c r="B25" s="9" t="s">
        <v>496</v>
      </c>
      <c r="C25" s="9" t="s">
        <v>505</v>
      </c>
      <c r="D25" s="9" t="s">
        <v>384</v>
      </c>
      <c r="E25" s="9" t="s">
        <v>11</v>
      </c>
      <c r="F25" s="9" t="s">
        <v>577</v>
      </c>
      <c r="G25" s="9" t="s">
        <v>161</v>
      </c>
      <c r="H25" s="9" t="s">
        <v>249</v>
      </c>
      <c r="I25" s="9" t="s">
        <v>287</v>
      </c>
      <c r="J25" s="9" t="s">
        <v>287</v>
      </c>
      <c r="K25" s="9" t="s">
        <v>578</v>
      </c>
      <c r="L25" s="9" t="s">
        <v>54</v>
      </c>
      <c r="M25" s="9" t="s">
        <v>501</v>
      </c>
      <c r="N25" s="9" t="s">
        <v>502</v>
      </c>
      <c r="O25" s="9" t="s">
        <v>520</v>
      </c>
      <c r="P25" s="9" t="s">
        <v>282</v>
      </c>
    </row>
    <row r="26" spans="1:16" ht="14.25" customHeight="1">
      <c r="A26" s="9" t="s">
        <v>579</v>
      </c>
      <c r="B26" s="9" t="s">
        <v>496</v>
      </c>
      <c r="C26" s="9" t="s">
        <v>511</v>
      </c>
      <c r="D26" s="9" t="s">
        <v>580</v>
      </c>
      <c r="E26" s="9" t="s">
        <v>11</v>
      </c>
      <c r="F26" s="9" t="s">
        <v>581</v>
      </c>
      <c r="G26" s="9" t="s">
        <v>241</v>
      </c>
      <c r="H26" s="9" t="s">
        <v>114</v>
      </c>
      <c r="I26" s="9" t="s">
        <v>287</v>
      </c>
      <c r="J26" s="9" t="s">
        <v>7</v>
      </c>
      <c r="K26" s="9" t="s">
        <v>295</v>
      </c>
      <c r="L26" s="9" t="s">
        <v>287</v>
      </c>
      <c r="M26" s="9" t="s">
        <v>537</v>
      </c>
      <c r="N26" s="9" t="s">
        <v>538</v>
      </c>
      <c r="O26" s="9" t="s">
        <v>503</v>
      </c>
      <c r="P26" s="9" t="s">
        <v>282</v>
      </c>
    </row>
    <row r="27" spans="1:16" ht="14.25" customHeight="1">
      <c r="A27" s="9" t="s">
        <v>582</v>
      </c>
      <c r="B27" s="9" t="s">
        <v>496</v>
      </c>
      <c r="C27" s="9" t="s">
        <v>497</v>
      </c>
      <c r="D27" s="9" t="s">
        <v>309</v>
      </c>
      <c r="E27" s="9" t="s">
        <v>11</v>
      </c>
      <c r="F27" s="9" t="s">
        <v>583</v>
      </c>
      <c r="G27" s="9" t="s">
        <v>210</v>
      </c>
      <c r="H27" s="9" t="s">
        <v>219</v>
      </c>
      <c r="I27" s="9" t="s">
        <v>11</v>
      </c>
      <c r="J27" s="9" t="s">
        <v>287</v>
      </c>
      <c r="K27" s="9" t="s">
        <v>400</v>
      </c>
      <c r="L27" s="9" t="s">
        <v>296</v>
      </c>
      <c r="M27" s="9" t="s">
        <v>529</v>
      </c>
      <c r="N27" s="9" t="s">
        <v>509</v>
      </c>
      <c r="O27" s="9"/>
      <c r="P27" s="9" t="s">
        <v>282</v>
      </c>
    </row>
    <row r="28" spans="1:16" ht="14.25" customHeight="1">
      <c r="A28" s="9" t="s">
        <v>584</v>
      </c>
      <c r="B28" s="9" t="s">
        <v>496</v>
      </c>
      <c r="C28" s="9" t="s">
        <v>505</v>
      </c>
      <c r="D28" s="9" t="s">
        <v>402</v>
      </c>
      <c r="E28" s="9" t="s">
        <v>11</v>
      </c>
      <c r="F28" s="9" t="s">
        <v>585</v>
      </c>
      <c r="G28" s="9" t="s">
        <v>163</v>
      </c>
      <c r="H28" s="9" t="s">
        <v>155</v>
      </c>
      <c r="I28" s="9" t="s">
        <v>11</v>
      </c>
      <c r="J28" s="9" t="s">
        <v>7</v>
      </c>
      <c r="K28" s="9" t="s">
        <v>312</v>
      </c>
      <c r="L28" s="9" t="s">
        <v>305</v>
      </c>
      <c r="M28" s="9" t="s">
        <v>533</v>
      </c>
      <c r="N28" s="9" t="s">
        <v>515</v>
      </c>
      <c r="O28" s="9" t="s">
        <v>516</v>
      </c>
      <c r="P28" s="9" t="s">
        <v>282</v>
      </c>
    </row>
    <row r="29" spans="1:16" ht="14.25" customHeight="1">
      <c r="A29" s="9" t="s">
        <v>586</v>
      </c>
      <c r="B29" s="9" t="s">
        <v>496</v>
      </c>
      <c r="C29" s="9" t="s">
        <v>511</v>
      </c>
      <c r="D29" s="9" t="s">
        <v>309</v>
      </c>
      <c r="E29" s="9" t="s">
        <v>11</v>
      </c>
      <c r="F29" s="9" t="s">
        <v>587</v>
      </c>
      <c r="G29" s="9" t="s">
        <v>112</v>
      </c>
      <c r="H29" s="9" t="s">
        <v>190</v>
      </c>
      <c r="I29" s="9" t="s">
        <v>11</v>
      </c>
      <c r="J29" s="9" t="s">
        <v>287</v>
      </c>
      <c r="K29" s="9" t="s">
        <v>456</v>
      </c>
      <c r="L29" s="9" t="s">
        <v>54</v>
      </c>
      <c r="M29" s="9" t="s">
        <v>525</v>
      </c>
      <c r="N29" s="9" t="s">
        <v>526</v>
      </c>
      <c r="O29" s="9" t="s">
        <v>520</v>
      </c>
      <c r="P29" s="9" t="s">
        <v>282</v>
      </c>
    </row>
    <row r="30" spans="1:16" ht="14.25" customHeight="1">
      <c r="A30" s="9" t="s">
        <v>588</v>
      </c>
      <c r="B30" s="9" t="s">
        <v>496</v>
      </c>
      <c r="C30" s="9" t="s">
        <v>497</v>
      </c>
      <c r="D30" s="9" t="s">
        <v>589</v>
      </c>
      <c r="E30" s="9" t="s">
        <v>11</v>
      </c>
      <c r="F30" s="9" t="s">
        <v>590</v>
      </c>
      <c r="G30" s="9" t="s">
        <v>185</v>
      </c>
      <c r="H30" s="9" t="s">
        <v>138</v>
      </c>
      <c r="I30" s="9" t="s">
        <v>500</v>
      </c>
      <c r="J30" s="9" t="s">
        <v>7</v>
      </c>
      <c r="K30" s="9" t="s">
        <v>288</v>
      </c>
      <c r="L30" s="9" t="s">
        <v>287</v>
      </c>
      <c r="M30" s="9" t="s">
        <v>519</v>
      </c>
      <c r="N30" s="9" t="s">
        <v>509</v>
      </c>
      <c r="O30" s="9" t="s">
        <v>503</v>
      </c>
      <c r="P30" s="9" t="s">
        <v>282</v>
      </c>
    </row>
    <row r="31" spans="1:16" ht="14.25" customHeight="1">
      <c r="A31" s="9" t="s">
        <v>591</v>
      </c>
      <c r="B31" s="9" t="s">
        <v>496</v>
      </c>
      <c r="C31" s="9" t="s">
        <v>505</v>
      </c>
      <c r="D31" s="9" t="s">
        <v>417</v>
      </c>
      <c r="E31" s="9" t="s">
        <v>11</v>
      </c>
      <c r="F31" s="9" t="s">
        <v>592</v>
      </c>
      <c r="G31" s="9" t="s">
        <v>118</v>
      </c>
      <c r="H31" s="9" t="s">
        <v>191</v>
      </c>
      <c r="I31" s="9" t="s">
        <v>287</v>
      </c>
      <c r="J31" s="9" t="s">
        <v>11</v>
      </c>
      <c r="K31" s="9" t="s">
        <v>462</v>
      </c>
      <c r="L31" s="9" t="s">
        <v>296</v>
      </c>
      <c r="M31" s="9" t="s">
        <v>514</v>
      </c>
      <c r="N31" s="9" t="s">
        <v>515</v>
      </c>
      <c r="O31" s="9"/>
      <c r="P31" s="9" t="s">
        <v>282</v>
      </c>
    </row>
    <row r="32" spans="1:16" ht="14.25" customHeight="1">
      <c r="A32" s="9" t="s">
        <v>593</v>
      </c>
      <c r="B32" s="9" t="s">
        <v>496</v>
      </c>
      <c r="C32" s="9" t="s">
        <v>511</v>
      </c>
      <c r="D32" s="9" t="s">
        <v>413</v>
      </c>
      <c r="E32" s="9" t="s">
        <v>11</v>
      </c>
      <c r="F32" s="9" t="s">
        <v>594</v>
      </c>
      <c r="G32" s="9" t="s">
        <v>140</v>
      </c>
      <c r="H32" s="9" t="s">
        <v>595</v>
      </c>
      <c r="I32" s="9" t="s">
        <v>19</v>
      </c>
      <c r="J32" s="9" t="s">
        <v>7</v>
      </c>
      <c r="K32" s="9" t="s">
        <v>596</v>
      </c>
      <c r="L32" s="9" t="s">
        <v>305</v>
      </c>
      <c r="M32" s="9" t="s">
        <v>508</v>
      </c>
      <c r="N32" s="9" t="s">
        <v>509</v>
      </c>
      <c r="O32" s="9" t="s">
        <v>516</v>
      </c>
      <c r="P32" s="9" t="s">
        <v>282</v>
      </c>
    </row>
    <row r="33" spans="1:16" ht="14.25" customHeight="1">
      <c r="A33" s="9" t="s">
        <v>597</v>
      </c>
      <c r="B33" s="9" t="s">
        <v>496</v>
      </c>
      <c r="C33" s="9" t="s">
        <v>497</v>
      </c>
      <c r="D33" s="9" t="s">
        <v>343</v>
      </c>
      <c r="E33" s="9" t="s">
        <v>11</v>
      </c>
      <c r="F33" s="9" t="s">
        <v>598</v>
      </c>
      <c r="G33" s="9" t="s">
        <v>233</v>
      </c>
      <c r="H33" s="9" t="s">
        <v>166</v>
      </c>
      <c r="I33" s="9" t="s">
        <v>7</v>
      </c>
      <c r="J33" s="9" t="s">
        <v>599</v>
      </c>
      <c r="K33" s="9" t="s">
        <v>600</v>
      </c>
      <c r="L33" s="9" t="s">
        <v>54</v>
      </c>
      <c r="M33" s="9" t="s">
        <v>501</v>
      </c>
      <c r="N33" s="9" t="s">
        <v>502</v>
      </c>
      <c r="O33" s="9" t="s">
        <v>520</v>
      </c>
      <c r="P33" s="9" t="s">
        <v>282</v>
      </c>
    </row>
    <row r="34" spans="1:16" ht="14.25" customHeight="1">
      <c r="A34" s="9" t="s">
        <v>601</v>
      </c>
      <c r="B34" s="9" t="s">
        <v>496</v>
      </c>
      <c r="C34" s="9" t="s">
        <v>505</v>
      </c>
      <c r="D34" s="9" t="s">
        <v>551</v>
      </c>
      <c r="E34" s="9" t="s">
        <v>11</v>
      </c>
      <c r="F34" s="9" t="s">
        <v>602</v>
      </c>
      <c r="G34" s="9" t="s">
        <v>128</v>
      </c>
      <c r="H34" s="9" t="s">
        <v>224</v>
      </c>
      <c r="I34" s="9" t="s">
        <v>15</v>
      </c>
      <c r="J34" s="9" t="s">
        <v>15</v>
      </c>
      <c r="K34" s="9" t="s">
        <v>603</v>
      </c>
      <c r="L34" s="9" t="s">
        <v>287</v>
      </c>
      <c r="M34" s="9" t="s">
        <v>537</v>
      </c>
      <c r="N34" s="9" t="s">
        <v>538</v>
      </c>
      <c r="O34" s="9" t="s">
        <v>503</v>
      </c>
      <c r="P34" s="9" t="s">
        <v>282</v>
      </c>
    </row>
    <row r="35" spans="1:16" ht="14.25" customHeight="1">
      <c r="A35" s="9" t="s">
        <v>604</v>
      </c>
      <c r="B35" s="9" t="s">
        <v>496</v>
      </c>
      <c r="C35" s="9" t="s">
        <v>511</v>
      </c>
      <c r="D35" s="9" t="s">
        <v>556</v>
      </c>
      <c r="E35" s="9" t="s">
        <v>11</v>
      </c>
      <c r="F35" s="9" t="s">
        <v>605</v>
      </c>
      <c r="G35" s="9" t="s">
        <v>606</v>
      </c>
      <c r="H35" s="9" t="s">
        <v>168</v>
      </c>
      <c r="I35" s="9" t="s">
        <v>11</v>
      </c>
      <c r="J35" s="9" t="s">
        <v>15</v>
      </c>
      <c r="K35" s="9" t="s">
        <v>607</v>
      </c>
      <c r="L35" s="9" t="s">
        <v>296</v>
      </c>
      <c r="M35" s="9" t="s">
        <v>529</v>
      </c>
      <c r="N35" s="9" t="s">
        <v>509</v>
      </c>
      <c r="O35" s="9"/>
      <c r="P35" s="9" t="s">
        <v>282</v>
      </c>
    </row>
    <row r="36" spans="1:16" ht="14.25" customHeight="1">
      <c r="A36" s="9" t="s">
        <v>608</v>
      </c>
      <c r="B36" s="9" t="s">
        <v>496</v>
      </c>
      <c r="C36" s="9" t="s">
        <v>497</v>
      </c>
      <c r="D36" s="9" t="s">
        <v>355</v>
      </c>
      <c r="E36" s="9" t="s">
        <v>11</v>
      </c>
      <c r="F36" s="9"/>
      <c r="G36" s="9" t="s">
        <v>126</v>
      </c>
      <c r="H36" s="9" t="s">
        <v>238</v>
      </c>
      <c r="I36" s="9" t="s">
        <v>7</v>
      </c>
      <c r="J36" s="9" t="s">
        <v>287</v>
      </c>
      <c r="K36" s="9" t="s">
        <v>379</v>
      </c>
      <c r="L36" s="9" t="s">
        <v>305</v>
      </c>
      <c r="M36" s="9" t="s">
        <v>533</v>
      </c>
      <c r="N36" s="9" t="s">
        <v>515</v>
      </c>
      <c r="O36" s="9" t="s">
        <v>516</v>
      </c>
      <c r="P36" s="9" t="s">
        <v>282</v>
      </c>
    </row>
    <row r="37" spans="1:16" ht="14.25" customHeight="1">
      <c r="A37" s="9" t="s">
        <v>609</v>
      </c>
      <c r="B37" s="9" t="s">
        <v>496</v>
      </c>
      <c r="C37" s="9" t="s">
        <v>505</v>
      </c>
      <c r="D37" s="9" t="s">
        <v>556</v>
      </c>
      <c r="E37" s="9" t="s">
        <v>11</v>
      </c>
      <c r="F37" s="9" t="s">
        <v>610</v>
      </c>
      <c r="G37" s="9" t="s">
        <v>212</v>
      </c>
      <c r="H37" s="9" t="s">
        <v>252</v>
      </c>
      <c r="I37" s="9" t="s">
        <v>11</v>
      </c>
      <c r="J37" s="9" t="s">
        <v>287</v>
      </c>
      <c r="K37" s="9" t="s">
        <v>400</v>
      </c>
      <c r="L37" s="9" t="s">
        <v>54</v>
      </c>
      <c r="M37" s="9" t="s">
        <v>525</v>
      </c>
      <c r="N37" s="9" t="s">
        <v>526</v>
      </c>
      <c r="O37" s="9" t="s">
        <v>520</v>
      </c>
      <c r="P37" s="9" t="s">
        <v>282</v>
      </c>
    </row>
    <row r="38" spans="1:16" ht="14.25" customHeight="1">
      <c r="A38" s="9" t="s">
        <v>611</v>
      </c>
      <c r="B38" s="9" t="s">
        <v>496</v>
      </c>
      <c r="C38" s="9" t="s">
        <v>511</v>
      </c>
      <c r="D38" s="9" t="s">
        <v>498</v>
      </c>
      <c r="E38" s="9" t="s">
        <v>15</v>
      </c>
      <c r="F38" s="9" t="s">
        <v>612</v>
      </c>
      <c r="G38" s="9" t="s">
        <v>157</v>
      </c>
      <c r="H38" s="9" t="s">
        <v>222</v>
      </c>
      <c r="I38" s="9" t="s">
        <v>7</v>
      </c>
      <c r="J38" s="9" t="s">
        <v>11</v>
      </c>
      <c r="K38" s="9" t="s">
        <v>369</v>
      </c>
      <c r="L38" s="9" t="s">
        <v>287</v>
      </c>
      <c r="M38" s="9" t="s">
        <v>508</v>
      </c>
      <c r="N38" s="9" t="s">
        <v>509</v>
      </c>
      <c r="O38" s="9" t="s">
        <v>503</v>
      </c>
      <c r="P38" s="9" t="s">
        <v>282</v>
      </c>
    </row>
    <row r="39" spans="1:16" ht="14.25" customHeight="1">
      <c r="A39" s="9" t="s">
        <v>613</v>
      </c>
      <c r="B39" s="9" t="s">
        <v>496</v>
      </c>
      <c r="C39" s="9" t="s">
        <v>497</v>
      </c>
      <c r="D39" s="9" t="s">
        <v>64</v>
      </c>
      <c r="E39" s="9" t="s">
        <v>15</v>
      </c>
      <c r="F39" s="9" t="s">
        <v>614</v>
      </c>
      <c r="G39" s="9" t="s">
        <v>196</v>
      </c>
      <c r="H39" s="9" t="s">
        <v>214</v>
      </c>
      <c r="I39" s="9" t="s">
        <v>11</v>
      </c>
      <c r="J39" s="9" t="s">
        <v>287</v>
      </c>
      <c r="K39" s="9" t="s">
        <v>456</v>
      </c>
      <c r="L39" s="9" t="s">
        <v>296</v>
      </c>
      <c r="M39" s="9" t="s">
        <v>501</v>
      </c>
      <c r="N39" s="9" t="s">
        <v>502</v>
      </c>
      <c r="O39" s="9"/>
      <c r="P39" s="9" t="s">
        <v>282</v>
      </c>
    </row>
    <row r="40" spans="1:16" ht="14.25" customHeight="1">
      <c r="A40" s="9" t="s">
        <v>615</v>
      </c>
      <c r="B40" s="9" t="s">
        <v>496</v>
      </c>
      <c r="C40" s="9" t="s">
        <v>505</v>
      </c>
      <c r="D40" s="9" t="s">
        <v>301</v>
      </c>
      <c r="E40" s="9" t="s">
        <v>15</v>
      </c>
      <c r="F40" s="9" t="s">
        <v>616</v>
      </c>
      <c r="G40" s="9" t="s">
        <v>174</v>
      </c>
      <c r="H40" s="9" t="s">
        <v>249</v>
      </c>
      <c r="I40" s="9" t="s">
        <v>287</v>
      </c>
      <c r="J40" s="9" t="s">
        <v>7</v>
      </c>
      <c r="K40" s="9" t="s">
        <v>288</v>
      </c>
      <c r="L40" s="9" t="s">
        <v>305</v>
      </c>
      <c r="M40" s="9" t="s">
        <v>514</v>
      </c>
      <c r="N40" s="9" t="s">
        <v>515</v>
      </c>
      <c r="O40" s="9" t="s">
        <v>516</v>
      </c>
      <c r="P40" s="9" t="s">
        <v>282</v>
      </c>
    </row>
    <row r="41" spans="1:16" ht="14.25" customHeight="1">
      <c r="A41" s="9" t="s">
        <v>617</v>
      </c>
      <c r="B41" s="9" t="s">
        <v>496</v>
      </c>
      <c r="C41" s="9" t="s">
        <v>511</v>
      </c>
      <c r="D41" s="9" t="s">
        <v>384</v>
      </c>
      <c r="E41" s="9" t="s">
        <v>15</v>
      </c>
      <c r="F41" s="9" t="s">
        <v>618</v>
      </c>
      <c r="G41" s="9" t="s">
        <v>255</v>
      </c>
      <c r="H41" s="9" t="s">
        <v>161</v>
      </c>
      <c r="I41" s="9" t="s">
        <v>287</v>
      </c>
      <c r="J41" s="9" t="s">
        <v>15</v>
      </c>
      <c r="K41" s="9" t="s">
        <v>396</v>
      </c>
      <c r="L41" s="9" t="s">
        <v>54</v>
      </c>
      <c r="M41" s="9" t="s">
        <v>519</v>
      </c>
      <c r="N41" s="9" t="s">
        <v>509</v>
      </c>
      <c r="O41" s="9" t="s">
        <v>520</v>
      </c>
      <c r="P41" s="9" t="s">
        <v>282</v>
      </c>
    </row>
    <row r="42" spans="1:16" ht="14.25" customHeight="1">
      <c r="A42" s="9" t="s">
        <v>619</v>
      </c>
      <c r="B42" s="9" t="s">
        <v>496</v>
      </c>
      <c r="C42" s="9" t="s">
        <v>497</v>
      </c>
      <c r="D42" s="9" t="s">
        <v>580</v>
      </c>
      <c r="E42" s="9" t="s">
        <v>15</v>
      </c>
      <c r="F42" s="9" t="s">
        <v>620</v>
      </c>
      <c r="G42" s="9" t="s">
        <v>114</v>
      </c>
      <c r="H42" s="9" t="s">
        <v>155</v>
      </c>
      <c r="I42" s="9" t="s">
        <v>500</v>
      </c>
      <c r="J42" s="9" t="s">
        <v>287</v>
      </c>
      <c r="K42" s="9" t="s">
        <v>382</v>
      </c>
      <c r="L42" s="9" t="s">
        <v>287</v>
      </c>
      <c r="M42" s="9" t="s">
        <v>537</v>
      </c>
      <c r="N42" s="9" t="s">
        <v>538</v>
      </c>
      <c r="O42" s="9" t="s">
        <v>503</v>
      </c>
      <c r="P42" s="9" t="s">
        <v>282</v>
      </c>
    </row>
    <row r="43" spans="1:16" ht="14.25" customHeight="1">
      <c r="A43" s="9" t="s">
        <v>621</v>
      </c>
      <c r="B43" s="9" t="s">
        <v>496</v>
      </c>
      <c r="C43" s="9" t="s">
        <v>505</v>
      </c>
      <c r="D43" s="9" t="s">
        <v>328</v>
      </c>
      <c r="E43" s="9" t="s">
        <v>15</v>
      </c>
      <c r="F43" s="9" t="s">
        <v>622</v>
      </c>
      <c r="G43" s="9" t="s">
        <v>241</v>
      </c>
      <c r="H43" s="9" t="s">
        <v>163</v>
      </c>
      <c r="I43" s="9" t="s">
        <v>7</v>
      </c>
      <c r="J43" s="9" t="s">
        <v>287</v>
      </c>
      <c r="K43" s="9" t="s">
        <v>554</v>
      </c>
      <c r="L43" s="9" t="s">
        <v>296</v>
      </c>
      <c r="M43" s="9" t="s">
        <v>529</v>
      </c>
      <c r="N43" s="9" t="s">
        <v>509</v>
      </c>
      <c r="O43" s="9"/>
      <c r="P43" s="9" t="s">
        <v>282</v>
      </c>
    </row>
    <row r="44" spans="1:16" ht="14.25" customHeight="1">
      <c r="A44" s="9" t="s">
        <v>623</v>
      </c>
      <c r="B44" s="9" t="s">
        <v>496</v>
      </c>
      <c r="C44" s="9" t="s">
        <v>511</v>
      </c>
      <c r="D44" s="9" t="s">
        <v>322</v>
      </c>
      <c r="E44" s="9" t="s">
        <v>15</v>
      </c>
      <c r="F44" s="9" t="s">
        <v>624</v>
      </c>
      <c r="G44" s="9" t="s">
        <v>210</v>
      </c>
      <c r="H44" s="9" t="s">
        <v>625</v>
      </c>
      <c r="I44" s="9" t="s">
        <v>287</v>
      </c>
      <c r="J44" s="9" t="s">
        <v>11</v>
      </c>
      <c r="K44" s="9" t="s">
        <v>626</v>
      </c>
      <c r="L44" s="9" t="s">
        <v>305</v>
      </c>
      <c r="M44" s="9" t="s">
        <v>533</v>
      </c>
      <c r="N44" s="9" t="s">
        <v>515</v>
      </c>
      <c r="O44" s="9" t="s">
        <v>516</v>
      </c>
      <c r="P44" s="9" t="s">
        <v>282</v>
      </c>
    </row>
    <row r="45" spans="1:16" ht="14.25" customHeight="1">
      <c r="A45" s="9" t="s">
        <v>627</v>
      </c>
      <c r="B45" s="9" t="s">
        <v>496</v>
      </c>
      <c r="C45" s="9" t="s">
        <v>497</v>
      </c>
      <c r="D45" s="9" t="s">
        <v>309</v>
      </c>
      <c r="E45" s="9" t="s">
        <v>15</v>
      </c>
      <c r="F45" s="9" t="s">
        <v>628</v>
      </c>
      <c r="G45" s="9" t="s">
        <v>219</v>
      </c>
      <c r="H45" s="9" t="s">
        <v>190</v>
      </c>
      <c r="I45" s="9" t="s">
        <v>7</v>
      </c>
      <c r="J45" s="9" t="s">
        <v>11</v>
      </c>
      <c r="K45" s="9" t="s">
        <v>524</v>
      </c>
      <c r="L45" s="9" t="s">
        <v>54</v>
      </c>
      <c r="M45" s="9" t="s">
        <v>525</v>
      </c>
      <c r="N45" s="9" t="s">
        <v>526</v>
      </c>
      <c r="O45" s="9" t="s">
        <v>520</v>
      </c>
      <c r="P45" s="9" t="s">
        <v>282</v>
      </c>
    </row>
    <row r="46" spans="1:16" ht="14.25" customHeight="1">
      <c r="A46" s="9" t="s">
        <v>629</v>
      </c>
      <c r="B46" s="9" t="s">
        <v>496</v>
      </c>
      <c r="C46" s="9" t="s">
        <v>505</v>
      </c>
      <c r="D46" s="9" t="s">
        <v>540</v>
      </c>
      <c r="E46" s="9" t="s">
        <v>15</v>
      </c>
      <c r="F46" s="9" t="s">
        <v>630</v>
      </c>
      <c r="G46" s="9" t="s">
        <v>130</v>
      </c>
      <c r="H46" s="9" t="s">
        <v>191</v>
      </c>
      <c r="I46" s="9" t="s">
        <v>7</v>
      </c>
      <c r="J46" s="9" t="s">
        <v>11</v>
      </c>
      <c r="K46" s="9" t="s">
        <v>415</v>
      </c>
      <c r="L46" s="9" t="s">
        <v>287</v>
      </c>
      <c r="M46" s="9" t="s">
        <v>514</v>
      </c>
      <c r="N46" s="9" t="s">
        <v>515</v>
      </c>
      <c r="O46" s="9" t="s">
        <v>503</v>
      </c>
      <c r="P46" s="9" t="s">
        <v>282</v>
      </c>
    </row>
    <row r="47" spans="1:16" ht="14.25" customHeight="1">
      <c r="A47" s="9" t="s">
        <v>631</v>
      </c>
      <c r="B47" s="9" t="s">
        <v>496</v>
      </c>
      <c r="C47" s="9" t="s">
        <v>511</v>
      </c>
      <c r="D47" s="9" t="s">
        <v>417</v>
      </c>
      <c r="E47" s="9" t="s">
        <v>15</v>
      </c>
      <c r="F47" s="9" t="s">
        <v>632</v>
      </c>
      <c r="G47" s="9" t="s">
        <v>633</v>
      </c>
      <c r="H47" s="9" t="s">
        <v>118</v>
      </c>
      <c r="I47" s="9" t="s">
        <v>287</v>
      </c>
      <c r="J47" s="9" t="s">
        <v>287</v>
      </c>
      <c r="K47" s="9" t="s">
        <v>532</v>
      </c>
      <c r="L47" s="9" t="s">
        <v>296</v>
      </c>
      <c r="M47" s="9" t="s">
        <v>519</v>
      </c>
      <c r="N47" s="9" t="s">
        <v>509</v>
      </c>
      <c r="O47" s="9"/>
      <c r="P47" s="9" t="s">
        <v>282</v>
      </c>
    </row>
    <row r="48" spans="1:16" ht="14.25" customHeight="1">
      <c r="A48" s="9" t="s">
        <v>634</v>
      </c>
      <c r="B48" s="9" t="s">
        <v>496</v>
      </c>
      <c r="C48" s="9" t="s">
        <v>497</v>
      </c>
      <c r="D48" s="9" t="s">
        <v>460</v>
      </c>
      <c r="E48" s="9" t="s">
        <v>15</v>
      </c>
      <c r="F48" s="9" t="s">
        <v>635</v>
      </c>
      <c r="G48" s="9" t="s">
        <v>138</v>
      </c>
      <c r="H48" s="9" t="s">
        <v>165</v>
      </c>
      <c r="I48" s="9" t="s">
        <v>11</v>
      </c>
      <c r="J48" s="9" t="s">
        <v>19</v>
      </c>
      <c r="K48" s="9" t="s">
        <v>636</v>
      </c>
      <c r="L48" s="9" t="s">
        <v>305</v>
      </c>
      <c r="M48" s="9" t="s">
        <v>501</v>
      </c>
      <c r="N48" s="9" t="s">
        <v>502</v>
      </c>
      <c r="O48" s="9" t="s">
        <v>516</v>
      </c>
      <c r="P48" s="9" t="s">
        <v>282</v>
      </c>
    </row>
    <row r="49" spans="1:16" ht="14.25" customHeight="1">
      <c r="A49" s="9" t="s">
        <v>637</v>
      </c>
      <c r="B49" s="9" t="s">
        <v>496</v>
      </c>
      <c r="C49" s="9" t="s">
        <v>505</v>
      </c>
      <c r="D49" s="9" t="s">
        <v>343</v>
      </c>
      <c r="E49" s="9" t="s">
        <v>15</v>
      </c>
      <c r="F49" s="9" t="s">
        <v>638</v>
      </c>
      <c r="G49" s="9" t="s">
        <v>185</v>
      </c>
      <c r="H49" s="9" t="s">
        <v>639</v>
      </c>
      <c r="I49" s="9" t="s">
        <v>11</v>
      </c>
      <c r="J49" s="9" t="s">
        <v>7</v>
      </c>
      <c r="K49" s="9" t="s">
        <v>640</v>
      </c>
      <c r="L49" s="9" t="s">
        <v>54</v>
      </c>
      <c r="M49" s="9" t="s">
        <v>508</v>
      </c>
      <c r="N49" s="9" t="s">
        <v>509</v>
      </c>
      <c r="O49" s="9" t="s">
        <v>520</v>
      </c>
      <c r="P49" s="9" t="s">
        <v>282</v>
      </c>
    </row>
    <row r="50" spans="1:16" ht="14.25" customHeight="1">
      <c r="A50" s="9" t="s">
        <v>641</v>
      </c>
      <c r="B50" s="9" t="s">
        <v>496</v>
      </c>
      <c r="C50" s="9" t="s">
        <v>511</v>
      </c>
      <c r="D50" s="9" t="s">
        <v>642</v>
      </c>
      <c r="E50" s="9" t="s">
        <v>15</v>
      </c>
      <c r="F50" s="9" t="s">
        <v>643</v>
      </c>
      <c r="G50" s="9" t="s">
        <v>168</v>
      </c>
      <c r="H50" s="9" t="s">
        <v>252</v>
      </c>
      <c r="I50" s="9" t="s">
        <v>287</v>
      </c>
      <c r="J50" s="9" t="s">
        <v>11</v>
      </c>
      <c r="K50" s="9" t="s">
        <v>446</v>
      </c>
      <c r="L50" s="9" t="s">
        <v>287</v>
      </c>
      <c r="M50" s="9" t="s">
        <v>537</v>
      </c>
      <c r="N50" s="9" t="s">
        <v>538</v>
      </c>
      <c r="O50" s="9" t="s">
        <v>503</v>
      </c>
      <c r="P50" s="9" t="s">
        <v>282</v>
      </c>
    </row>
    <row r="51" spans="1:16" ht="14.25" customHeight="1">
      <c r="A51" s="9" t="s">
        <v>644</v>
      </c>
      <c r="B51" s="9" t="s">
        <v>496</v>
      </c>
      <c r="C51" s="9" t="s">
        <v>497</v>
      </c>
      <c r="D51" s="9" t="s">
        <v>556</v>
      </c>
      <c r="E51" s="9" t="s">
        <v>15</v>
      </c>
      <c r="F51" s="9" t="s">
        <v>645</v>
      </c>
      <c r="G51" s="9" t="s">
        <v>232</v>
      </c>
      <c r="H51" s="9" t="s">
        <v>212</v>
      </c>
      <c r="I51" s="9" t="s">
        <v>11</v>
      </c>
      <c r="J51" s="9" t="s">
        <v>7</v>
      </c>
      <c r="K51" s="9" t="s">
        <v>434</v>
      </c>
      <c r="L51" s="9" t="s">
        <v>296</v>
      </c>
      <c r="M51" s="9" t="s">
        <v>529</v>
      </c>
      <c r="N51" s="9" t="s">
        <v>509</v>
      </c>
      <c r="O51" s="9"/>
      <c r="P51" s="9" t="s">
        <v>282</v>
      </c>
    </row>
    <row r="52" spans="1:16" ht="14.25" customHeight="1">
      <c r="A52" s="9" t="s">
        <v>646</v>
      </c>
      <c r="B52" s="9" t="s">
        <v>496</v>
      </c>
      <c r="C52" s="9" t="s">
        <v>505</v>
      </c>
      <c r="D52" s="9" t="s">
        <v>355</v>
      </c>
      <c r="E52" s="9" t="s">
        <v>15</v>
      </c>
      <c r="F52" s="9" t="s">
        <v>647</v>
      </c>
      <c r="G52" s="9" t="s">
        <v>648</v>
      </c>
      <c r="H52" s="9" t="s">
        <v>125</v>
      </c>
      <c r="I52" s="9" t="s">
        <v>7</v>
      </c>
      <c r="J52" s="9" t="s">
        <v>287</v>
      </c>
      <c r="K52" s="9" t="s">
        <v>382</v>
      </c>
      <c r="L52" s="9" t="s">
        <v>305</v>
      </c>
      <c r="M52" s="9" t="s">
        <v>525</v>
      </c>
      <c r="N52" s="9" t="s">
        <v>526</v>
      </c>
      <c r="O52" s="9" t="s">
        <v>516</v>
      </c>
      <c r="P52" s="9" t="s">
        <v>282</v>
      </c>
    </row>
    <row r="53" spans="1:16" ht="14.25" customHeight="1">
      <c r="A53" s="9" t="s">
        <v>649</v>
      </c>
      <c r="B53" s="9" t="s">
        <v>496</v>
      </c>
      <c r="C53" s="9" t="s">
        <v>511</v>
      </c>
      <c r="D53" s="9" t="s">
        <v>359</v>
      </c>
      <c r="E53" s="9" t="s">
        <v>15</v>
      </c>
      <c r="F53" s="9" t="s">
        <v>650</v>
      </c>
      <c r="G53" s="9" t="s">
        <v>224</v>
      </c>
      <c r="H53" s="9" t="s">
        <v>239</v>
      </c>
      <c r="I53" s="9" t="s">
        <v>11</v>
      </c>
      <c r="J53" s="9" t="s">
        <v>15</v>
      </c>
      <c r="K53" s="9" t="s">
        <v>651</v>
      </c>
      <c r="L53" s="9" t="s">
        <v>54</v>
      </c>
      <c r="M53" s="9" t="s">
        <v>533</v>
      </c>
      <c r="N53" s="9" t="s">
        <v>515</v>
      </c>
      <c r="O53" s="9" t="s">
        <v>520</v>
      </c>
      <c r="P53" s="9" t="s">
        <v>282</v>
      </c>
    </row>
    <row r="54" spans="1:16" ht="14.25" customHeight="1">
      <c r="A54" s="9" t="s">
        <v>510</v>
      </c>
      <c r="B54" s="9" t="s">
        <v>496</v>
      </c>
      <c r="C54" s="9" t="s">
        <v>511</v>
      </c>
      <c r="D54" s="9" t="s">
        <v>276</v>
      </c>
      <c r="E54" s="9" t="s">
        <v>7</v>
      </c>
      <c r="F54" s="9" t="s">
        <v>512</v>
      </c>
      <c r="G54" s="9" t="s">
        <v>222</v>
      </c>
      <c r="H54" s="9" t="s">
        <v>194</v>
      </c>
      <c r="I54" s="9" t="s">
        <v>287</v>
      </c>
      <c r="J54" s="9" t="s">
        <v>11</v>
      </c>
      <c r="K54" s="9" t="s">
        <v>513</v>
      </c>
      <c r="L54" s="9" t="s">
        <v>305</v>
      </c>
      <c r="M54" s="9" t="s">
        <v>514</v>
      </c>
      <c r="N54" s="9" t="s">
        <v>515</v>
      </c>
      <c r="O54" s="9" t="s">
        <v>516</v>
      </c>
      <c r="P54" s="9" t="s">
        <v>282</v>
      </c>
    </row>
    <row r="55" spans="1:16" ht="14.25" customHeight="1">
      <c r="A55" s="9" t="s">
        <v>510</v>
      </c>
      <c r="B55" s="9" t="s">
        <v>496</v>
      </c>
      <c r="C55" s="9" t="s">
        <v>511</v>
      </c>
      <c r="D55" s="9" t="s">
        <v>276</v>
      </c>
      <c r="E55" s="9" t="s">
        <v>7</v>
      </c>
      <c r="F55" s="9" t="s">
        <v>512</v>
      </c>
      <c r="G55" s="9" t="s">
        <v>222</v>
      </c>
      <c r="H55" s="9" t="s">
        <v>194</v>
      </c>
      <c r="I55" s="9" t="s">
        <v>287</v>
      </c>
      <c r="J55" s="9" t="s">
        <v>11</v>
      </c>
      <c r="K55" s="9" t="s">
        <v>513</v>
      </c>
      <c r="L55" s="9" t="s">
        <v>305</v>
      </c>
      <c r="M55" s="9" t="s">
        <v>514</v>
      </c>
      <c r="N55" s="9" t="s">
        <v>515</v>
      </c>
      <c r="O55" s="9" t="s">
        <v>516</v>
      </c>
      <c r="P55" s="9" t="s">
        <v>282</v>
      </c>
    </row>
    <row r="56" spans="1:16" ht="14.25" customHeight="1">
      <c r="A56" s="9" t="s">
        <v>631</v>
      </c>
      <c r="B56" s="9" t="s">
        <v>496</v>
      </c>
      <c r="C56" s="9" t="s">
        <v>511</v>
      </c>
      <c r="D56" s="9" t="s">
        <v>417</v>
      </c>
      <c r="E56" s="9" t="s">
        <v>15</v>
      </c>
      <c r="F56" s="9" t="s">
        <v>632</v>
      </c>
      <c r="G56" s="9" t="s">
        <v>633</v>
      </c>
      <c r="H56" s="9" t="s">
        <v>118</v>
      </c>
      <c r="I56" s="9" t="s">
        <v>287</v>
      </c>
      <c r="J56" s="9" t="s">
        <v>287</v>
      </c>
      <c r="K56" s="9" t="s">
        <v>532</v>
      </c>
      <c r="L56" s="9" t="s">
        <v>296</v>
      </c>
      <c r="M56" s="9" t="s">
        <v>519</v>
      </c>
      <c r="N56" s="9" t="s">
        <v>509</v>
      </c>
      <c r="O56" s="9"/>
      <c r="P56" s="9" t="s">
        <v>282</v>
      </c>
    </row>
  </sheetData>
  <mergeCells count="2">
    <mergeCell ref="A1:P1"/>
    <mergeCell ref="A2:P3"/>
  </mergeCells>
  <conditionalFormatting sqref="A6:P56">
    <cfRule type="expression" dxfId="6" priority="2">
      <formula>OR(A6="",COUNTIF($A:$A,A6)&gt;1)</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80"/>
  <sheetViews>
    <sheetView zoomScaleNormal="100" workbookViewId="0">
      <selection sqref="A1:P1"/>
    </sheetView>
  </sheetViews>
  <sheetFormatPr baseColWidth="10" defaultColWidth="9" defaultRowHeight="14.4"/>
  <cols>
    <col min="1" max="1" width="19" style="7" customWidth="1"/>
    <col min="2" max="7" width="17" style="7" customWidth="1"/>
    <col min="8" max="9" width="26" style="7" customWidth="1"/>
    <col min="10" max="14" width="17" style="7" customWidth="1"/>
    <col min="15" max="16" width="40" style="7" customWidth="1"/>
  </cols>
  <sheetData>
    <row r="1" spans="1:16" ht="30" customHeight="1">
      <c r="A1" s="6" t="s">
        <v>652</v>
      </c>
      <c r="B1" s="6"/>
      <c r="C1" s="6"/>
      <c r="D1" s="6"/>
      <c r="E1" s="6"/>
      <c r="F1" s="6"/>
      <c r="G1" s="6"/>
      <c r="H1" s="6"/>
      <c r="I1" s="6"/>
      <c r="J1" s="6"/>
      <c r="K1" s="6"/>
      <c r="L1" s="6"/>
      <c r="M1" s="6"/>
      <c r="N1" s="6"/>
      <c r="O1" s="6"/>
      <c r="P1" s="6"/>
    </row>
    <row r="2" spans="1:16" ht="21.75" customHeight="1">
      <c r="A2" s="5" t="s">
        <v>653</v>
      </c>
      <c r="B2" s="5"/>
      <c r="C2" s="5"/>
      <c r="D2" s="5"/>
      <c r="E2" s="5"/>
      <c r="F2" s="5"/>
      <c r="G2" s="5"/>
      <c r="H2" s="5"/>
      <c r="I2" s="5"/>
      <c r="J2" s="5"/>
      <c r="K2" s="5"/>
      <c r="L2" s="5"/>
      <c r="M2" s="5"/>
      <c r="N2" s="5"/>
      <c r="O2" s="5"/>
      <c r="P2" s="5"/>
    </row>
    <row r="3" spans="1:16" ht="21.75" customHeight="1">
      <c r="A3" s="5"/>
      <c r="B3" s="5"/>
      <c r="C3" s="5"/>
      <c r="D3" s="5"/>
      <c r="E3" s="5"/>
      <c r="F3" s="5"/>
      <c r="G3" s="5"/>
      <c r="H3" s="5"/>
      <c r="I3" s="5"/>
      <c r="J3" s="5"/>
      <c r="K3" s="5"/>
      <c r="L3" s="5"/>
      <c r="M3" s="5"/>
      <c r="N3" s="5"/>
      <c r="O3" s="5"/>
      <c r="P3" s="5"/>
    </row>
    <row r="5" spans="1:16" ht="15" customHeight="1">
      <c r="A5" s="8" t="s">
        <v>654</v>
      </c>
      <c r="B5" s="8" t="s">
        <v>655</v>
      </c>
      <c r="C5" s="8" t="s">
        <v>656</v>
      </c>
      <c r="D5" s="8" t="s">
        <v>657</v>
      </c>
      <c r="E5" s="8" t="s">
        <v>658</v>
      </c>
      <c r="F5" s="8" t="s">
        <v>659</v>
      </c>
      <c r="G5" s="8" t="s">
        <v>660</v>
      </c>
      <c r="H5" s="8" t="s">
        <v>661</v>
      </c>
      <c r="I5" s="8" t="s">
        <v>662</v>
      </c>
      <c r="J5" s="8" t="s">
        <v>663</v>
      </c>
      <c r="K5" s="8" t="s">
        <v>664</v>
      </c>
      <c r="L5" s="8" t="s">
        <v>665</v>
      </c>
      <c r="M5" s="8" t="s">
        <v>666</v>
      </c>
      <c r="N5" s="8" t="s">
        <v>667</v>
      </c>
    </row>
    <row r="6" spans="1:16" ht="14.25" customHeight="1">
      <c r="A6" s="9" t="s">
        <v>668</v>
      </c>
      <c r="B6" s="9" t="s">
        <v>669</v>
      </c>
      <c r="C6" s="9" t="s">
        <v>670</v>
      </c>
      <c r="D6" s="9" t="s">
        <v>64</v>
      </c>
      <c r="E6" s="9" t="s">
        <v>7</v>
      </c>
      <c r="F6" s="9" t="s">
        <v>671</v>
      </c>
      <c r="G6" s="9" t="s">
        <v>190</v>
      </c>
      <c r="H6" s="9" t="s">
        <v>226</v>
      </c>
      <c r="I6" s="9"/>
      <c r="J6" s="9" t="s">
        <v>427</v>
      </c>
      <c r="K6" s="9" t="s">
        <v>672</v>
      </c>
      <c r="L6" s="9" t="s">
        <v>572</v>
      </c>
      <c r="M6" s="9" t="s">
        <v>305</v>
      </c>
      <c r="N6" s="9" t="s">
        <v>673</v>
      </c>
    </row>
    <row r="7" spans="1:16" ht="14.25" customHeight="1">
      <c r="A7" s="9" t="s">
        <v>674</v>
      </c>
      <c r="B7" s="9" t="s">
        <v>669</v>
      </c>
      <c r="C7" s="9" t="s">
        <v>675</v>
      </c>
      <c r="D7" s="9" t="s">
        <v>276</v>
      </c>
      <c r="E7" s="9" t="s">
        <v>7</v>
      </c>
      <c r="F7" s="9" t="s">
        <v>676</v>
      </c>
      <c r="G7" s="9" t="s">
        <v>228</v>
      </c>
      <c r="H7" s="9" t="s">
        <v>149</v>
      </c>
      <c r="I7" s="9" t="s">
        <v>11</v>
      </c>
      <c r="J7" s="9" t="s">
        <v>7</v>
      </c>
      <c r="K7" s="9" t="s">
        <v>434</v>
      </c>
      <c r="L7" s="9" t="s">
        <v>305</v>
      </c>
      <c r="M7" s="9" t="s">
        <v>54</v>
      </c>
      <c r="N7" s="9" t="s">
        <v>673</v>
      </c>
    </row>
    <row r="8" spans="1:16" ht="14.25" customHeight="1">
      <c r="A8" s="9" t="s">
        <v>677</v>
      </c>
      <c r="B8" s="9" t="s">
        <v>669</v>
      </c>
      <c r="C8" s="9" t="s">
        <v>678</v>
      </c>
      <c r="D8" s="9" t="s">
        <v>293</v>
      </c>
      <c r="E8" s="9" t="s">
        <v>7</v>
      </c>
      <c r="F8" s="9" t="s">
        <v>679</v>
      </c>
      <c r="G8" s="9" t="s">
        <v>130</v>
      </c>
      <c r="H8" s="9" t="s">
        <v>680</v>
      </c>
      <c r="I8" s="9" t="s">
        <v>7</v>
      </c>
      <c r="J8" s="9" t="s">
        <v>7</v>
      </c>
      <c r="K8" s="9" t="s">
        <v>681</v>
      </c>
      <c r="L8" s="9" t="s">
        <v>84</v>
      </c>
      <c r="M8" s="9" t="s">
        <v>287</v>
      </c>
      <c r="N8" s="9" t="s">
        <v>682</v>
      </c>
    </row>
    <row r="9" spans="1:16" ht="14.25" customHeight="1">
      <c r="A9" s="9" t="s">
        <v>683</v>
      </c>
      <c r="B9" s="9" t="s">
        <v>669</v>
      </c>
      <c r="C9" s="9" t="s">
        <v>670</v>
      </c>
      <c r="D9" s="9" t="s">
        <v>384</v>
      </c>
      <c r="E9" s="9" t="s">
        <v>7</v>
      </c>
      <c r="F9" s="9" t="s">
        <v>684</v>
      </c>
      <c r="G9" s="9" t="s">
        <v>214</v>
      </c>
      <c r="H9" s="9" t="s">
        <v>238</v>
      </c>
      <c r="I9" s="9" t="s">
        <v>7</v>
      </c>
      <c r="J9" s="9" t="s">
        <v>7</v>
      </c>
      <c r="K9" s="9" t="s">
        <v>600</v>
      </c>
      <c r="L9" s="9" t="s">
        <v>287</v>
      </c>
      <c r="M9" s="9" t="s">
        <v>296</v>
      </c>
      <c r="N9" s="9" t="s">
        <v>682</v>
      </c>
    </row>
    <row r="10" spans="1:16" ht="14.25" customHeight="1">
      <c r="A10" s="9" t="s">
        <v>685</v>
      </c>
      <c r="B10" s="9" t="s">
        <v>669</v>
      </c>
      <c r="C10" s="9" t="s">
        <v>675</v>
      </c>
      <c r="D10" s="9" t="s">
        <v>309</v>
      </c>
      <c r="E10" s="9" t="s">
        <v>7</v>
      </c>
      <c r="F10" s="9" t="s">
        <v>686</v>
      </c>
      <c r="G10" s="9" t="s">
        <v>126</v>
      </c>
      <c r="H10" s="9" t="s">
        <v>191</v>
      </c>
      <c r="I10" s="9" t="s">
        <v>7</v>
      </c>
      <c r="J10" s="9" t="s">
        <v>7</v>
      </c>
      <c r="K10" s="9" t="s">
        <v>319</v>
      </c>
      <c r="L10" s="9" t="s">
        <v>296</v>
      </c>
      <c r="M10" s="9" t="s">
        <v>305</v>
      </c>
      <c r="N10" s="9" t="s">
        <v>687</v>
      </c>
    </row>
    <row r="11" spans="1:16" ht="14.25" customHeight="1">
      <c r="A11" s="9" t="s">
        <v>688</v>
      </c>
      <c r="B11" s="9" t="s">
        <v>669</v>
      </c>
      <c r="C11" s="9" t="s">
        <v>678</v>
      </c>
      <c r="D11" s="9" t="s">
        <v>322</v>
      </c>
      <c r="E11" s="9" t="s">
        <v>7</v>
      </c>
      <c r="F11" s="9" t="s">
        <v>689</v>
      </c>
      <c r="G11" s="9" t="s">
        <v>170</v>
      </c>
      <c r="H11" s="9" t="s">
        <v>220</v>
      </c>
      <c r="I11" s="9" t="s">
        <v>287</v>
      </c>
      <c r="J11" s="9" t="s">
        <v>7</v>
      </c>
      <c r="K11" s="9" t="s">
        <v>288</v>
      </c>
      <c r="L11" s="9" t="s">
        <v>305</v>
      </c>
      <c r="M11" s="9" t="s">
        <v>54</v>
      </c>
      <c r="N11" s="9" t="s">
        <v>687</v>
      </c>
    </row>
    <row r="12" spans="1:16" ht="14.25" customHeight="1">
      <c r="A12" s="9" t="s">
        <v>690</v>
      </c>
      <c r="B12" s="9" t="s">
        <v>669</v>
      </c>
      <c r="C12" s="9" t="s">
        <v>670</v>
      </c>
      <c r="D12" s="9" t="s">
        <v>316</v>
      </c>
      <c r="E12" s="9" t="s">
        <v>7</v>
      </c>
      <c r="F12" s="9" t="s">
        <v>691</v>
      </c>
      <c r="G12" s="9" t="s">
        <v>249</v>
      </c>
      <c r="H12" s="9" t="s">
        <v>206</v>
      </c>
      <c r="I12" s="9" t="s">
        <v>19</v>
      </c>
      <c r="J12" s="9" t="s">
        <v>7</v>
      </c>
      <c r="K12" s="9" t="s">
        <v>692</v>
      </c>
      <c r="L12" s="9" t="s">
        <v>84</v>
      </c>
      <c r="M12" s="9" t="s">
        <v>287</v>
      </c>
      <c r="N12" s="9" t="s">
        <v>693</v>
      </c>
    </row>
    <row r="13" spans="1:16" ht="14.25" customHeight="1">
      <c r="A13" s="9" t="s">
        <v>694</v>
      </c>
      <c r="B13" s="9" t="s">
        <v>669</v>
      </c>
      <c r="C13" s="9" t="s">
        <v>675</v>
      </c>
      <c r="D13" s="9" t="s">
        <v>328</v>
      </c>
      <c r="E13" s="9" t="s">
        <v>7</v>
      </c>
      <c r="F13" s="9" t="s">
        <v>695</v>
      </c>
      <c r="G13" s="9" t="s">
        <v>114</v>
      </c>
      <c r="H13" s="9" t="s">
        <v>245</v>
      </c>
      <c r="I13" s="9" t="s">
        <v>11</v>
      </c>
      <c r="J13" s="9" t="s">
        <v>287</v>
      </c>
      <c r="K13" s="9" t="s">
        <v>400</v>
      </c>
      <c r="L13" s="9" t="s">
        <v>287</v>
      </c>
      <c r="M13" s="9" t="s">
        <v>296</v>
      </c>
      <c r="N13" s="9" t="s">
        <v>693</v>
      </c>
    </row>
    <row r="14" spans="1:16" ht="14.25" customHeight="1">
      <c r="A14" s="9" t="s">
        <v>696</v>
      </c>
      <c r="B14" s="9" t="s">
        <v>669</v>
      </c>
      <c r="C14" s="9" t="s">
        <v>678</v>
      </c>
      <c r="D14" s="9" t="s">
        <v>343</v>
      </c>
      <c r="E14" s="9" t="s">
        <v>7</v>
      </c>
      <c r="F14" s="9" t="s">
        <v>697</v>
      </c>
      <c r="G14" s="9" t="s">
        <v>166</v>
      </c>
      <c r="H14" s="9" t="s">
        <v>698</v>
      </c>
      <c r="I14" s="9" t="s">
        <v>30</v>
      </c>
      <c r="J14" s="9" t="s">
        <v>7</v>
      </c>
      <c r="K14" s="9" t="s">
        <v>699</v>
      </c>
      <c r="L14" s="9" t="s">
        <v>296</v>
      </c>
      <c r="M14" s="9" t="s">
        <v>305</v>
      </c>
      <c r="N14" s="9" t="s">
        <v>700</v>
      </c>
    </row>
    <row r="15" spans="1:16" ht="14.25" customHeight="1">
      <c r="A15" s="9" t="s">
        <v>701</v>
      </c>
      <c r="B15" s="9" t="s">
        <v>669</v>
      </c>
      <c r="C15" s="9" t="s">
        <v>670</v>
      </c>
      <c r="D15" s="9" t="s">
        <v>460</v>
      </c>
      <c r="E15" s="9" t="s">
        <v>7</v>
      </c>
      <c r="F15" s="9" t="s">
        <v>702</v>
      </c>
      <c r="G15" s="9" t="s">
        <v>180</v>
      </c>
      <c r="H15" s="9" t="s">
        <v>157</v>
      </c>
      <c r="I15" s="9" t="s">
        <v>7</v>
      </c>
      <c r="J15" s="9" t="s">
        <v>287</v>
      </c>
      <c r="K15" s="9" t="s">
        <v>703</v>
      </c>
      <c r="L15" s="9" t="s">
        <v>305</v>
      </c>
      <c r="M15" s="9" t="s">
        <v>54</v>
      </c>
      <c r="N15" s="9" t="s">
        <v>700</v>
      </c>
    </row>
    <row r="16" spans="1:16" ht="14.25" customHeight="1">
      <c r="A16" s="9" t="s">
        <v>704</v>
      </c>
      <c r="B16" s="9" t="s">
        <v>669</v>
      </c>
      <c r="C16" s="9" t="s">
        <v>675</v>
      </c>
      <c r="D16" s="9" t="s">
        <v>348</v>
      </c>
      <c r="E16" s="9" t="s">
        <v>7</v>
      </c>
      <c r="F16" s="9" t="s">
        <v>705</v>
      </c>
      <c r="G16" s="9" t="s">
        <v>193</v>
      </c>
      <c r="H16" s="9" t="s">
        <v>185</v>
      </c>
      <c r="I16" s="9"/>
      <c r="J16" s="9" t="s">
        <v>11</v>
      </c>
      <c r="K16" s="9" t="s">
        <v>706</v>
      </c>
      <c r="L16" s="9" t="s">
        <v>54</v>
      </c>
      <c r="M16" s="9" t="s">
        <v>287</v>
      </c>
      <c r="N16" s="9" t="s">
        <v>707</v>
      </c>
    </row>
    <row r="17" spans="1:14" ht="14.25" customHeight="1">
      <c r="A17" s="9" t="s">
        <v>708</v>
      </c>
      <c r="B17" s="9" t="s">
        <v>669</v>
      </c>
      <c r="C17" s="9" t="s">
        <v>678</v>
      </c>
      <c r="D17" s="9" t="s">
        <v>417</v>
      </c>
      <c r="E17" s="9" t="s">
        <v>7</v>
      </c>
      <c r="F17" s="9" t="s">
        <v>709</v>
      </c>
      <c r="G17" s="9" t="s">
        <v>236</v>
      </c>
      <c r="H17" s="9" t="s">
        <v>241</v>
      </c>
      <c r="I17" s="9" t="s">
        <v>23</v>
      </c>
      <c r="J17" s="9" t="s">
        <v>7</v>
      </c>
      <c r="K17" s="9" t="s">
        <v>710</v>
      </c>
      <c r="L17" s="9" t="s">
        <v>287</v>
      </c>
      <c r="M17" s="9" t="s">
        <v>296</v>
      </c>
      <c r="N17" s="9" t="s">
        <v>707</v>
      </c>
    </row>
    <row r="18" spans="1:14" ht="14.25" customHeight="1">
      <c r="A18" s="9" t="s">
        <v>711</v>
      </c>
      <c r="B18" s="9" t="s">
        <v>669</v>
      </c>
      <c r="C18" s="9" t="s">
        <v>670</v>
      </c>
      <c r="D18" s="9"/>
      <c r="E18" s="9" t="s">
        <v>7</v>
      </c>
      <c r="F18" s="9" t="s">
        <v>712</v>
      </c>
      <c r="G18" s="9" t="s">
        <v>713</v>
      </c>
      <c r="H18" s="9" t="s">
        <v>159</v>
      </c>
      <c r="I18" s="9" t="s">
        <v>7</v>
      </c>
      <c r="J18" s="9" t="s">
        <v>7</v>
      </c>
      <c r="K18" s="9" t="s">
        <v>681</v>
      </c>
      <c r="L18" s="9" t="s">
        <v>296</v>
      </c>
      <c r="M18" s="9" t="s">
        <v>305</v>
      </c>
      <c r="N18" s="9" t="s">
        <v>714</v>
      </c>
    </row>
    <row r="19" spans="1:14" ht="14.25" customHeight="1">
      <c r="A19" s="9" t="s">
        <v>715</v>
      </c>
      <c r="B19" s="9" t="s">
        <v>669</v>
      </c>
      <c r="C19" s="9" t="s">
        <v>675</v>
      </c>
      <c r="D19" s="9" t="s">
        <v>355</v>
      </c>
      <c r="E19" s="9" t="s">
        <v>7</v>
      </c>
      <c r="F19" s="9" t="s">
        <v>716</v>
      </c>
      <c r="G19" s="9" t="s">
        <v>174</v>
      </c>
      <c r="H19" s="9" t="s">
        <v>197</v>
      </c>
      <c r="I19" s="9" t="s">
        <v>11</v>
      </c>
      <c r="J19" s="9" t="s">
        <v>11</v>
      </c>
      <c r="K19" s="9" t="s">
        <v>441</v>
      </c>
      <c r="L19" s="9" t="s">
        <v>305</v>
      </c>
      <c r="M19" s="9" t="s">
        <v>54</v>
      </c>
      <c r="N19" s="9" t="s">
        <v>714</v>
      </c>
    </row>
    <row r="20" spans="1:14" ht="14.25" customHeight="1">
      <c r="A20" s="9" t="s">
        <v>717</v>
      </c>
      <c r="B20" s="9" t="s">
        <v>669</v>
      </c>
      <c r="C20" s="9" t="s">
        <v>678</v>
      </c>
      <c r="D20" s="9" t="s">
        <v>366</v>
      </c>
      <c r="E20" s="9" t="s">
        <v>7</v>
      </c>
      <c r="F20" s="9" t="s">
        <v>718</v>
      </c>
      <c r="G20" s="9" t="s">
        <v>234</v>
      </c>
      <c r="H20" s="9" t="s">
        <v>135</v>
      </c>
      <c r="I20" s="9" t="s">
        <v>287</v>
      </c>
      <c r="J20" s="9" t="s">
        <v>427</v>
      </c>
      <c r="K20" s="9" t="s">
        <v>558</v>
      </c>
      <c r="L20" s="9" t="s">
        <v>54</v>
      </c>
      <c r="M20" s="9" t="s">
        <v>287</v>
      </c>
      <c r="N20" s="9" t="s">
        <v>719</v>
      </c>
    </row>
    <row r="21" spans="1:14" ht="14.25" customHeight="1">
      <c r="A21" s="9" t="s">
        <v>720</v>
      </c>
      <c r="B21" s="9" t="s">
        <v>669</v>
      </c>
      <c r="C21" s="9" t="s">
        <v>670</v>
      </c>
      <c r="D21" s="9" t="s">
        <v>556</v>
      </c>
      <c r="E21" s="9" t="s">
        <v>7</v>
      </c>
      <c r="F21" s="9" t="s">
        <v>721</v>
      </c>
      <c r="G21" s="9" t="s">
        <v>219</v>
      </c>
      <c r="H21" s="9" t="s">
        <v>252</v>
      </c>
      <c r="I21" s="9" t="s">
        <v>7</v>
      </c>
      <c r="J21" s="9" t="s">
        <v>7</v>
      </c>
      <c r="K21" s="9" t="s">
        <v>722</v>
      </c>
      <c r="L21" s="9" t="s">
        <v>287</v>
      </c>
      <c r="M21" s="9" t="s">
        <v>296</v>
      </c>
      <c r="N21" s="9" t="s">
        <v>719</v>
      </c>
    </row>
    <row r="22" spans="1:14" ht="14.25" customHeight="1">
      <c r="A22" s="9" t="s">
        <v>723</v>
      </c>
      <c r="B22" s="9" t="s">
        <v>669</v>
      </c>
      <c r="C22" s="9" t="s">
        <v>675</v>
      </c>
      <c r="D22" s="9" t="s">
        <v>724</v>
      </c>
      <c r="E22" s="9" t="s">
        <v>7</v>
      </c>
      <c r="F22" s="9" t="s">
        <v>725</v>
      </c>
      <c r="G22" s="9" t="s">
        <v>163</v>
      </c>
      <c r="H22" s="9" t="s">
        <v>222</v>
      </c>
      <c r="I22" s="9" t="s">
        <v>15</v>
      </c>
      <c r="J22" s="9" t="s">
        <v>7</v>
      </c>
      <c r="K22" s="9" t="s">
        <v>726</v>
      </c>
      <c r="L22" s="9" t="s">
        <v>296</v>
      </c>
      <c r="M22" s="9" t="s">
        <v>305</v>
      </c>
      <c r="N22" s="9" t="s">
        <v>727</v>
      </c>
    </row>
    <row r="23" spans="1:14" ht="14.25" customHeight="1">
      <c r="A23" s="9" t="s">
        <v>728</v>
      </c>
      <c r="B23" s="9" t="s">
        <v>669</v>
      </c>
      <c r="C23" s="9" t="s">
        <v>678</v>
      </c>
      <c r="D23" s="9" t="s">
        <v>729</v>
      </c>
      <c r="E23" s="9" t="s">
        <v>7</v>
      </c>
      <c r="F23" s="9" t="s">
        <v>730</v>
      </c>
      <c r="G23" s="9" t="s">
        <v>178</v>
      </c>
      <c r="H23" s="9" t="s">
        <v>202</v>
      </c>
      <c r="I23" s="9" t="s">
        <v>7</v>
      </c>
      <c r="J23" s="9" t="s">
        <v>19</v>
      </c>
      <c r="K23" s="9" t="s">
        <v>731</v>
      </c>
      <c r="L23" s="9" t="s">
        <v>305</v>
      </c>
      <c r="M23" s="9" t="s">
        <v>54</v>
      </c>
      <c r="N23" s="9" t="s">
        <v>727</v>
      </c>
    </row>
    <row r="24" spans="1:14" ht="14.25" customHeight="1">
      <c r="A24" s="9" t="s">
        <v>732</v>
      </c>
      <c r="B24" s="9" t="s">
        <v>669</v>
      </c>
      <c r="C24" s="9" t="s">
        <v>670</v>
      </c>
      <c r="D24" s="9" t="s">
        <v>733</v>
      </c>
      <c r="E24" s="9" t="s">
        <v>7</v>
      </c>
      <c r="F24" s="9" t="s">
        <v>734</v>
      </c>
      <c r="G24" s="9" t="s">
        <v>112</v>
      </c>
      <c r="H24" s="9" t="s">
        <v>110</v>
      </c>
      <c r="I24" s="9" t="s">
        <v>15</v>
      </c>
      <c r="J24" s="9" t="s">
        <v>287</v>
      </c>
      <c r="K24" s="9" t="s">
        <v>735</v>
      </c>
      <c r="L24" s="9" t="s">
        <v>54</v>
      </c>
      <c r="M24" s="9" t="s">
        <v>287</v>
      </c>
      <c r="N24" s="9" t="s">
        <v>736</v>
      </c>
    </row>
    <row r="25" spans="1:14" ht="14.25" customHeight="1">
      <c r="A25" s="9" t="s">
        <v>737</v>
      </c>
      <c r="B25" s="9" t="s">
        <v>669</v>
      </c>
      <c r="C25" s="9" t="s">
        <v>675</v>
      </c>
      <c r="D25" s="9" t="s">
        <v>738</v>
      </c>
      <c r="E25" s="9" t="s">
        <v>7</v>
      </c>
      <c r="F25" s="9" t="s">
        <v>739</v>
      </c>
      <c r="G25" s="9" t="s">
        <v>116</v>
      </c>
      <c r="H25" s="9" t="s">
        <v>740</v>
      </c>
      <c r="I25" s="9" t="s">
        <v>15</v>
      </c>
      <c r="J25" s="9" t="s">
        <v>7</v>
      </c>
      <c r="K25" s="9" t="s">
        <v>741</v>
      </c>
      <c r="L25" s="9" t="s">
        <v>287</v>
      </c>
      <c r="M25" s="9" t="s">
        <v>296</v>
      </c>
      <c r="N25" s="9" t="s">
        <v>736</v>
      </c>
    </row>
    <row r="26" spans="1:14" ht="14.25" customHeight="1">
      <c r="A26" s="9" t="s">
        <v>742</v>
      </c>
      <c r="B26" s="9" t="s">
        <v>669</v>
      </c>
      <c r="C26" s="9" t="s">
        <v>678</v>
      </c>
      <c r="D26" s="9" t="s">
        <v>743</v>
      </c>
      <c r="E26" s="9" t="s">
        <v>7</v>
      </c>
      <c r="F26" s="9" t="s">
        <v>744</v>
      </c>
      <c r="G26" s="9" t="s">
        <v>212</v>
      </c>
      <c r="H26" s="9" t="s">
        <v>154</v>
      </c>
      <c r="I26" s="9"/>
      <c r="J26" s="9" t="s">
        <v>7</v>
      </c>
      <c r="K26" s="9" t="s">
        <v>722</v>
      </c>
      <c r="L26" s="9" t="s">
        <v>296</v>
      </c>
      <c r="M26" s="9" t="s">
        <v>305</v>
      </c>
      <c r="N26" s="9" t="s">
        <v>745</v>
      </c>
    </row>
    <row r="27" spans="1:14" ht="14.25" customHeight="1">
      <c r="A27" s="9" t="s">
        <v>746</v>
      </c>
      <c r="B27" s="9" t="s">
        <v>669</v>
      </c>
      <c r="C27" s="9" t="s">
        <v>670</v>
      </c>
      <c r="D27" s="9" t="s">
        <v>747</v>
      </c>
      <c r="E27" s="9" t="s">
        <v>7</v>
      </c>
      <c r="F27" s="9" t="s">
        <v>748</v>
      </c>
      <c r="G27" s="9" t="s">
        <v>254</v>
      </c>
      <c r="H27" s="9" t="s">
        <v>136</v>
      </c>
      <c r="I27" s="9" t="s">
        <v>7</v>
      </c>
      <c r="J27" s="9" t="s">
        <v>15</v>
      </c>
      <c r="K27" s="9"/>
      <c r="L27" s="9" t="s">
        <v>305</v>
      </c>
      <c r="M27" s="9" t="s">
        <v>54</v>
      </c>
      <c r="N27" s="9" t="s">
        <v>745</v>
      </c>
    </row>
    <row r="28" spans="1:14" ht="14.25" customHeight="1">
      <c r="A28" s="9" t="s">
        <v>749</v>
      </c>
      <c r="B28" s="9" t="s">
        <v>669</v>
      </c>
      <c r="C28" s="9" t="s">
        <v>675</v>
      </c>
      <c r="D28" s="9" t="s">
        <v>750</v>
      </c>
      <c r="E28" s="9" t="s">
        <v>7</v>
      </c>
      <c r="F28" s="9" t="s">
        <v>751</v>
      </c>
      <c r="G28" s="9" t="s">
        <v>161</v>
      </c>
      <c r="H28" s="9" t="s">
        <v>140</v>
      </c>
      <c r="I28" s="9" t="s">
        <v>19</v>
      </c>
      <c r="J28" s="9" t="s">
        <v>11</v>
      </c>
      <c r="K28" s="9" t="s">
        <v>752</v>
      </c>
      <c r="L28" s="9" t="s">
        <v>54</v>
      </c>
      <c r="M28" s="9" t="s">
        <v>287</v>
      </c>
      <c r="N28" s="9" t="s">
        <v>753</v>
      </c>
    </row>
    <row r="29" spans="1:14" ht="14.25" customHeight="1">
      <c r="A29" s="9" t="s">
        <v>754</v>
      </c>
      <c r="B29" s="9" t="s">
        <v>669</v>
      </c>
      <c r="C29" s="9" t="s">
        <v>678</v>
      </c>
      <c r="D29" s="9" t="s">
        <v>64</v>
      </c>
      <c r="E29" s="9" t="s">
        <v>11</v>
      </c>
      <c r="F29" s="9" t="s">
        <v>755</v>
      </c>
      <c r="G29" s="9" t="s">
        <v>756</v>
      </c>
      <c r="H29" s="9" t="s">
        <v>226</v>
      </c>
      <c r="I29" s="9" t="s">
        <v>7</v>
      </c>
      <c r="J29" s="9" t="s">
        <v>7</v>
      </c>
      <c r="K29" s="9" t="s">
        <v>600</v>
      </c>
      <c r="L29" s="9" t="s">
        <v>287</v>
      </c>
      <c r="M29" s="9" t="s">
        <v>296</v>
      </c>
      <c r="N29" s="9" t="s">
        <v>673</v>
      </c>
    </row>
    <row r="30" spans="1:14" ht="14.25" customHeight="1">
      <c r="A30" s="9" t="s">
        <v>757</v>
      </c>
      <c r="B30" s="9" t="s">
        <v>669</v>
      </c>
      <c r="C30" s="9" t="s">
        <v>670</v>
      </c>
      <c r="D30" s="9" t="s">
        <v>64</v>
      </c>
      <c r="E30" s="9" t="s">
        <v>11</v>
      </c>
      <c r="F30" s="9" t="s">
        <v>758</v>
      </c>
      <c r="G30" s="9" t="s">
        <v>190</v>
      </c>
      <c r="H30" s="9" t="s">
        <v>229</v>
      </c>
      <c r="I30" s="9" t="s">
        <v>7</v>
      </c>
      <c r="J30" s="9" t="s">
        <v>287</v>
      </c>
      <c r="K30" s="9" t="s">
        <v>703</v>
      </c>
      <c r="L30" s="9" t="s">
        <v>572</v>
      </c>
      <c r="M30" s="9" t="s">
        <v>305</v>
      </c>
      <c r="N30" s="9" t="s">
        <v>673</v>
      </c>
    </row>
    <row r="31" spans="1:14" ht="14.25" customHeight="1">
      <c r="A31" s="9" t="s">
        <v>759</v>
      </c>
      <c r="B31" s="9" t="s">
        <v>669</v>
      </c>
      <c r="C31" s="9" t="s">
        <v>675</v>
      </c>
      <c r="D31" s="9" t="s">
        <v>301</v>
      </c>
      <c r="E31" s="9" t="s">
        <v>11</v>
      </c>
      <c r="F31" s="9" t="s">
        <v>760</v>
      </c>
      <c r="G31" s="9" t="s">
        <v>238</v>
      </c>
      <c r="H31" s="9" t="s">
        <v>120</v>
      </c>
      <c r="I31" s="9" t="s">
        <v>19</v>
      </c>
      <c r="J31" s="9" t="s">
        <v>7</v>
      </c>
      <c r="K31" s="9" t="s">
        <v>761</v>
      </c>
      <c r="L31" s="9" t="s">
        <v>305</v>
      </c>
      <c r="M31" s="9" t="s">
        <v>54</v>
      </c>
      <c r="N31" s="9" t="s">
        <v>682</v>
      </c>
    </row>
    <row r="32" spans="1:14" ht="14.25" customHeight="1">
      <c r="A32" s="9" t="s">
        <v>762</v>
      </c>
      <c r="B32" s="9" t="s">
        <v>669</v>
      </c>
      <c r="C32" s="9" t="s">
        <v>678</v>
      </c>
      <c r="D32" s="9" t="s">
        <v>293</v>
      </c>
      <c r="E32" s="9" t="s">
        <v>11</v>
      </c>
      <c r="F32" s="9" t="s">
        <v>763</v>
      </c>
      <c r="G32" s="9" t="s">
        <v>130</v>
      </c>
      <c r="H32" s="9" t="s">
        <v>214</v>
      </c>
      <c r="I32" s="9" t="s">
        <v>26</v>
      </c>
      <c r="J32" s="9" t="s">
        <v>287</v>
      </c>
      <c r="K32" s="9" t="s">
        <v>764</v>
      </c>
      <c r="L32" s="9" t="s">
        <v>84</v>
      </c>
      <c r="M32" s="9" t="s">
        <v>287</v>
      </c>
      <c r="N32" s="9" t="s">
        <v>682</v>
      </c>
    </row>
    <row r="33" spans="1:14" ht="14.25" customHeight="1">
      <c r="A33" s="9" t="s">
        <v>765</v>
      </c>
      <c r="B33" s="9" t="s">
        <v>669</v>
      </c>
      <c r="C33" s="9" t="s">
        <v>670</v>
      </c>
      <c r="D33" s="9" t="s">
        <v>766</v>
      </c>
      <c r="E33" s="9" t="s">
        <v>7</v>
      </c>
      <c r="F33" s="9" t="s">
        <v>767</v>
      </c>
      <c r="G33" s="9" t="s">
        <v>168</v>
      </c>
      <c r="H33" s="9" t="s">
        <v>204</v>
      </c>
      <c r="I33" s="9" t="s">
        <v>7</v>
      </c>
      <c r="J33" s="9" t="s">
        <v>287</v>
      </c>
      <c r="K33" s="9" t="s">
        <v>382</v>
      </c>
      <c r="L33" s="9" t="s">
        <v>287</v>
      </c>
      <c r="M33" s="9" t="s">
        <v>296</v>
      </c>
      <c r="N33" s="9" t="s">
        <v>753</v>
      </c>
    </row>
    <row r="34" spans="1:14" ht="14.25" customHeight="1">
      <c r="A34" s="9" t="s">
        <v>768</v>
      </c>
      <c r="B34" s="9" t="s">
        <v>669</v>
      </c>
      <c r="C34" s="9" t="s">
        <v>675</v>
      </c>
      <c r="D34" s="9" t="s">
        <v>309</v>
      </c>
      <c r="E34" s="9" t="s">
        <v>11</v>
      </c>
      <c r="F34" s="9" t="s">
        <v>769</v>
      </c>
      <c r="G34" s="9" t="s">
        <v>220</v>
      </c>
      <c r="H34" s="9" t="s">
        <v>191</v>
      </c>
      <c r="I34" s="9" t="s">
        <v>287</v>
      </c>
      <c r="J34" s="9" t="s">
        <v>427</v>
      </c>
      <c r="K34" s="9" t="s">
        <v>341</v>
      </c>
      <c r="L34" s="9" t="s">
        <v>296</v>
      </c>
      <c r="M34" s="9" t="s">
        <v>305</v>
      </c>
      <c r="N34" s="9" t="s">
        <v>687</v>
      </c>
    </row>
    <row r="35" spans="1:14" ht="14.25" customHeight="1">
      <c r="A35" s="9" t="s">
        <v>770</v>
      </c>
      <c r="B35" s="9" t="s">
        <v>669</v>
      </c>
      <c r="C35" s="9" t="s">
        <v>678</v>
      </c>
      <c r="D35" s="9" t="s">
        <v>322</v>
      </c>
      <c r="E35" s="9" t="s">
        <v>11</v>
      </c>
      <c r="F35" s="9" t="s">
        <v>771</v>
      </c>
      <c r="G35" s="9" t="s">
        <v>125</v>
      </c>
      <c r="H35" s="9" t="s">
        <v>170</v>
      </c>
      <c r="I35" s="9" t="s">
        <v>15</v>
      </c>
      <c r="J35" s="9" t="s">
        <v>287</v>
      </c>
      <c r="K35" s="9" t="s">
        <v>772</v>
      </c>
      <c r="L35" s="9" t="s">
        <v>305</v>
      </c>
      <c r="M35" s="9" t="s">
        <v>54</v>
      </c>
      <c r="N35" s="9" t="s">
        <v>687</v>
      </c>
    </row>
    <row r="36" spans="1:14" ht="14.25" customHeight="1">
      <c r="A36" s="9" t="s">
        <v>773</v>
      </c>
      <c r="B36" s="9" t="s">
        <v>669</v>
      </c>
      <c r="C36" s="9" t="s">
        <v>670</v>
      </c>
      <c r="D36" s="9" t="s">
        <v>316</v>
      </c>
      <c r="E36" s="9" t="s">
        <v>11</v>
      </c>
      <c r="F36" s="9" t="s">
        <v>774</v>
      </c>
      <c r="G36" s="9" t="s">
        <v>250</v>
      </c>
      <c r="H36" s="9" t="s">
        <v>114</v>
      </c>
      <c r="I36" s="9"/>
      <c r="J36" s="9" t="s">
        <v>287</v>
      </c>
      <c r="K36" s="9" t="s">
        <v>672</v>
      </c>
      <c r="L36" s="9" t="s">
        <v>84</v>
      </c>
      <c r="M36" s="9" t="s">
        <v>287</v>
      </c>
      <c r="N36" s="9" t="s">
        <v>693</v>
      </c>
    </row>
    <row r="37" spans="1:14" ht="14.25" customHeight="1">
      <c r="A37" s="9" t="s">
        <v>775</v>
      </c>
      <c r="B37" s="9" t="s">
        <v>669</v>
      </c>
      <c r="C37" s="9" t="s">
        <v>675</v>
      </c>
      <c r="D37" s="9" t="s">
        <v>328</v>
      </c>
      <c r="E37" s="9" t="s">
        <v>11</v>
      </c>
      <c r="F37" s="9" t="s">
        <v>776</v>
      </c>
      <c r="G37" s="9" t="s">
        <v>243</v>
      </c>
      <c r="H37" s="9" t="s">
        <v>777</v>
      </c>
      <c r="I37" s="9" t="s">
        <v>287</v>
      </c>
      <c r="J37" s="9" t="s">
        <v>7</v>
      </c>
      <c r="K37" s="9" t="s">
        <v>295</v>
      </c>
      <c r="L37" s="9" t="s">
        <v>287</v>
      </c>
      <c r="M37" s="9" t="s">
        <v>296</v>
      </c>
      <c r="N37" s="9" t="s">
        <v>693</v>
      </c>
    </row>
    <row r="38" spans="1:14" ht="14.25" customHeight="1">
      <c r="A38" s="9" t="s">
        <v>778</v>
      </c>
      <c r="B38" s="9" t="s">
        <v>669</v>
      </c>
      <c r="C38" s="9" t="s">
        <v>678</v>
      </c>
      <c r="D38" s="9" t="s">
        <v>343</v>
      </c>
      <c r="E38" s="9" t="s">
        <v>11</v>
      </c>
      <c r="F38" s="9" t="s">
        <v>779</v>
      </c>
      <c r="G38" s="9" t="s">
        <v>166</v>
      </c>
      <c r="H38" s="9" t="s">
        <v>181</v>
      </c>
      <c r="I38" s="9" t="s">
        <v>11</v>
      </c>
      <c r="J38" s="9" t="s">
        <v>7</v>
      </c>
      <c r="K38" s="9" t="s">
        <v>419</v>
      </c>
      <c r="L38" s="9" t="s">
        <v>296</v>
      </c>
      <c r="M38" s="9" t="s">
        <v>305</v>
      </c>
      <c r="N38" s="9" t="s">
        <v>700</v>
      </c>
    </row>
    <row r="39" spans="1:14" ht="14.25" customHeight="1">
      <c r="A39" s="9" t="s">
        <v>780</v>
      </c>
      <c r="B39" s="9" t="s">
        <v>669</v>
      </c>
      <c r="C39" s="9" t="s">
        <v>670</v>
      </c>
      <c r="D39" s="9" t="s">
        <v>460</v>
      </c>
      <c r="E39" s="9" t="s">
        <v>11</v>
      </c>
      <c r="F39" s="9" t="s">
        <v>781</v>
      </c>
      <c r="G39" s="9" t="s">
        <v>157</v>
      </c>
      <c r="H39" s="9" t="s">
        <v>142</v>
      </c>
      <c r="I39" s="9" t="s">
        <v>287</v>
      </c>
      <c r="J39" s="9" t="s">
        <v>287</v>
      </c>
      <c r="K39" s="9" t="s">
        <v>782</v>
      </c>
      <c r="L39" s="9" t="s">
        <v>305</v>
      </c>
      <c r="M39" s="9" t="s">
        <v>54</v>
      </c>
      <c r="N39" s="9" t="s">
        <v>700</v>
      </c>
    </row>
    <row r="40" spans="1:14" ht="14.25" customHeight="1">
      <c r="A40" s="9" t="s">
        <v>783</v>
      </c>
      <c r="B40" s="9" t="s">
        <v>669</v>
      </c>
      <c r="C40" s="9" t="s">
        <v>675</v>
      </c>
      <c r="D40" s="9" t="s">
        <v>348</v>
      </c>
      <c r="E40" s="9" t="s">
        <v>11</v>
      </c>
      <c r="F40" s="9" t="s">
        <v>784</v>
      </c>
      <c r="G40" s="9" t="s">
        <v>193</v>
      </c>
      <c r="H40" s="9" t="s">
        <v>236</v>
      </c>
      <c r="I40" s="9" t="s">
        <v>23</v>
      </c>
      <c r="J40" s="9" t="s">
        <v>7</v>
      </c>
      <c r="K40" s="9" t="s">
        <v>785</v>
      </c>
      <c r="L40" s="9" t="s">
        <v>54</v>
      </c>
      <c r="M40" s="9" t="s">
        <v>287</v>
      </c>
      <c r="N40" s="9" t="s">
        <v>707</v>
      </c>
    </row>
    <row r="41" spans="1:14" ht="14.25" customHeight="1">
      <c r="A41" s="9" t="s">
        <v>786</v>
      </c>
      <c r="B41" s="9" t="s">
        <v>669</v>
      </c>
      <c r="C41" s="9" t="s">
        <v>678</v>
      </c>
      <c r="D41" s="9" t="s">
        <v>417</v>
      </c>
      <c r="E41" s="9" t="s">
        <v>11</v>
      </c>
      <c r="F41" s="9" t="s">
        <v>787</v>
      </c>
      <c r="G41" s="9" t="s">
        <v>788</v>
      </c>
      <c r="H41" s="9" t="s">
        <v>185</v>
      </c>
      <c r="I41" s="9" t="s">
        <v>287</v>
      </c>
      <c r="J41" s="9" t="s">
        <v>19</v>
      </c>
      <c r="K41" s="9" t="s">
        <v>789</v>
      </c>
      <c r="L41" s="9" t="s">
        <v>287</v>
      </c>
      <c r="M41" s="9" t="s">
        <v>296</v>
      </c>
      <c r="N41" s="9" t="s">
        <v>707</v>
      </c>
    </row>
    <row r="42" spans="1:14" ht="14.25" customHeight="1">
      <c r="A42" s="9" t="s">
        <v>790</v>
      </c>
      <c r="B42" s="9" t="s">
        <v>669</v>
      </c>
      <c r="C42" s="9" t="s">
        <v>670</v>
      </c>
      <c r="D42" s="9" t="s">
        <v>359</v>
      </c>
      <c r="E42" s="9" t="s">
        <v>11</v>
      </c>
      <c r="F42" s="9" t="s">
        <v>791</v>
      </c>
      <c r="G42" s="9" t="s">
        <v>118</v>
      </c>
      <c r="H42" s="9" t="s">
        <v>792</v>
      </c>
      <c r="I42" s="9" t="s">
        <v>287</v>
      </c>
      <c r="J42" s="9" t="s">
        <v>287</v>
      </c>
      <c r="K42" s="9" t="s">
        <v>449</v>
      </c>
      <c r="L42" s="9" t="s">
        <v>296</v>
      </c>
      <c r="M42" s="9" t="s">
        <v>305</v>
      </c>
      <c r="N42" s="9" t="s">
        <v>714</v>
      </c>
    </row>
    <row r="43" spans="1:14" ht="14.25" customHeight="1">
      <c r="A43" s="9" t="s">
        <v>793</v>
      </c>
      <c r="B43" s="9" t="s">
        <v>669</v>
      </c>
      <c r="C43" s="9" t="s">
        <v>675</v>
      </c>
      <c r="D43" s="9" t="s">
        <v>355</v>
      </c>
      <c r="E43" s="9" t="s">
        <v>11</v>
      </c>
      <c r="F43" s="9" t="s">
        <v>794</v>
      </c>
      <c r="G43" s="9" t="s">
        <v>197</v>
      </c>
      <c r="H43" s="9" t="s">
        <v>159</v>
      </c>
      <c r="I43" s="9" t="s">
        <v>7</v>
      </c>
      <c r="J43" s="9" t="s">
        <v>15</v>
      </c>
      <c r="K43" s="9" t="s">
        <v>795</v>
      </c>
      <c r="L43" s="9" t="s">
        <v>305</v>
      </c>
      <c r="M43" s="9" t="s">
        <v>54</v>
      </c>
      <c r="N43" s="9" t="s">
        <v>714</v>
      </c>
    </row>
    <row r="44" spans="1:14" ht="14.25" customHeight="1">
      <c r="A44" s="9" t="s">
        <v>796</v>
      </c>
      <c r="B44" s="9" t="s">
        <v>669</v>
      </c>
      <c r="C44" s="9" t="s">
        <v>678</v>
      </c>
      <c r="D44" s="9" t="s">
        <v>366</v>
      </c>
      <c r="E44" s="9" t="s">
        <v>11</v>
      </c>
      <c r="F44" s="9" t="s">
        <v>797</v>
      </c>
      <c r="G44" s="9" t="s">
        <v>234</v>
      </c>
      <c r="H44" s="9" t="s">
        <v>219</v>
      </c>
      <c r="I44" s="9" t="s">
        <v>19</v>
      </c>
      <c r="J44" s="9" t="s">
        <v>287</v>
      </c>
      <c r="K44" s="9" t="s">
        <v>798</v>
      </c>
      <c r="L44" s="9" t="s">
        <v>54</v>
      </c>
      <c r="M44" s="9" t="s">
        <v>287</v>
      </c>
      <c r="N44" s="9" t="s">
        <v>719</v>
      </c>
    </row>
    <row r="45" spans="1:14" ht="14.25" customHeight="1">
      <c r="A45" s="9" t="s">
        <v>799</v>
      </c>
      <c r="B45" s="9" t="s">
        <v>669</v>
      </c>
      <c r="C45" s="9" t="s">
        <v>670</v>
      </c>
      <c r="D45" s="9" t="s">
        <v>556</v>
      </c>
      <c r="E45" s="9" t="s">
        <v>11</v>
      </c>
      <c r="F45" s="9" t="s">
        <v>800</v>
      </c>
      <c r="G45" s="9" t="s">
        <v>252</v>
      </c>
      <c r="H45" s="9" t="s">
        <v>132</v>
      </c>
      <c r="I45" s="9" t="s">
        <v>395</v>
      </c>
      <c r="J45" s="9" t="s">
        <v>11</v>
      </c>
      <c r="K45" s="9" t="s">
        <v>425</v>
      </c>
      <c r="L45" s="9" t="s">
        <v>287</v>
      </c>
      <c r="M45" s="9" t="s">
        <v>296</v>
      </c>
      <c r="N45" s="9" t="s">
        <v>719</v>
      </c>
    </row>
    <row r="46" spans="1:14" ht="14.25" customHeight="1">
      <c r="A46" s="9" t="s">
        <v>801</v>
      </c>
      <c r="B46" s="9" t="s">
        <v>669</v>
      </c>
      <c r="C46" s="9" t="s">
        <v>675</v>
      </c>
      <c r="D46" s="9" t="s">
        <v>724</v>
      </c>
      <c r="E46" s="9" t="s">
        <v>11</v>
      </c>
      <c r="F46" s="9" t="s">
        <v>802</v>
      </c>
      <c r="G46" s="9" t="s">
        <v>803</v>
      </c>
      <c r="H46" s="9" t="s">
        <v>178</v>
      </c>
      <c r="I46" s="9"/>
      <c r="J46" s="9" t="s">
        <v>287</v>
      </c>
      <c r="K46" s="9" t="s">
        <v>804</v>
      </c>
      <c r="L46" s="9" t="s">
        <v>296</v>
      </c>
      <c r="M46" s="9" t="s">
        <v>305</v>
      </c>
      <c r="N46" s="9" t="s">
        <v>727</v>
      </c>
    </row>
    <row r="47" spans="1:14" ht="14.25" customHeight="1">
      <c r="A47" s="9" t="s">
        <v>805</v>
      </c>
      <c r="B47" s="9" t="s">
        <v>669</v>
      </c>
      <c r="C47" s="9" t="s">
        <v>678</v>
      </c>
      <c r="D47" s="9" t="s">
        <v>729</v>
      </c>
      <c r="E47" s="9" t="s">
        <v>11</v>
      </c>
      <c r="F47" s="9" t="s">
        <v>806</v>
      </c>
      <c r="G47" s="9" t="s">
        <v>202</v>
      </c>
      <c r="H47" s="9" t="s">
        <v>222</v>
      </c>
      <c r="I47" s="9" t="s">
        <v>15</v>
      </c>
      <c r="J47" s="9" t="s">
        <v>11</v>
      </c>
      <c r="K47" s="9" t="s">
        <v>807</v>
      </c>
      <c r="L47" s="9" t="s">
        <v>305</v>
      </c>
      <c r="M47" s="9" t="s">
        <v>54</v>
      </c>
      <c r="N47" s="9" t="s">
        <v>727</v>
      </c>
    </row>
    <row r="48" spans="1:14" ht="14.25" customHeight="1">
      <c r="A48" s="9" t="s">
        <v>808</v>
      </c>
      <c r="B48" s="9" t="s">
        <v>669</v>
      </c>
      <c r="C48" s="9" t="s">
        <v>670</v>
      </c>
      <c r="D48" s="9" t="s">
        <v>733</v>
      </c>
      <c r="E48" s="9" t="s">
        <v>11</v>
      </c>
      <c r="F48" s="9" t="s">
        <v>809</v>
      </c>
      <c r="G48" s="9" t="s">
        <v>112</v>
      </c>
      <c r="H48" s="9" t="s">
        <v>116</v>
      </c>
      <c r="I48" s="9" t="s">
        <v>11</v>
      </c>
      <c r="J48" s="9" t="s">
        <v>427</v>
      </c>
      <c r="K48" s="9" t="s">
        <v>400</v>
      </c>
      <c r="L48" s="9" t="s">
        <v>54</v>
      </c>
      <c r="M48" s="9" t="s">
        <v>287</v>
      </c>
      <c r="N48" s="9" t="s">
        <v>736</v>
      </c>
    </row>
    <row r="49" spans="1:14" ht="14.25" customHeight="1">
      <c r="A49" s="9" t="s">
        <v>810</v>
      </c>
      <c r="B49" s="9" t="s">
        <v>669</v>
      </c>
      <c r="C49" s="9" t="s">
        <v>675</v>
      </c>
      <c r="D49" s="9" t="s">
        <v>738</v>
      </c>
      <c r="E49" s="9" t="s">
        <v>11</v>
      </c>
      <c r="F49" s="9" t="s">
        <v>811</v>
      </c>
      <c r="G49" s="9" t="s">
        <v>187</v>
      </c>
      <c r="H49" s="9" t="s">
        <v>110</v>
      </c>
      <c r="I49" s="9" t="s">
        <v>7</v>
      </c>
      <c r="J49" s="9" t="s">
        <v>11</v>
      </c>
      <c r="K49" s="9" t="s">
        <v>369</v>
      </c>
      <c r="L49" s="9" t="s">
        <v>287</v>
      </c>
      <c r="M49" s="9" t="s">
        <v>296</v>
      </c>
      <c r="N49" s="9" t="s">
        <v>736</v>
      </c>
    </row>
    <row r="50" spans="1:14" ht="14.25" customHeight="1">
      <c r="A50" s="9" t="s">
        <v>812</v>
      </c>
      <c r="B50" s="9" t="s">
        <v>669</v>
      </c>
      <c r="C50" s="9" t="s">
        <v>678</v>
      </c>
      <c r="D50" s="9" t="s">
        <v>743</v>
      </c>
      <c r="E50" s="9" t="s">
        <v>11</v>
      </c>
      <c r="F50" s="9" t="s">
        <v>813</v>
      </c>
      <c r="G50" s="9" t="s">
        <v>212</v>
      </c>
      <c r="H50" s="9" t="s">
        <v>254</v>
      </c>
      <c r="I50" s="9" t="s">
        <v>23</v>
      </c>
      <c r="J50" s="9" t="s">
        <v>287</v>
      </c>
      <c r="K50" s="9" t="s">
        <v>83</v>
      </c>
      <c r="L50" s="9" t="s">
        <v>296</v>
      </c>
      <c r="M50" s="9" t="s">
        <v>305</v>
      </c>
      <c r="N50" s="9" t="s">
        <v>745</v>
      </c>
    </row>
    <row r="51" spans="1:14" ht="14.25" customHeight="1">
      <c r="A51" s="9" t="s">
        <v>814</v>
      </c>
      <c r="B51" s="9" t="s">
        <v>669</v>
      </c>
      <c r="C51" s="9" t="s">
        <v>670</v>
      </c>
      <c r="D51" s="9" t="s">
        <v>747</v>
      </c>
      <c r="E51" s="9" t="s">
        <v>11</v>
      </c>
      <c r="F51" s="9" t="s">
        <v>815</v>
      </c>
      <c r="G51" s="9" t="s">
        <v>136</v>
      </c>
      <c r="H51" s="9" t="s">
        <v>150</v>
      </c>
      <c r="I51" s="9" t="s">
        <v>7</v>
      </c>
      <c r="J51" s="9" t="s">
        <v>287</v>
      </c>
      <c r="K51" s="9" t="s">
        <v>351</v>
      </c>
      <c r="L51" s="9" t="s">
        <v>305</v>
      </c>
      <c r="M51" s="9" t="s">
        <v>54</v>
      </c>
      <c r="N51" s="9" t="s">
        <v>745</v>
      </c>
    </row>
    <row r="52" spans="1:14" ht="14.25" customHeight="1">
      <c r="A52" s="9" t="s">
        <v>816</v>
      </c>
      <c r="B52" s="9" t="s">
        <v>669</v>
      </c>
      <c r="C52" s="9" t="s">
        <v>675</v>
      </c>
      <c r="D52" s="9" t="s">
        <v>750</v>
      </c>
      <c r="E52" s="9" t="s">
        <v>11</v>
      </c>
      <c r="F52" s="9" t="s">
        <v>817</v>
      </c>
      <c r="G52" s="9" t="s">
        <v>161</v>
      </c>
      <c r="H52" s="9" t="s">
        <v>168</v>
      </c>
      <c r="I52" s="9" t="s">
        <v>287</v>
      </c>
      <c r="J52" s="9" t="s">
        <v>287</v>
      </c>
      <c r="K52" s="9" t="s">
        <v>449</v>
      </c>
      <c r="L52" s="9" t="s">
        <v>54</v>
      </c>
      <c r="M52" s="9" t="s">
        <v>287</v>
      </c>
      <c r="N52" s="9" t="s">
        <v>753</v>
      </c>
    </row>
    <row r="53" spans="1:14" ht="14.25" customHeight="1">
      <c r="A53" s="9" t="s">
        <v>818</v>
      </c>
      <c r="B53" s="9" t="s">
        <v>669</v>
      </c>
      <c r="C53" s="9" t="s">
        <v>678</v>
      </c>
      <c r="D53" s="9" t="s">
        <v>766</v>
      </c>
      <c r="E53" s="9" t="s">
        <v>11</v>
      </c>
      <c r="F53" s="9" t="s">
        <v>819</v>
      </c>
      <c r="G53" s="9" t="s">
        <v>204</v>
      </c>
      <c r="H53" s="9" t="s">
        <v>140</v>
      </c>
      <c r="I53" s="9" t="s">
        <v>287</v>
      </c>
      <c r="J53" s="9" t="s">
        <v>7</v>
      </c>
      <c r="K53" s="9" t="s">
        <v>336</v>
      </c>
      <c r="L53" s="9" t="s">
        <v>287</v>
      </c>
      <c r="M53" s="9" t="s">
        <v>296</v>
      </c>
      <c r="N53" s="9" t="s">
        <v>753</v>
      </c>
    </row>
    <row r="54" spans="1:14" ht="14.25" customHeight="1">
      <c r="A54" s="9" t="s">
        <v>820</v>
      </c>
      <c r="B54" s="9" t="s">
        <v>669</v>
      </c>
      <c r="C54" s="9" t="s">
        <v>670</v>
      </c>
      <c r="D54" s="9" t="s">
        <v>64</v>
      </c>
      <c r="E54" s="9" t="s">
        <v>15</v>
      </c>
      <c r="F54" s="9" t="s">
        <v>821</v>
      </c>
      <c r="G54" s="9" t="s">
        <v>147</v>
      </c>
      <c r="H54" s="9" t="s">
        <v>190</v>
      </c>
      <c r="I54" s="9" t="s">
        <v>287</v>
      </c>
      <c r="J54" s="9" t="s">
        <v>15</v>
      </c>
      <c r="K54" s="9" t="s">
        <v>822</v>
      </c>
      <c r="L54" s="9" t="s">
        <v>296</v>
      </c>
      <c r="M54" s="9" t="s">
        <v>823</v>
      </c>
      <c r="N54" s="9" t="s">
        <v>673</v>
      </c>
    </row>
    <row r="55" spans="1:14" ht="14.25" customHeight="1">
      <c r="A55" s="9" t="s">
        <v>824</v>
      </c>
      <c r="B55" s="9" t="s">
        <v>669</v>
      </c>
      <c r="C55" s="9" t="s">
        <v>675</v>
      </c>
      <c r="D55" s="9" t="s">
        <v>276</v>
      </c>
      <c r="E55" s="9" t="s">
        <v>15</v>
      </c>
      <c r="F55" s="9" t="s">
        <v>825</v>
      </c>
      <c r="G55" s="9" t="s">
        <v>226</v>
      </c>
      <c r="H55" s="9" t="s">
        <v>228</v>
      </c>
      <c r="I55" s="9" t="s">
        <v>7</v>
      </c>
      <c r="J55" s="9" t="s">
        <v>287</v>
      </c>
      <c r="K55" s="9" t="s">
        <v>703</v>
      </c>
      <c r="L55" s="9" t="s">
        <v>305</v>
      </c>
      <c r="M55" s="9" t="s">
        <v>54</v>
      </c>
      <c r="N55" s="9" t="s">
        <v>673</v>
      </c>
    </row>
    <row r="56" spans="1:14" ht="14.25" customHeight="1">
      <c r="A56" s="9" t="s">
        <v>826</v>
      </c>
      <c r="B56" s="9" t="s">
        <v>669</v>
      </c>
      <c r="C56" s="9" t="s">
        <v>678</v>
      </c>
      <c r="D56" s="9" t="s">
        <v>293</v>
      </c>
      <c r="E56" s="9" t="s">
        <v>15</v>
      </c>
      <c r="F56" s="9" t="s">
        <v>827</v>
      </c>
      <c r="G56" s="9" t="s">
        <v>239</v>
      </c>
      <c r="H56" s="9" t="s">
        <v>130</v>
      </c>
      <c r="I56" s="9"/>
      <c r="J56" s="9" t="s">
        <v>7</v>
      </c>
      <c r="K56" s="9" t="s">
        <v>828</v>
      </c>
      <c r="L56" s="9" t="s">
        <v>54</v>
      </c>
      <c r="M56" s="9" t="s">
        <v>7</v>
      </c>
      <c r="N56" s="9" t="s">
        <v>682</v>
      </c>
    </row>
    <row r="57" spans="1:14" ht="14.25" customHeight="1">
      <c r="A57" s="9" t="s">
        <v>829</v>
      </c>
      <c r="B57" s="9" t="s">
        <v>669</v>
      </c>
      <c r="C57" s="9" t="s">
        <v>670</v>
      </c>
      <c r="D57" s="9" t="s">
        <v>384</v>
      </c>
      <c r="E57" s="9" t="s">
        <v>15</v>
      </c>
      <c r="F57" s="9" t="s">
        <v>830</v>
      </c>
      <c r="G57" s="9" t="s">
        <v>121</v>
      </c>
      <c r="H57" s="9" t="s">
        <v>214</v>
      </c>
      <c r="I57" s="9" t="s">
        <v>15</v>
      </c>
      <c r="J57" s="9" t="s">
        <v>7</v>
      </c>
      <c r="K57" s="9" t="s">
        <v>726</v>
      </c>
      <c r="L57" s="9" t="s">
        <v>287</v>
      </c>
      <c r="M57" s="9" t="s">
        <v>296</v>
      </c>
      <c r="N57" s="9" t="s">
        <v>682</v>
      </c>
    </row>
    <row r="58" spans="1:14" ht="14.25" customHeight="1">
      <c r="A58" s="9" t="s">
        <v>831</v>
      </c>
      <c r="B58" s="9" t="s">
        <v>669</v>
      </c>
      <c r="C58" s="9" t="s">
        <v>675</v>
      </c>
      <c r="D58" s="9" t="s">
        <v>309</v>
      </c>
      <c r="E58" s="9" t="s">
        <v>15</v>
      </c>
      <c r="F58" s="9" t="s">
        <v>832</v>
      </c>
      <c r="G58" s="9" t="s">
        <v>220</v>
      </c>
      <c r="H58" s="9" t="s">
        <v>126</v>
      </c>
      <c r="I58" s="9" t="s">
        <v>287</v>
      </c>
      <c r="J58" s="9" t="s">
        <v>15</v>
      </c>
      <c r="K58" s="9" t="s">
        <v>833</v>
      </c>
      <c r="L58" s="9" t="s">
        <v>296</v>
      </c>
      <c r="M58" s="9" t="s">
        <v>305</v>
      </c>
      <c r="N58" s="9" t="s">
        <v>687</v>
      </c>
    </row>
    <row r="59" spans="1:14" ht="14.25" customHeight="1">
      <c r="A59" s="9" t="s">
        <v>834</v>
      </c>
      <c r="B59" s="9" t="s">
        <v>669</v>
      </c>
      <c r="C59" s="9" t="s">
        <v>678</v>
      </c>
      <c r="D59" s="9" t="s">
        <v>322</v>
      </c>
      <c r="E59" s="9" t="s">
        <v>15</v>
      </c>
      <c r="F59" s="9" t="s">
        <v>835</v>
      </c>
      <c r="G59" s="9" t="s">
        <v>191</v>
      </c>
      <c r="H59" s="9" t="s">
        <v>836</v>
      </c>
      <c r="I59" s="9" t="s">
        <v>19</v>
      </c>
      <c r="J59" s="9" t="s">
        <v>11</v>
      </c>
      <c r="K59" s="9" t="s">
        <v>837</v>
      </c>
      <c r="L59" s="9" t="s">
        <v>305</v>
      </c>
      <c r="M59" s="9" t="s">
        <v>54</v>
      </c>
      <c r="N59" s="9" t="s">
        <v>687</v>
      </c>
    </row>
    <row r="60" spans="1:14" ht="14.25" customHeight="1">
      <c r="A60" s="9" t="s">
        <v>838</v>
      </c>
      <c r="B60" s="9" t="s">
        <v>669</v>
      </c>
      <c r="C60" s="9" t="s">
        <v>670</v>
      </c>
      <c r="D60" s="9" t="s">
        <v>316</v>
      </c>
      <c r="E60" s="9" t="s">
        <v>15</v>
      </c>
      <c r="F60" s="9" t="s">
        <v>839</v>
      </c>
      <c r="G60" s="9" t="s">
        <v>246</v>
      </c>
      <c r="H60" s="9" t="s">
        <v>840</v>
      </c>
      <c r="I60" s="9" t="s">
        <v>15</v>
      </c>
      <c r="J60" s="9" t="s">
        <v>11</v>
      </c>
      <c r="K60" s="9" t="s">
        <v>841</v>
      </c>
      <c r="L60" s="9" t="s">
        <v>54</v>
      </c>
      <c r="M60" s="9" t="s">
        <v>7</v>
      </c>
      <c r="N60" s="9" t="s">
        <v>693</v>
      </c>
    </row>
    <row r="61" spans="1:14" ht="14.25" customHeight="1">
      <c r="A61" s="9" t="s">
        <v>842</v>
      </c>
      <c r="B61" s="9" t="s">
        <v>669</v>
      </c>
      <c r="C61" s="9" t="s">
        <v>675</v>
      </c>
      <c r="D61" s="9" t="s">
        <v>328</v>
      </c>
      <c r="E61" s="9" t="s">
        <v>15</v>
      </c>
      <c r="F61" s="9" t="s">
        <v>843</v>
      </c>
      <c r="G61" s="9" t="s">
        <v>206</v>
      </c>
      <c r="H61" s="9" t="s">
        <v>114</v>
      </c>
      <c r="I61" s="9" t="s">
        <v>287</v>
      </c>
      <c r="J61" s="9" t="s">
        <v>287</v>
      </c>
      <c r="K61" s="9" t="s">
        <v>578</v>
      </c>
      <c r="L61" s="9" t="s">
        <v>287</v>
      </c>
      <c r="M61" s="9" t="s">
        <v>296</v>
      </c>
      <c r="N61" s="9" t="s">
        <v>693</v>
      </c>
    </row>
    <row r="62" spans="1:14" ht="14.25" customHeight="1">
      <c r="A62" s="9" t="s">
        <v>844</v>
      </c>
      <c r="B62" s="9" t="s">
        <v>669</v>
      </c>
      <c r="C62" s="9" t="s">
        <v>678</v>
      </c>
      <c r="D62" s="9" t="s">
        <v>343</v>
      </c>
      <c r="E62" s="9" t="s">
        <v>15</v>
      </c>
      <c r="F62" s="9" t="s">
        <v>845</v>
      </c>
      <c r="G62" s="9" t="s">
        <v>145</v>
      </c>
      <c r="H62" s="9" t="s">
        <v>181</v>
      </c>
      <c r="I62" s="9" t="s">
        <v>287</v>
      </c>
      <c r="J62" s="9" t="s">
        <v>427</v>
      </c>
      <c r="K62" s="9" t="s">
        <v>462</v>
      </c>
      <c r="L62" s="9" t="s">
        <v>296</v>
      </c>
      <c r="M62" s="9" t="s">
        <v>305</v>
      </c>
      <c r="N62" s="9" t="s">
        <v>700</v>
      </c>
    </row>
    <row r="63" spans="1:14" ht="14.25" customHeight="1">
      <c r="A63" s="9" t="s">
        <v>846</v>
      </c>
      <c r="B63" s="9" t="s">
        <v>669</v>
      </c>
      <c r="C63" s="9" t="s">
        <v>670</v>
      </c>
      <c r="D63" s="9" t="s">
        <v>460</v>
      </c>
      <c r="E63" s="9" t="s">
        <v>15</v>
      </c>
      <c r="F63" s="9" t="s">
        <v>832</v>
      </c>
      <c r="G63" s="9" t="s">
        <v>847</v>
      </c>
      <c r="H63" s="9" t="s">
        <v>165</v>
      </c>
      <c r="I63" s="9" t="s">
        <v>11</v>
      </c>
      <c r="J63" s="9" t="s">
        <v>7</v>
      </c>
      <c r="K63" s="9" t="s">
        <v>419</v>
      </c>
      <c r="L63" s="9" t="s">
        <v>305</v>
      </c>
      <c r="M63" s="9" t="s">
        <v>54</v>
      </c>
      <c r="N63" s="9" t="s">
        <v>700</v>
      </c>
    </row>
    <row r="64" spans="1:14" ht="14.25" customHeight="1">
      <c r="A64" s="9" t="s">
        <v>848</v>
      </c>
      <c r="B64" s="9" t="s">
        <v>669</v>
      </c>
      <c r="C64" s="9" t="s">
        <v>675</v>
      </c>
      <c r="D64" s="9" t="s">
        <v>348</v>
      </c>
      <c r="E64" s="9" t="s">
        <v>15</v>
      </c>
      <c r="F64" s="9" t="s">
        <v>849</v>
      </c>
      <c r="G64" s="9" t="s">
        <v>850</v>
      </c>
      <c r="H64" s="9" t="s">
        <v>236</v>
      </c>
      <c r="I64" s="9" t="s">
        <v>7</v>
      </c>
      <c r="J64" s="9" t="s">
        <v>7</v>
      </c>
      <c r="K64" s="9" t="s">
        <v>600</v>
      </c>
      <c r="L64" s="9" t="s">
        <v>54</v>
      </c>
      <c r="M64" s="9" t="s">
        <v>287</v>
      </c>
      <c r="N64" s="9" t="s">
        <v>707</v>
      </c>
    </row>
    <row r="65" spans="1:14" ht="14.25" customHeight="1">
      <c r="A65" s="9" t="s">
        <v>851</v>
      </c>
      <c r="B65" s="9" t="s">
        <v>669</v>
      </c>
      <c r="C65" s="9" t="s">
        <v>678</v>
      </c>
      <c r="D65" s="9" t="s">
        <v>417</v>
      </c>
      <c r="E65" s="9" t="s">
        <v>15</v>
      </c>
      <c r="F65" s="9" t="s">
        <v>852</v>
      </c>
      <c r="G65" s="9" t="s">
        <v>241</v>
      </c>
      <c r="H65" s="9" t="s">
        <v>196</v>
      </c>
      <c r="I65" s="9" t="s">
        <v>7</v>
      </c>
      <c r="J65" s="9" t="s">
        <v>15</v>
      </c>
      <c r="K65" s="9" t="s">
        <v>853</v>
      </c>
      <c r="L65" s="9" t="s">
        <v>287</v>
      </c>
      <c r="M65" s="9" t="s">
        <v>296</v>
      </c>
      <c r="N65" s="9" t="s">
        <v>707</v>
      </c>
    </row>
    <row r="66" spans="1:14" ht="14.25" customHeight="1">
      <c r="A66" s="9" t="s">
        <v>854</v>
      </c>
      <c r="B66" s="9" t="s">
        <v>669</v>
      </c>
      <c r="C66" s="9" t="s">
        <v>670</v>
      </c>
      <c r="D66" s="9" t="s">
        <v>359</v>
      </c>
      <c r="E66" s="9" t="s">
        <v>15</v>
      </c>
      <c r="F66" s="9" t="s">
        <v>855</v>
      </c>
      <c r="G66" s="9" t="s">
        <v>159</v>
      </c>
      <c r="H66" s="9" t="s">
        <v>174</v>
      </c>
      <c r="I66" s="9"/>
      <c r="J66" s="9" t="s">
        <v>7</v>
      </c>
      <c r="K66" s="9" t="s">
        <v>722</v>
      </c>
      <c r="L66" s="9" t="s">
        <v>296</v>
      </c>
      <c r="M66" s="9" t="s">
        <v>305</v>
      </c>
      <c r="N66" s="9" t="s">
        <v>714</v>
      </c>
    </row>
    <row r="67" spans="1:14" ht="14.25" customHeight="1">
      <c r="A67" s="9" t="s">
        <v>856</v>
      </c>
      <c r="B67" s="9" t="s">
        <v>669</v>
      </c>
      <c r="C67" s="9" t="s">
        <v>675</v>
      </c>
      <c r="D67" s="9" t="s">
        <v>355</v>
      </c>
      <c r="E67" s="9" t="s">
        <v>15</v>
      </c>
      <c r="F67" s="9" t="s">
        <v>857</v>
      </c>
      <c r="G67" s="9" t="s">
        <v>197</v>
      </c>
      <c r="H67" s="9" t="s">
        <v>118</v>
      </c>
      <c r="I67" s="9" t="s">
        <v>7</v>
      </c>
      <c r="J67" s="9" t="s">
        <v>23</v>
      </c>
      <c r="K67" s="9" t="s">
        <v>858</v>
      </c>
      <c r="L67" s="9" t="s">
        <v>305</v>
      </c>
      <c r="M67" s="9" t="s">
        <v>54</v>
      </c>
      <c r="N67" s="9" t="s">
        <v>714</v>
      </c>
    </row>
    <row r="68" spans="1:14" ht="14.25" customHeight="1">
      <c r="A68" s="9" t="s">
        <v>859</v>
      </c>
      <c r="B68" s="9" t="s">
        <v>669</v>
      </c>
      <c r="C68" s="9" t="s">
        <v>678</v>
      </c>
      <c r="D68" s="9" t="s">
        <v>366</v>
      </c>
      <c r="E68" s="9" t="s">
        <v>15</v>
      </c>
      <c r="F68" s="9" t="s">
        <v>860</v>
      </c>
      <c r="G68" s="9" t="s">
        <v>133</v>
      </c>
      <c r="H68" s="9" t="s">
        <v>219</v>
      </c>
      <c r="I68" s="9" t="s">
        <v>287</v>
      </c>
      <c r="J68" s="9" t="s">
        <v>287</v>
      </c>
      <c r="K68" s="9" t="s">
        <v>532</v>
      </c>
      <c r="L68" s="9" t="s">
        <v>54</v>
      </c>
      <c r="M68" s="9" t="s">
        <v>287</v>
      </c>
      <c r="N68" s="9" t="s">
        <v>719</v>
      </c>
    </row>
    <row r="69" spans="1:14" ht="14.25" customHeight="1">
      <c r="A69" s="9" t="s">
        <v>861</v>
      </c>
      <c r="B69" s="9" t="s">
        <v>669</v>
      </c>
      <c r="C69" s="9" t="s">
        <v>670</v>
      </c>
      <c r="D69" s="9" t="s">
        <v>556</v>
      </c>
      <c r="E69" s="9" t="s">
        <v>15</v>
      </c>
      <c r="F69" s="9" t="s">
        <v>849</v>
      </c>
      <c r="G69" s="9" t="s">
        <v>252</v>
      </c>
      <c r="H69" s="9" t="s">
        <v>233</v>
      </c>
      <c r="I69" s="9" t="s">
        <v>287</v>
      </c>
      <c r="J69" s="9" t="s">
        <v>7</v>
      </c>
      <c r="K69" s="9" t="s">
        <v>341</v>
      </c>
      <c r="L69" s="9" t="s">
        <v>287</v>
      </c>
      <c r="M69" s="9" t="s">
        <v>296</v>
      </c>
      <c r="N69" s="9" t="s">
        <v>719</v>
      </c>
    </row>
    <row r="70" spans="1:14" ht="14.25" customHeight="1">
      <c r="A70" s="9" t="s">
        <v>862</v>
      </c>
      <c r="B70" s="9" t="s">
        <v>669</v>
      </c>
      <c r="C70" s="9" t="s">
        <v>675</v>
      </c>
      <c r="D70" s="9" t="s">
        <v>724</v>
      </c>
      <c r="E70" s="9" t="s">
        <v>15</v>
      </c>
      <c r="F70" s="9" t="s">
        <v>852</v>
      </c>
      <c r="G70" s="9" t="s">
        <v>202</v>
      </c>
      <c r="H70" s="9" t="s">
        <v>163</v>
      </c>
      <c r="I70" s="9" t="s">
        <v>7</v>
      </c>
      <c r="J70" s="9" t="s">
        <v>19</v>
      </c>
      <c r="K70" s="9" t="s">
        <v>863</v>
      </c>
      <c r="L70" s="9" t="s">
        <v>296</v>
      </c>
      <c r="M70" s="9" t="s">
        <v>305</v>
      </c>
      <c r="N70" s="9" t="s">
        <v>727</v>
      </c>
    </row>
    <row r="71" spans="1:14" ht="14.25" customHeight="1">
      <c r="A71" s="9" t="s">
        <v>864</v>
      </c>
      <c r="B71" s="9" t="s">
        <v>669</v>
      </c>
      <c r="C71" s="9" t="s">
        <v>678</v>
      </c>
      <c r="D71" s="9" t="s">
        <v>729</v>
      </c>
      <c r="E71" s="9" t="s">
        <v>15</v>
      </c>
      <c r="F71" s="9" t="s">
        <v>855</v>
      </c>
      <c r="G71" s="9" t="s">
        <v>222</v>
      </c>
      <c r="H71" s="9" t="s">
        <v>178</v>
      </c>
      <c r="I71" s="9" t="s">
        <v>23</v>
      </c>
      <c r="J71" s="9" t="s">
        <v>287</v>
      </c>
      <c r="K71" s="9" t="s">
        <v>865</v>
      </c>
      <c r="L71" s="9" t="s">
        <v>305</v>
      </c>
      <c r="M71" s="9" t="s">
        <v>54</v>
      </c>
      <c r="N71" s="9" t="s">
        <v>727</v>
      </c>
    </row>
    <row r="72" spans="1:14" ht="14.25" customHeight="1">
      <c r="A72" s="9" t="s">
        <v>866</v>
      </c>
      <c r="B72" s="9" t="s">
        <v>669</v>
      </c>
      <c r="C72" s="9" t="s">
        <v>670</v>
      </c>
      <c r="D72" s="9" t="s">
        <v>733</v>
      </c>
      <c r="E72" s="9" t="s">
        <v>15</v>
      </c>
      <c r="F72" s="9" t="s">
        <v>867</v>
      </c>
      <c r="G72" s="9" t="s">
        <v>110</v>
      </c>
      <c r="H72" s="9" t="s">
        <v>116</v>
      </c>
      <c r="I72" s="9" t="s">
        <v>15</v>
      </c>
      <c r="J72" s="9" t="s">
        <v>15</v>
      </c>
      <c r="K72" s="9" t="s">
        <v>868</v>
      </c>
      <c r="L72" s="9" t="s">
        <v>54</v>
      </c>
      <c r="M72" s="9" t="s">
        <v>287</v>
      </c>
      <c r="N72" s="9" t="s">
        <v>736</v>
      </c>
    </row>
    <row r="73" spans="1:14" ht="14.25" customHeight="1">
      <c r="A73" s="9" t="s">
        <v>869</v>
      </c>
      <c r="B73" s="9" t="s">
        <v>669</v>
      </c>
      <c r="C73" s="9" t="s">
        <v>675</v>
      </c>
      <c r="D73" s="9" t="s">
        <v>738</v>
      </c>
      <c r="E73" s="9" t="s">
        <v>15</v>
      </c>
      <c r="F73" s="9" t="s">
        <v>870</v>
      </c>
      <c r="G73" s="9" t="s">
        <v>187</v>
      </c>
      <c r="H73" s="9" t="s">
        <v>112</v>
      </c>
      <c r="I73" s="9" t="s">
        <v>7</v>
      </c>
      <c r="J73" s="9" t="s">
        <v>15</v>
      </c>
      <c r="K73" s="9" t="s">
        <v>795</v>
      </c>
      <c r="L73" s="9" t="s">
        <v>287</v>
      </c>
      <c r="M73" s="9" t="s">
        <v>296</v>
      </c>
      <c r="N73" s="9" t="s">
        <v>736</v>
      </c>
    </row>
    <row r="74" spans="1:14" ht="14.25" customHeight="1">
      <c r="A74" s="9" t="s">
        <v>871</v>
      </c>
      <c r="B74" s="9" t="s">
        <v>669</v>
      </c>
      <c r="C74" s="9" t="s">
        <v>678</v>
      </c>
      <c r="D74" s="9" t="s">
        <v>743</v>
      </c>
      <c r="E74" s="9" t="s">
        <v>15</v>
      </c>
      <c r="F74" s="9" t="s">
        <v>872</v>
      </c>
      <c r="G74" s="9" t="s">
        <v>136</v>
      </c>
      <c r="H74" s="9" t="s">
        <v>212</v>
      </c>
      <c r="I74" s="9" t="s">
        <v>287</v>
      </c>
      <c r="J74" s="9" t="s">
        <v>287</v>
      </c>
      <c r="K74" s="9" t="s">
        <v>782</v>
      </c>
      <c r="L74" s="9" t="s">
        <v>296</v>
      </c>
      <c r="M74" s="9" t="s">
        <v>305</v>
      </c>
      <c r="N74" s="9" t="s">
        <v>745</v>
      </c>
    </row>
    <row r="75" spans="1:14" ht="14.25" customHeight="1">
      <c r="A75" s="9" t="s">
        <v>873</v>
      </c>
      <c r="B75" s="9" t="s">
        <v>669</v>
      </c>
      <c r="C75" s="9" t="s">
        <v>670</v>
      </c>
      <c r="D75" s="9" t="s">
        <v>747</v>
      </c>
      <c r="E75" s="9" t="s">
        <v>15</v>
      </c>
      <c r="F75" s="9" t="s">
        <v>874</v>
      </c>
      <c r="G75" s="9" t="s">
        <v>150</v>
      </c>
      <c r="H75" s="9" t="s">
        <v>254</v>
      </c>
      <c r="I75" s="9" t="s">
        <v>15</v>
      </c>
      <c r="J75" s="9" t="s">
        <v>7</v>
      </c>
      <c r="K75" s="9" t="s">
        <v>741</v>
      </c>
      <c r="L75" s="9" t="s">
        <v>305</v>
      </c>
      <c r="M75" s="9" t="s">
        <v>54</v>
      </c>
      <c r="N75" s="9" t="s">
        <v>745</v>
      </c>
    </row>
    <row r="76" spans="1:14" ht="14.25" customHeight="1">
      <c r="A76" s="9" t="s">
        <v>875</v>
      </c>
      <c r="B76" s="9" t="s">
        <v>669</v>
      </c>
      <c r="C76" s="9" t="s">
        <v>675</v>
      </c>
      <c r="D76" s="9" t="s">
        <v>750</v>
      </c>
      <c r="E76" s="9" t="s">
        <v>15</v>
      </c>
      <c r="F76" s="9" t="s">
        <v>876</v>
      </c>
      <c r="G76" s="9" t="s">
        <v>204</v>
      </c>
      <c r="H76" s="9" t="s">
        <v>877</v>
      </c>
      <c r="I76" s="9"/>
      <c r="J76" s="9" t="s">
        <v>427</v>
      </c>
      <c r="K76" s="9" t="s">
        <v>446</v>
      </c>
      <c r="L76" s="9" t="s">
        <v>54</v>
      </c>
      <c r="M76" s="9" t="s">
        <v>287</v>
      </c>
      <c r="N76" s="9" t="s">
        <v>753</v>
      </c>
    </row>
    <row r="77" spans="1:14" ht="14.25" customHeight="1">
      <c r="A77" s="9" t="s">
        <v>878</v>
      </c>
      <c r="B77" s="9" t="s">
        <v>669</v>
      </c>
      <c r="C77" s="9" t="s">
        <v>678</v>
      </c>
      <c r="D77" s="9" t="s">
        <v>766</v>
      </c>
      <c r="E77" s="9" t="s">
        <v>15</v>
      </c>
      <c r="F77" s="9" t="s">
        <v>867</v>
      </c>
      <c r="G77" s="9" t="s">
        <v>140</v>
      </c>
      <c r="H77" s="9" t="s">
        <v>168</v>
      </c>
      <c r="I77" s="9" t="s">
        <v>11</v>
      </c>
      <c r="J77" s="9" t="s">
        <v>7</v>
      </c>
      <c r="K77" s="9" t="s">
        <v>434</v>
      </c>
      <c r="L77" s="9" t="s">
        <v>287</v>
      </c>
      <c r="M77" s="9" t="s">
        <v>296</v>
      </c>
      <c r="N77" s="9" t="s">
        <v>753</v>
      </c>
    </row>
    <row r="78" spans="1:14" ht="14.25" customHeight="1">
      <c r="A78" s="9" t="s">
        <v>690</v>
      </c>
      <c r="B78" s="9" t="s">
        <v>669</v>
      </c>
      <c r="C78" s="9" t="s">
        <v>670</v>
      </c>
      <c r="D78" s="9" t="s">
        <v>316</v>
      </c>
      <c r="E78" s="9" t="s">
        <v>7</v>
      </c>
      <c r="F78" s="9" t="s">
        <v>691</v>
      </c>
      <c r="G78" s="9" t="s">
        <v>249</v>
      </c>
      <c r="H78" s="9" t="s">
        <v>206</v>
      </c>
      <c r="I78" s="9" t="s">
        <v>19</v>
      </c>
      <c r="J78" s="9" t="s">
        <v>7</v>
      </c>
      <c r="K78" s="9" t="s">
        <v>692</v>
      </c>
      <c r="L78" s="9" t="s">
        <v>84</v>
      </c>
      <c r="M78" s="9" t="s">
        <v>287</v>
      </c>
      <c r="N78" s="9" t="s">
        <v>693</v>
      </c>
    </row>
    <row r="79" spans="1:14" ht="14.25" customHeight="1">
      <c r="A79" s="9" t="s">
        <v>801</v>
      </c>
      <c r="B79" s="9" t="s">
        <v>669</v>
      </c>
      <c r="C79" s="9" t="s">
        <v>675</v>
      </c>
      <c r="D79" s="9" t="s">
        <v>724</v>
      </c>
      <c r="E79" s="9" t="s">
        <v>11</v>
      </c>
      <c r="F79" s="9" t="s">
        <v>802</v>
      </c>
      <c r="G79" s="9" t="s">
        <v>803</v>
      </c>
      <c r="H79" s="9" t="s">
        <v>178</v>
      </c>
      <c r="I79" s="9"/>
      <c r="J79" s="9" t="s">
        <v>287</v>
      </c>
      <c r="K79" s="9" t="s">
        <v>804</v>
      </c>
      <c r="L79" s="9" t="s">
        <v>296</v>
      </c>
      <c r="M79" s="9" t="s">
        <v>305</v>
      </c>
      <c r="N79" s="9" t="s">
        <v>727</v>
      </c>
    </row>
    <row r="80" spans="1:14" ht="14.25" customHeight="1">
      <c r="A80" s="9" t="s">
        <v>871</v>
      </c>
      <c r="B80" s="9" t="s">
        <v>669</v>
      </c>
      <c r="C80" s="9" t="s">
        <v>678</v>
      </c>
      <c r="D80" s="9" t="s">
        <v>743</v>
      </c>
      <c r="E80" s="9" t="s">
        <v>15</v>
      </c>
      <c r="F80" s="9" t="s">
        <v>872</v>
      </c>
      <c r="G80" s="9" t="s">
        <v>136</v>
      </c>
      <c r="H80" s="9" t="s">
        <v>212</v>
      </c>
      <c r="I80" s="9" t="s">
        <v>287</v>
      </c>
      <c r="J80" s="9" t="s">
        <v>287</v>
      </c>
      <c r="K80" s="9" t="s">
        <v>782</v>
      </c>
      <c r="L80" s="9" t="s">
        <v>296</v>
      </c>
      <c r="M80" s="9" t="s">
        <v>305</v>
      </c>
      <c r="N80" s="9" t="s">
        <v>745</v>
      </c>
    </row>
  </sheetData>
  <mergeCells count="2">
    <mergeCell ref="A1:P1"/>
    <mergeCell ref="A2:P3"/>
  </mergeCells>
  <conditionalFormatting sqref="A6:N80">
    <cfRule type="expression" dxfId="5" priority="2">
      <formula>OR(A6="",COUNTIF($A:$A,A6)&gt;1)</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
  <sheetViews>
    <sheetView topLeftCell="C10" zoomScaleNormal="100" workbookViewId="0">
      <selection sqref="A1:H1"/>
    </sheetView>
  </sheetViews>
  <sheetFormatPr baseColWidth="10" defaultColWidth="9" defaultRowHeight="14.4"/>
  <cols>
    <col min="1" max="1" width="17" style="7" customWidth="1"/>
    <col min="2" max="2" width="38" style="7" customWidth="1"/>
    <col min="3" max="3" width="32" style="7" customWidth="1"/>
    <col min="4" max="4" width="34" style="7" customWidth="1"/>
    <col min="5" max="7" width="55" style="7" customWidth="1"/>
  </cols>
  <sheetData>
    <row r="1" spans="1:8" ht="30" customHeight="1">
      <c r="A1" s="6" t="s">
        <v>879</v>
      </c>
      <c r="B1" s="6"/>
      <c r="C1" s="6"/>
      <c r="D1" s="6"/>
      <c r="E1" s="6"/>
      <c r="F1" s="6"/>
      <c r="G1" s="6"/>
      <c r="H1" s="6"/>
    </row>
    <row r="2" spans="1:8" ht="21.75" customHeight="1">
      <c r="A2" s="5" t="s">
        <v>880</v>
      </c>
      <c r="B2" s="5"/>
      <c r="C2" s="5"/>
      <c r="D2" s="5"/>
      <c r="E2" s="5"/>
      <c r="F2" s="5"/>
      <c r="G2" s="5"/>
      <c r="H2" s="5"/>
    </row>
    <row r="3" spans="1:8" ht="21.75" customHeight="1">
      <c r="A3" s="5"/>
      <c r="B3" s="5"/>
      <c r="C3" s="5"/>
      <c r="D3" s="5"/>
      <c r="E3" s="5"/>
      <c r="F3" s="5"/>
      <c r="G3" s="5"/>
      <c r="H3" s="5"/>
    </row>
    <row r="5" spans="1:8" ht="15" customHeight="1">
      <c r="A5" s="8" t="s">
        <v>881</v>
      </c>
      <c r="B5" s="8" t="s">
        <v>882</v>
      </c>
      <c r="C5" s="8" t="s">
        <v>883</v>
      </c>
      <c r="D5" s="8" t="s">
        <v>884</v>
      </c>
      <c r="E5" s="8" t="s">
        <v>885</v>
      </c>
      <c r="F5" s="8" t="s">
        <v>886</v>
      </c>
      <c r="G5" s="8" t="s">
        <v>887</v>
      </c>
    </row>
    <row r="6" spans="1:8" ht="90" customHeight="1">
      <c r="A6" s="9" t="s">
        <v>888</v>
      </c>
      <c r="B6" s="9" t="s">
        <v>889</v>
      </c>
      <c r="C6" s="9" t="s">
        <v>890</v>
      </c>
      <c r="D6" s="9" t="s">
        <v>891</v>
      </c>
      <c r="E6" s="12" t="s">
        <v>892</v>
      </c>
      <c r="F6" s="12" t="s">
        <v>893</v>
      </c>
      <c r="G6" s="12" t="s">
        <v>894</v>
      </c>
    </row>
    <row r="7" spans="1:8" ht="90" customHeight="1">
      <c r="A7" s="9" t="s">
        <v>895</v>
      </c>
      <c r="B7" s="9" t="s">
        <v>896</v>
      </c>
      <c r="C7" s="9" t="s">
        <v>897</v>
      </c>
      <c r="D7" s="9" t="s">
        <v>898</v>
      </c>
      <c r="E7" s="12" t="s">
        <v>899</v>
      </c>
      <c r="F7" s="12" t="s">
        <v>900</v>
      </c>
      <c r="G7" s="12" t="s">
        <v>901</v>
      </c>
    </row>
    <row r="8" spans="1:8" ht="90" customHeight="1">
      <c r="A8" s="9" t="s">
        <v>902</v>
      </c>
      <c r="B8" s="9" t="s">
        <v>903</v>
      </c>
      <c r="C8" s="9" t="s">
        <v>904</v>
      </c>
      <c r="D8" s="9" t="s">
        <v>905</v>
      </c>
      <c r="E8" s="12" t="s">
        <v>906</v>
      </c>
      <c r="F8" s="12" t="s">
        <v>907</v>
      </c>
      <c r="G8" s="12" t="s">
        <v>908</v>
      </c>
    </row>
    <row r="9" spans="1:8" ht="90" customHeight="1">
      <c r="A9" s="9" t="s">
        <v>909</v>
      </c>
      <c r="B9" s="9" t="s">
        <v>910</v>
      </c>
      <c r="C9" s="9" t="s">
        <v>911</v>
      </c>
      <c r="D9" s="9" t="s">
        <v>912</v>
      </c>
      <c r="E9" s="12" t="s">
        <v>913</v>
      </c>
      <c r="F9" s="12" t="s">
        <v>914</v>
      </c>
      <c r="G9" s="12" t="s">
        <v>915</v>
      </c>
    </row>
    <row r="10" spans="1:8" ht="90" customHeight="1">
      <c r="A10" s="9" t="s">
        <v>916</v>
      </c>
      <c r="B10" s="9" t="s">
        <v>917</v>
      </c>
      <c r="C10" s="9" t="s">
        <v>918</v>
      </c>
      <c r="D10" s="9" t="s">
        <v>919</v>
      </c>
      <c r="E10" s="12" t="s">
        <v>920</v>
      </c>
      <c r="F10" s="12" t="s">
        <v>921</v>
      </c>
      <c r="G10" s="12" t="s">
        <v>922</v>
      </c>
    </row>
    <row r="11" spans="1:8" ht="90" customHeight="1">
      <c r="A11" s="9" t="s">
        <v>916</v>
      </c>
      <c r="B11" s="9" t="s">
        <v>923</v>
      </c>
      <c r="C11" s="9" t="s">
        <v>924</v>
      </c>
      <c r="D11" s="9" t="s">
        <v>925</v>
      </c>
      <c r="E11" s="12" t="s">
        <v>926</v>
      </c>
      <c r="F11" s="12" t="s">
        <v>927</v>
      </c>
      <c r="G11" s="12" t="s">
        <v>928</v>
      </c>
    </row>
    <row r="12" spans="1:8" ht="90" customHeight="1">
      <c r="A12" s="9" t="s">
        <v>929</v>
      </c>
      <c r="B12" s="9" t="s">
        <v>930</v>
      </c>
      <c r="C12" s="9" t="s">
        <v>931</v>
      </c>
      <c r="D12" s="9" t="s">
        <v>932</v>
      </c>
      <c r="E12" s="12" t="s">
        <v>933</v>
      </c>
      <c r="F12" s="12" t="s">
        <v>934</v>
      </c>
      <c r="G12" s="12" t="s">
        <v>935</v>
      </c>
    </row>
    <row r="13" spans="1:8" ht="90" customHeight="1">
      <c r="A13" s="9" t="s">
        <v>929</v>
      </c>
      <c r="B13" s="9" t="s">
        <v>936</v>
      </c>
      <c r="C13" s="9" t="s">
        <v>937</v>
      </c>
      <c r="D13" s="9" t="s">
        <v>938</v>
      </c>
      <c r="E13" s="12" t="s">
        <v>939</v>
      </c>
      <c r="F13" s="12" t="s">
        <v>940</v>
      </c>
      <c r="G13" s="12" t="s">
        <v>941</v>
      </c>
    </row>
    <row r="14" spans="1:8" ht="90" customHeight="1">
      <c r="A14" s="9" t="s">
        <v>942</v>
      </c>
      <c r="B14" s="9" t="s">
        <v>943</v>
      </c>
      <c r="C14" s="9" t="s">
        <v>944</v>
      </c>
      <c r="D14" s="9" t="s">
        <v>945</v>
      </c>
      <c r="E14" s="12" t="s">
        <v>946</v>
      </c>
      <c r="F14" s="12" t="s">
        <v>947</v>
      </c>
      <c r="G14" s="12" t="s">
        <v>948</v>
      </c>
    </row>
    <row r="15" spans="1:8" ht="109.5" customHeight="1">
      <c r="A15" s="9" t="s">
        <v>949</v>
      </c>
      <c r="B15" s="9" t="s">
        <v>950</v>
      </c>
      <c r="C15" s="9" t="s">
        <v>14</v>
      </c>
      <c r="D15" s="9" t="s">
        <v>951</v>
      </c>
      <c r="E15" s="12" t="s">
        <v>952</v>
      </c>
      <c r="F15" s="12" t="s">
        <v>953</v>
      </c>
      <c r="G15" s="12" t="s">
        <v>954</v>
      </c>
    </row>
  </sheetData>
  <mergeCells count="2">
    <mergeCell ref="A1:H1"/>
    <mergeCell ref="A2:H3"/>
  </mergeCells>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05"/>
  <sheetViews>
    <sheetView topLeftCell="J79" zoomScaleNormal="100" workbookViewId="0">
      <selection activeCell="N88" sqref="N88"/>
    </sheetView>
  </sheetViews>
  <sheetFormatPr baseColWidth="10" defaultColWidth="9" defaultRowHeight="14.4"/>
  <cols>
    <col min="1" max="1" width="19" style="7" customWidth="1"/>
    <col min="2" max="2" width="11" style="7" customWidth="1"/>
    <col min="3" max="3" width="19" style="7" customWidth="1"/>
    <col min="5" max="5" width="10" style="7" customWidth="1"/>
    <col min="6" max="6" width="14" style="7" customWidth="1"/>
    <col min="7" max="8" width="26" style="7" customWidth="1"/>
    <col min="9" max="9" width="12" style="7" customWidth="1"/>
    <col min="10" max="10" width="14" style="7" customWidth="1"/>
    <col min="11" max="11" width="12" style="7" customWidth="1"/>
    <col min="12" max="12" width="15" style="7" customWidth="1"/>
    <col min="13" max="13" width="16" style="7" customWidth="1"/>
    <col min="14" max="14" width="19" style="7" customWidth="1"/>
    <col min="15" max="15" width="13" style="7" customWidth="1"/>
    <col min="16" max="16" width="15" style="7" customWidth="1"/>
    <col min="17" max="17" width="13" style="7" customWidth="1"/>
    <col min="18" max="18" width="15" style="7" customWidth="1"/>
    <col min="19" max="19" width="44" style="7" customWidth="1"/>
  </cols>
  <sheetData>
    <row r="1" spans="1:19" ht="30" customHeight="1">
      <c r="A1" s="6" t="s">
        <v>955</v>
      </c>
      <c r="B1" s="6"/>
      <c r="C1" s="6"/>
      <c r="D1" s="6"/>
      <c r="E1" s="6"/>
      <c r="F1" s="6"/>
      <c r="G1" s="6"/>
      <c r="H1" s="6"/>
      <c r="I1" s="6"/>
      <c r="J1" s="6"/>
      <c r="K1" s="6"/>
      <c r="L1" s="6"/>
      <c r="M1" s="6"/>
      <c r="N1" s="6"/>
      <c r="O1" s="6"/>
      <c r="P1" s="6"/>
      <c r="Q1" s="6"/>
      <c r="R1" s="6"/>
      <c r="S1" s="6"/>
    </row>
    <row r="2" spans="1:19" ht="21.75" customHeight="1">
      <c r="A2" s="5" t="s">
        <v>956</v>
      </c>
      <c r="B2" s="5"/>
      <c r="C2" s="5"/>
      <c r="D2" s="5"/>
      <c r="E2" s="5"/>
      <c r="F2" s="5"/>
      <c r="G2" s="5"/>
      <c r="H2" s="5"/>
      <c r="I2" s="5"/>
      <c r="J2" s="5"/>
      <c r="K2" s="5"/>
      <c r="L2" s="5"/>
      <c r="M2" s="5"/>
      <c r="N2" s="5"/>
      <c r="O2" s="5"/>
      <c r="P2" s="5"/>
      <c r="Q2" s="5"/>
      <c r="R2" s="5"/>
      <c r="S2" s="5"/>
    </row>
    <row r="3" spans="1:19" ht="21.75" customHeight="1">
      <c r="A3" s="5"/>
      <c r="B3" s="5"/>
      <c r="C3" s="5"/>
      <c r="D3" s="5"/>
      <c r="E3" s="5"/>
      <c r="F3" s="5"/>
      <c r="G3" s="5"/>
      <c r="H3" s="5"/>
      <c r="I3" s="5"/>
      <c r="J3" s="5"/>
      <c r="K3" s="5"/>
      <c r="L3" s="5"/>
      <c r="M3" s="5"/>
      <c r="N3" s="5"/>
      <c r="O3" s="5"/>
      <c r="P3" s="5"/>
      <c r="Q3" s="5"/>
      <c r="R3" s="5"/>
      <c r="S3" s="5"/>
    </row>
    <row r="5" spans="1:19" ht="30" customHeight="1">
      <c r="A5" s="8" t="s">
        <v>50</v>
      </c>
      <c r="B5" s="8" t="s">
        <v>55</v>
      </c>
      <c r="C5" s="8" t="s">
        <v>58</v>
      </c>
      <c r="D5" s="8" t="s">
        <v>62</v>
      </c>
      <c r="E5" s="8" t="s">
        <v>65</v>
      </c>
      <c r="F5" s="8" t="s">
        <v>67</v>
      </c>
      <c r="G5" s="8" t="s">
        <v>71</v>
      </c>
      <c r="H5" s="8" t="s">
        <v>74</v>
      </c>
      <c r="I5" s="8" t="s">
        <v>77</v>
      </c>
      <c r="J5" s="8" t="s">
        <v>79</v>
      </c>
      <c r="K5" s="8" t="s">
        <v>81</v>
      </c>
      <c r="L5" s="8" t="s">
        <v>85</v>
      </c>
      <c r="M5" s="8" t="s">
        <v>88</v>
      </c>
      <c r="N5" s="8" t="s">
        <v>91</v>
      </c>
      <c r="O5" s="8" t="s">
        <v>93</v>
      </c>
      <c r="P5" s="8" t="s">
        <v>95</v>
      </c>
      <c r="Q5" s="8" t="s">
        <v>97</v>
      </c>
      <c r="R5" s="8" t="s">
        <v>99</v>
      </c>
      <c r="S5" s="8" t="s">
        <v>100</v>
      </c>
    </row>
    <row r="6" spans="1:19" ht="14.25" customHeight="1">
      <c r="A6" s="9" t="s">
        <v>274</v>
      </c>
      <c r="B6" s="9">
        <v>2018</v>
      </c>
      <c r="C6" s="9" t="s">
        <v>61</v>
      </c>
      <c r="D6" s="9" t="s">
        <v>64</v>
      </c>
      <c r="E6" s="9">
        <v>1</v>
      </c>
      <c r="F6" s="13">
        <v>43265</v>
      </c>
      <c r="G6" s="9" t="s">
        <v>73</v>
      </c>
      <c r="H6" s="9" t="s">
        <v>76</v>
      </c>
      <c r="I6" s="9">
        <v>5</v>
      </c>
      <c r="J6" s="9">
        <v>0</v>
      </c>
      <c r="K6" s="14" t="str">
        <f t="shared" ref="K6:K69" si="0">IF(OR(I6="",J6=""),"",I6&amp;"-"&amp;J6)</f>
        <v>5-0</v>
      </c>
      <c r="L6" s="14" t="str">
        <f t="shared" ref="L6:L69" si="1">IF(OR(I6="",J6=""),"",IF(I6&gt;J6,"Gana",IF(I6=J6,"Empata","Pierde")))</f>
        <v>Gana</v>
      </c>
      <c r="M6" s="10" t="b">
        <f>TRUE()</f>
        <v>1</v>
      </c>
      <c r="N6" s="10" t="b">
        <f>FALSE()</f>
        <v>0</v>
      </c>
      <c r="O6" s="14">
        <f t="shared" ref="O6:O69" si="2">IF(OR(I6="",J6=""),"",I6+J6)</f>
        <v>5</v>
      </c>
      <c r="P6" s="14">
        <f t="shared" ref="P6:P69" si="3">IF(OR(I6="",J6=""),"",I6-J6)</f>
        <v>5</v>
      </c>
      <c r="Q6" s="14">
        <f t="shared" ref="Q6:Q69" si="4">IF(L6="","",IF(L6="Gana",3,IF(L6="Empata",1,0)))</f>
        <v>3</v>
      </c>
      <c r="R6" s="14">
        <f t="shared" ref="R6:R69" si="5">IF(L6="","",IF(L6="Pierde",3,IF(L6="Empata",1,0)))</f>
        <v>0</v>
      </c>
      <c r="S6" s="9" t="s">
        <v>282</v>
      </c>
    </row>
    <row r="7" spans="1:19" ht="14.25" customHeight="1">
      <c r="A7" s="9" t="s">
        <v>283</v>
      </c>
      <c r="B7" s="9">
        <v>2018</v>
      </c>
      <c r="C7" s="9" t="s">
        <v>61</v>
      </c>
      <c r="D7" s="9" t="s">
        <v>64</v>
      </c>
      <c r="E7" s="9">
        <v>1</v>
      </c>
      <c r="F7" s="13">
        <v>43266</v>
      </c>
      <c r="G7" s="9" t="s">
        <v>159</v>
      </c>
      <c r="H7" s="9" t="s">
        <v>252</v>
      </c>
      <c r="I7" s="9">
        <v>0</v>
      </c>
      <c r="J7" s="9">
        <v>1</v>
      </c>
      <c r="K7" s="14" t="str">
        <f t="shared" si="0"/>
        <v>0-1</v>
      </c>
      <c r="L7" s="14" t="str">
        <f t="shared" si="1"/>
        <v>Pierde</v>
      </c>
      <c r="M7" s="10" t="b">
        <f>FALSE()</f>
        <v>0</v>
      </c>
      <c r="N7" s="10" t="b">
        <f>FALSE()</f>
        <v>0</v>
      </c>
      <c r="O7" s="14">
        <f t="shared" si="2"/>
        <v>1</v>
      </c>
      <c r="P7" s="14">
        <f t="shared" si="3"/>
        <v>-1</v>
      </c>
      <c r="Q7" s="14">
        <f t="shared" si="4"/>
        <v>0</v>
      </c>
      <c r="R7" s="14">
        <f t="shared" si="5"/>
        <v>3</v>
      </c>
      <c r="S7" s="9" t="s">
        <v>282</v>
      </c>
    </row>
    <row r="8" spans="1:19" ht="14.25" customHeight="1">
      <c r="A8" s="9" t="s">
        <v>291</v>
      </c>
      <c r="B8" s="9">
        <v>2018</v>
      </c>
      <c r="C8" s="9" t="s">
        <v>61</v>
      </c>
      <c r="D8" s="9" t="s">
        <v>384</v>
      </c>
      <c r="E8" s="9">
        <v>1</v>
      </c>
      <c r="F8" s="13">
        <v>43266</v>
      </c>
      <c r="G8" s="9" t="s">
        <v>191</v>
      </c>
      <c r="H8" s="9" t="s">
        <v>175</v>
      </c>
      <c r="I8" s="9">
        <v>0</v>
      </c>
      <c r="J8" s="9">
        <v>1</v>
      </c>
      <c r="K8" s="14" t="str">
        <f t="shared" si="0"/>
        <v>0-1</v>
      </c>
      <c r="L8" s="14" t="str">
        <f t="shared" si="1"/>
        <v>Pierde</v>
      </c>
      <c r="M8" s="10" t="b">
        <f>FALSE()</f>
        <v>0</v>
      </c>
      <c r="N8" s="10" t="b">
        <f>FALSE()</f>
        <v>0</v>
      </c>
      <c r="O8" s="14">
        <f t="shared" si="2"/>
        <v>1</v>
      </c>
      <c r="P8" s="14">
        <f t="shared" si="3"/>
        <v>-1</v>
      </c>
      <c r="Q8" s="14">
        <f t="shared" si="4"/>
        <v>0</v>
      </c>
      <c r="R8" s="14">
        <f t="shared" si="5"/>
        <v>3</v>
      </c>
      <c r="S8" s="9" t="s">
        <v>282</v>
      </c>
    </row>
    <row r="9" spans="1:19" ht="14.25" customHeight="1">
      <c r="A9" s="9" t="s">
        <v>299</v>
      </c>
      <c r="B9" s="9">
        <v>2018</v>
      </c>
      <c r="C9" s="9" t="s">
        <v>61</v>
      </c>
      <c r="D9" s="9" t="s">
        <v>384</v>
      </c>
      <c r="E9" s="9">
        <v>1</v>
      </c>
      <c r="F9" s="13">
        <v>43266</v>
      </c>
      <c r="G9" s="9" t="s">
        <v>212</v>
      </c>
      <c r="H9" s="9" t="s">
        <v>234</v>
      </c>
      <c r="I9" s="9">
        <v>3</v>
      </c>
      <c r="J9" s="9">
        <v>3</v>
      </c>
      <c r="K9" s="14" t="str">
        <f t="shared" si="0"/>
        <v>3-3</v>
      </c>
      <c r="L9" s="14" t="str">
        <f t="shared" si="1"/>
        <v>Empata</v>
      </c>
      <c r="M9" s="10" t="b">
        <f>FALSE()</f>
        <v>0</v>
      </c>
      <c r="N9" s="10" t="b">
        <f>FALSE()</f>
        <v>0</v>
      </c>
      <c r="O9" s="14">
        <f t="shared" si="2"/>
        <v>6</v>
      </c>
      <c r="P9" s="14">
        <f t="shared" si="3"/>
        <v>0</v>
      </c>
      <c r="Q9" s="14">
        <f t="shared" si="4"/>
        <v>1</v>
      </c>
      <c r="R9" s="14">
        <f t="shared" si="5"/>
        <v>1</v>
      </c>
      <c r="S9" s="9" t="s">
        <v>282</v>
      </c>
    </row>
    <row r="10" spans="1:19" ht="14.25" customHeight="1">
      <c r="A10" s="9" t="s">
        <v>308</v>
      </c>
      <c r="B10" s="9">
        <v>2018</v>
      </c>
      <c r="C10" s="9" t="s">
        <v>61</v>
      </c>
      <c r="D10" s="9" t="s">
        <v>309</v>
      </c>
      <c r="E10" s="9">
        <v>1</v>
      </c>
      <c r="F10" s="13">
        <v>43267</v>
      </c>
      <c r="G10" s="9" t="s">
        <v>163</v>
      </c>
      <c r="H10" s="9" t="s">
        <v>114</v>
      </c>
      <c r="I10" s="9">
        <v>2</v>
      </c>
      <c r="J10" s="9">
        <v>1</v>
      </c>
      <c r="K10" s="14" t="str">
        <f t="shared" si="0"/>
        <v>2-1</v>
      </c>
      <c r="L10" s="14" t="str">
        <f t="shared" si="1"/>
        <v>Gana</v>
      </c>
      <c r="M10" s="10" t="b">
        <f>FALSE()</f>
        <v>0</v>
      </c>
      <c r="N10" s="10" t="b">
        <f>FALSE()</f>
        <v>0</v>
      </c>
      <c r="O10" s="14">
        <f t="shared" si="2"/>
        <v>3</v>
      </c>
      <c r="P10" s="14">
        <f t="shared" si="3"/>
        <v>1</v>
      </c>
      <c r="Q10" s="14">
        <f t="shared" si="4"/>
        <v>3</v>
      </c>
      <c r="R10" s="14">
        <f t="shared" si="5"/>
        <v>0</v>
      </c>
      <c r="S10" s="9" t="s">
        <v>282</v>
      </c>
    </row>
    <row r="11" spans="1:19" ht="14.25" customHeight="1">
      <c r="A11" s="9" t="s">
        <v>315</v>
      </c>
      <c r="B11" s="9">
        <v>2018</v>
      </c>
      <c r="C11" s="9" t="s">
        <v>61</v>
      </c>
      <c r="D11" s="9" t="s">
        <v>328</v>
      </c>
      <c r="E11" s="9">
        <v>1</v>
      </c>
      <c r="F11" s="13">
        <v>43267</v>
      </c>
      <c r="G11" s="9" t="s">
        <v>112</v>
      </c>
      <c r="H11" s="9" t="s">
        <v>172</v>
      </c>
      <c r="I11" s="9">
        <v>1</v>
      </c>
      <c r="J11" s="9">
        <v>1</v>
      </c>
      <c r="K11" s="14" t="str">
        <f t="shared" si="0"/>
        <v>1-1</v>
      </c>
      <c r="L11" s="14" t="str">
        <f t="shared" si="1"/>
        <v>Empata</v>
      </c>
      <c r="M11" s="10" t="b">
        <f>FALSE()</f>
        <v>0</v>
      </c>
      <c r="N11" s="10" t="b">
        <f>FALSE()</f>
        <v>0</v>
      </c>
      <c r="O11" s="14">
        <f t="shared" si="2"/>
        <v>2</v>
      </c>
      <c r="P11" s="14">
        <f t="shared" si="3"/>
        <v>0</v>
      </c>
      <c r="Q11" s="14">
        <f t="shared" si="4"/>
        <v>1</v>
      </c>
      <c r="R11" s="14">
        <f t="shared" si="5"/>
        <v>1</v>
      </c>
      <c r="S11" s="9" t="s">
        <v>282</v>
      </c>
    </row>
    <row r="12" spans="1:19" ht="14.25" customHeight="1">
      <c r="A12" s="9" t="s">
        <v>321</v>
      </c>
      <c r="B12" s="9">
        <v>2018</v>
      </c>
      <c r="C12" s="9" t="s">
        <v>61</v>
      </c>
      <c r="D12" s="9" t="s">
        <v>309</v>
      </c>
      <c r="E12" s="9">
        <v>1</v>
      </c>
      <c r="F12" s="13">
        <v>43267</v>
      </c>
      <c r="G12" s="9" t="s">
        <v>208</v>
      </c>
      <c r="H12" s="9" t="s">
        <v>155</v>
      </c>
      <c r="I12" s="9">
        <v>0</v>
      </c>
      <c r="J12" s="9">
        <v>1</v>
      </c>
      <c r="K12" s="14" t="str">
        <f t="shared" si="0"/>
        <v>0-1</v>
      </c>
      <c r="L12" s="14" t="str">
        <f t="shared" si="1"/>
        <v>Pierde</v>
      </c>
      <c r="M12" s="10" t="b">
        <f>FALSE()</f>
        <v>0</v>
      </c>
      <c r="N12" s="10" t="b">
        <f>FALSE()</f>
        <v>0</v>
      </c>
      <c r="O12" s="14">
        <f t="shared" si="2"/>
        <v>1</v>
      </c>
      <c r="P12" s="14">
        <f t="shared" si="3"/>
        <v>-1</v>
      </c>
      <c r="Q12" s="14">
        <f t="shared" si="4"/>
        <v>0</v>
      </c>
      <c r="R12" s="14">
        <f t="shared" si="5"/>
        <v>3</v>
      </c>
      <c r="S12" s="9" t="s">
        <v>282</v>
      </c>
    </row>
    <row r="13" spans="1:19" ht="14.25" customHeight="1">
      <c r="A13" s="9" t="s">
        <v>327</v>
      </c>
      <c r="B13" s="9">
        <v>2018</v>
      </c>
      <c r="C13" s="9" t="s">
        <v>61</v>
      </c>
      <c r="D13" s="9" t="s">
        <v>328</v>
      </c>
      <c r="E13" s="9">
        <v>1</v>
      </c>
      <c r="F13" s="13">
        <v>43267</v>
      </c>
      <c r="G13" s="9" t="s">
        <v>140</v>
      </c>
      <c r="H13" s="9" t="s">
        <v>200</v>
      </c>
      <c r="I13" s="9">
        <v>2</v>
      </c>
      <c r="J13" s="9">
        <v>0</v>
      </c>
      <c r="K13" s="14" t="str">
        <f t="shared" si="0"/>
        <v>2-0</v>
      </c>
      <c r="L13" s="14" t="str">
        <f t="shared" si="1"/>
        <v>Gana</v>
      </c>
      <c r="M13" s="10" t="b">
        <f>FALSE()</f>
        <v>0</v>
      </c>
      <c r="N13" s="10" t="b">
        <f>FALSE()</f>
        <v>0</v>
      </c>
      <c r="O13" s="14">
        <f t="shared" si="2"/>
        <v>2</v>
      </c>
      <c r="P13" s="14">
        <f t="shared" si="3"/>
        <v>2</v>
      </c>
      <c r="Q13" s="14">
        <f t="shared" si="4"/>
        <v>3</v>
      </c>
      <c r="R13" s="14">
        <f t="shared" si="5"/>
        <v>0</v>
      </c>
      <c r="S13" s="9" t="s">
        <v>282</v>
      </c>
    </row>
    <row r="14" spans="1:19" ht="14.25" customHeight="1">
      <c r="A14" s="9" t="s">
        <v>333</v>
      </c>
      <c r="B14" s="9">
        <v>2018</v>
      </c>
      <c r="C14" s="9" t="s">
        <v>61</v>
      </c>
      <c r="D14" s="9" t="s">
        <v>343</v>
      </c>
      <c r="E14" s="9">
        <v>1</v>
      </c>
      <c r="F14" s="13">
        <v>43268</v>
      </c>
      <c r="G14" s="9" t="s">
        <v>138</v>
      </c>
      <c r="H14" s="9" t="s">
        <v>224</v>
      </c>
      <c r="I14" s="9">
        <v>0</v>
      </c>
      <c r="J14" s="9">
        <v>1</v>
      </c>
      <c r="K14" s="14" t="str">
        <f t="shared" si="0"/>
        <v>0-1</v>
      </c>
      <c r="L14" s="14" t="str">
        <f t="shared" si="1"/>
        <v>Pierde</v>
      </c>
      <c r="M14" s="10" t="b">
        <f>FALSE()</f>
        <v>0</v>
      </c>
      <c r="N14" s="10" t="b">
        <f>FALSE()</f>
        <v>0</v>
      </c>
      <c r="O14" s="14">
        <f t="shared" si="2"/>
        <v>1</v>
      </c>
      <c r="P14" s="14">
        <f t="shared" si="3"/>
        <v>-1</v>
      </c>
      <c r="Q14" s="14">
        <f t="shared" si="4"/>
        <v>0</v>
      </c>
      <c r="R14" s="14">
        <f t="shared" si="5"/>
        <v>3</v>
      </c>
      <c r="S14" s="9" t="s">
        <v>282</v>
      </c>
    </row>
    <row r="15" spans="1:19" ht="14.25" customHeight="1">
      <c r="A15" s="9" t="s">
        <v>339</v>
      </c>
      <c r="B15" s="9">
        <v>2018</v>
      </c>
      <c r="C15" s="9" t="s">
        <v>61</v>
      </c>
      <c r="D15" s="9" t="s">
        <v>417</v>
      </c>
      <c r="E15" s="9">
        <v>1</v>
      </c>
      <c r="F15" s="13">
        <v>43268</v>
      </c>
      <c r="G15" s="9" t="s">
        <v>166</v>
      </c>
      <c r="H15" s="9" t="s">
        <v>188</v>
      </c>
      <c r="I15" s="9">
        <v>0</v>
      </c>
      <c r="J15" s="9">
        <v>1</v>
      </c>
      <c r="K15" s="14" t="str">
        <f t="shared" si="0"/>
        <v>0-1</v>
      </c>
      <c r="L15" s="14" t="str">
        <f t="shared" si="1"/>
        <v>Pierde</v>
      </c>
      <c r="M15" s="10" t="b">
        <f>FALSE()</f>
        <v>0</v>
      </c>
      <c r="N15" s="10" t="b">
        <f>FALSE()</f>
        <v>0</v>
      </c>
      <c r="O15" s="14">
        <f t="shared" si="2"/>
        <v>1</v>
      </c>
      <c r="P15" s="14">
        <f t="shared" si="3"/>
        <v>-1</v>
      </c>
      <c r="Q15" s="14">
        <f t="shared" si="4"/>
        <v>0</v>
      </c>
      <c r="R15" s="14">
        <f t="shared" si="5"/>
        <v>3</v>
      </c>
      <c r="S15" s="9" t="s">
        <v>282</v>
      </c>
    </row>
    <row r="16" spans="1:19" ht="14.25" customHeight="1">
      <c r="A16" s="9" t="s">
        <v>342</v>
      </c>
      <c r="B16" s="9">
        <v>2018</v>
      </c>
      <c r="C16" s="9" t="s">
        <v>61</v>
      </c>
      <c r="D16" s="9" t="s">
        <v>343</v>
      </c>
      <c r="E16" s="9">
        <v>1</v>
      </c>
      <c r="F16" s="13">
        <v>43268</v>
      </c>
      <c r="G16" s="9" t="s">
        <v>126</v>
      </c>
      <c r="H16" s="9" t="s">
        <v>239</v>
      </c>
      <c r="I16" s="9">
        <v>1</v>
      </c>
      <c r="J16" s="9">
        <v>1</v>
      </c>
      <c r="K16" s="14" t="str">
        <f t="shared" si="0"/>
        <v>1-1</v>
      </c>
      <c r="L16" s="14" t="str">
        <f t="shared" si="1"/>
        <v>Empata</v>
      </c>
      <c r="M16" s="10" t="b">
        <f>FALSE()</f>
        <v>0</v>
      </c>
      <c r="N16" s="10" t="b">
        <f>FALSE()</f>
        <v>0</v>
      </c>
      <c r="O16" s="14">
        <f t="shared" si="2"/>
        <v>2</v>
      </c>
      <c r="P16" s="14">
        <f t="shared" si="3"/>
        <v>0</v>
      </c>
      <c r="Q16" s="14">
        <f t="shared" si="4"/>
        <v>1</v>
      </c>
      <c r="R16" s="14">
        <f t="shared" si="5"/>
        <v>1</v>
      </c>
      <c r="S16" s="9" t="s">
        <v>282</v>
      </c>
    </row>
    <row r="17" spans="1:19" ht="14.25" customHeight="1">
      <c r="A17" s="9" t="s">
        <v>347</v>
      </c>
      <c r="B17" s="9">
        <v>2018</v>
      </c>
      <c r="C17" s="9" t="s">
        <v>61</v>
      </c>
      <c r="D17" s="9" t="s">
        <v>417</v>
      </c>
      <c r="E17" s="9">
        <v>1</v>
      </c>
      <c r="F17" s="13">
        <v>43269</v>
      </c>
      <c r="G17" s="9" t="s">
        <v>236</v>
      </c>
      <c r="H17" s="9" t="s">
        <v>229</v>
      </c>
      <c r="I17" s="9">
        <v>1</v>
      </c>
      <c r="J17" s="9">
        <v>0</v>
      </c>
      <c r="K17" s="14" t="str">
        <f t="shared" si="0"/>
        <v>1-0</v>
      </c>
      <c r="L17" s="14" t="str">
        <f t="shared" si="1"/>
        <v>Gana</v>
      </c>
      <c r="M17" s="10" t="b">
        <f>FALSE()</f>
        <v>0</v>
      </c>
      <c r="N17" s="10" t="b">
        <f>FALSE()</f>
        <v>0</v>
      </c>
      <c r="O17" s="14">
        <f t="shared" si="2"/>
        <v>1</v>
      </c>
      <c r="P17" s="14">
        <f t="shared" si="3"/>
        <v>1</v>
      </c>
      <c r="Q17" s="14">
        <f t="shared" si="4"/>
        <v>3</v>
      </c>
      <c r="R17" s="14">
        <f t="shared" si="5"/>
        <v>0</v>
      </c>
      <c r="S17" s="9" t="s">
        <v>282</v>
      </c>
    </row>
    <row r="18" spans="1:19" ht="14.25" customHeight="1">
      <c r="A18" s="9" t="s">
        <v>354</v>
      </c>
      <c r="B18" s="9">
        <v>2018</v>
      </c>
      <c r="C18" s="9" t="s">
        <v>61</v>
      </c>
      <c r="D18" s="9" t="s">
        <v>359</v>
      </c>
      <c r="E18" s="9">
        <v>1</v>
      </c>
      <c r="F18" s="13">
        <v>43269</v>
      </c>
      <c r="G18" s="9" t="s">
        <v>118</v>
      </c>
      <c r="H18" s="9" t="s">
        <v>204</v>
      </c>
      <c r="I18" s="9">
        <v>3</v>
      </c>
      <c r="J18" s="9">
        <v>0</v>
      </c>
      <c r="K18" s="14" t="str">
        <f t="shared" si="0"/>
        <v>3-0</v>
      </c>
      <c r="L18" s="14" t="str">
        <f t="shared" si="1"/>
        <v>Gana</v>
      </c>
      <c r="M18" s="10" t="b">
        <f>FALSE()</f>
        <v>0</v>
      </c>
      <c r="N18" s="10" t="b">
        <f>FALSE()</f>
        <v>0</v>
      </c>
      <c r="O18" s="14">
        <f t="shared" si="2"/>
        <v>3</v>
      </c>
      <c r="P18" s="14">
        <f t="shared" si="3"/>
        <v>3</v>
      </c>
      <c r="Q18" s="14">
        <f t="shared" si="4"/>
        <v>3</v>
      </c>
      <c r="R18" s="14">
        <f t="shared" si="5"/>
        <v>0</v>
      </c>
      <c r="S18" s="9" t="s">
        <v>282</v>
      </c>
    </row>
    <row r="19" spans="1:19" ht="14.25" customHeight="1">
      <c r="A19" s="9" t="s">
        <v>358</v>
      </c>
      <c r="B19" s="9">
        <v>2018</v>
      </c>
      <c r="C19" s="9" t="s">
        <v>61</v>
      </c>
      <c r="D19" s="9" t="s">
        <v>359</v>
      </c>
      <c r="E19" s="9">
        <v>1</v>
      </c>
      <c r="F19" s="13">
        <v>43269</v>
      </c>
      <c r="G19" s="9" t="s">
        <v>241</v>
      </c>
      <c r="H19" s="9" t="s">
        <v>161</v>
      </c>
      <c r="I19" s="9">
        <v>1</v>
      </c>
      <c r="J19" s="9">
        <v>2</v>
      </c>
      <c r="K19" s="14" t="str">
        <f t="shared" si="0"/>
        <v>1-2</v>
      </c>
      <c r="L19" s="14" t="str">
        <f t="shared" si="1"/>
        <v>Pierde</v>
      </c>
      <c r="M19" s="10" t="b">
        <f>FALSE()</f>
        <v>0</v>
      </c>
      <c r="N19" s="10" t="b">
        <f>FALSE()</f>
        <v>0</v>
      </c>
      <c r="O19" s="14">
        <f t="shared" si="2"/>
        <v>3</v>
      </c>
      <c r="P19" s="14">
        <f t="shared" si="3"/>
        <v>-1</v>
      </c>
      <c r="Q19" s="14">
        <f t="shared" si="4"/>
        <v>0</v>
      </c>
      <c r="R19" s="14">
        <f t="shared" si="5"/>
        <v>3</v>
      </c>
      <c r="S19" s="9" t="s">
        <v>282</v>
      </c>
    </row>
    <row r="20" spans="1:19" ht="14.25" customHeight="1">
      <c r="A20" s="9" t="s">
        <v>365</v>
      </c>
      <c r="B20" s="9">
        <v>2018</v>
      </c>
      <c r="C20" s="9" t="s">
        <v>61</v>
      </c>
      <c r="D20" s="9" t="s">
        <v>556</v>
      </c>
      <c r="E20" s="9">
        <v>1</v>
      </c>
      <c r="F20" s="13">
        <v>43270</v>
      </c>
      <c r="G20" s="9" t="s">
        <v>136</v>
      </c>
      <c r="H20" s="9" t="s">
        <v>185</v>
      </c>
      <c r="I20" s="9">
        <v>1</v>
      </c>
      <c r="J20" s="9">
        <v>2</v>
      </c>
      <c r="K20" s="14" t="str">
        <f t="shared" si="0"/>
        <v>1-2</v>
      </c>
      <c r="L20" s="14" t="str">
        <f t="shared" si="1"/>
        <v>Pierde</v>
      </c>
      <c r="M20" s="10" t="b">
        <f>FALSE()</f>
        <v>0</v>
      </c>
      <c r="N20" s="10" t="b">
        <f>FALSE()</f>
        <v>0</v>
      </c>
      <c r="O20" s="14">
        <f t="shared" si="2"/>
        <v>3</v>
      </c>
      <c r="P20" s="14">
        <f t="shared" si="3"/>
        <v>-1</v>
      </c>
      <c r="Q20" s="14">
        <f t="shared" si="4"/>
        <v>0</v>
      </c>
      <c r="R20" s="14">
        <f t="shared" si="5"/>
        <v>3</v>
      </c>
      <c r="S20" s="9" t="s">
        <v>282</v>
      </c>
    </row>
    <row r="21" spans="1:19" ht="14.25" customHeight="1">
      <c r="A21" s="9" t="s">
        <v>370</v>
      </c>
      <c r="B21" s="9">
        <v>2018</v>
      </c>
      <c r="C21" s="9" t="s">
        <v>61</v>
      </c>
      <c r="D21" s="9" t="s">
        <v>556</v>
      </c>
      <c r="E21" s="9">
        <v>1</v>
      </c>
      <c r="F21" s="13">
        <v>43270</v>
      </c>
      <c r="G21" s="9" t="s">
        <v>210</v>
      </c>
      <c r="H21" s="9" t="s">
        <v>222</v>
      </c>
      <c r="I21" s="9">
        <v>1</v>
      </c>
      <c r="J21" s="9">
        <v>2</v>
      </c>
      <c r="K21" s="14" t="str">
        <f t="shared" si="0"/>
        <v>1-2</v>
      </c>
      <c r="L21" s="14" t="str">
        <f t="shared" si="1"/>
        <v>Pierde</v>
      </c>
      <c r="M21" s="10" t="b">
        <f>FALSE()</f>
        <v>0</v>
      </c>
      <c r="N21" s="10" t="b">
        <f>FALSE()</f>
        <v>0</v>
      </c>
      <c r="O21" s="14">
        <f t="shared" si="2"/>
        <v>3</v>
      </c>
      <c r="P21" s="14">
        <f t="shared" si="3"/>
        <v>-1</v>
      </c>
      <c r="Q21" s="14">
        <f t="shared" si="4"/>
        <v>0</v>
      </c>
      <c r="R21" s="14">
        <f t="shared" si="5"/>
        <v>3</v>
      </c>
      <c r="S21" s="9" t="s">
        <v>282</v>
      </c>
    </row>
    <row r="22" spans="1:19" ht="14.25" customHeight="1">
      <c r="A22" s="9" t="s">
        <v>373</v>
      </c>
      <c r="B22" s="9">
        <v>2018</v>
      </c>
      <c r="C22" s="9" t="s">
        <v>61</v>
      </c>
      <c r="D22" s="9" t="s">
        <v>64</v>
      </c>
      <c r="E22" s="9">
        <v>2</v>
      </c>
      <c r="F22" s="13">
        <v>43270</v>
      </c>
      <c r="G22" s="9" t="s">
        <v>73</v>
      </c>
      <c r="H22" s="9" t="s">
        <v>159</v>
      </c>
      <c r="I22" s="9">
        <v>3</v>
      </c>
      <c r="J22" s="9">
        <v>1</v>
      </c>
      <c r="K22" s="14" t="str">
        <f t="shared" si="0"/>
        <v>3-1</v>
      </c>
      <c r="L22" s="14" t="str">
        <f t="shared" si="1"/>
        <v>Gana</v>
      </c>
      <c r="M22" s="10" t="b">
        <f>TRUE()</f>
        <v>1</v>
      </c>
      <c r="N22" s="10" t="b">
        <f>FALSE()</f>
        <v>0</v>
      </c>
      <c r="O22" s="14">
        <f t="shared" si="2"/>
        <v>4</v>
      </c>
      <c r="P22" s="14">
        <f t="shared" si="3"/>
        <v>2</v>
      </c>
      <c r="Q22" s="14">
        <f t="shared" si="4"/>
        <v>3</v>
      </c>
      <c r="R22" s="14">
        <f t="shared" si="5"/>
        <v>0</v>
      </c>
      <c r="S22" s="9" t="s">
        <v>282</v>
      </c>
    </row>
    <row r="23" spans="1:19" ht="14.25" customHeight="1">
      <c r="A23" s="9" t="s">
        <v>376</v>
      </c>
      <c r="B23" s="9">
        <v>2018</v>
      </c>
      <c r="C23" s="9" t="s">
        <v>61</v>
      </c>
      <c r="D23" s="9" t="s">
        <v>384</v>
      </c>
      <c r="E23" s="9">
        <v>2</v>
      </c>
      <c r="F23" s="13">
        <v>43271</v>
      </c>
      <c r="G23" s="9" t="s">
        <v>212</v>
      </c>
      <c r="H23" s="9" t="s">
        <v>191</v>
      </c>
      <c r="I23" s="9">
        <v>1</v>
      </c>
      <c r="J23" s="9">
        <v>0</v>
      </c>
      <c r="K23" s="14" t="str">
        <f t="shared" si="0"/>
        <v>1-0</v>
      </c>
      <c r="L23" s="14" t="str">
        <f t="shared" si="1"/>
        <v>Gana</v>
      </c>
      <c r="M23" s="10" t="b">
        <f>FALSE()</f>
        <v>0</v>
      </c>
      <c r="N23" s="10" t="b">
        <f>FALSE()</f>
        <v>0</v>
      </c>
      <c r="O23" s="14">
        <f t="shared" si="2"/>
        <v>1</v>
      </c>
      <c r="P23" s="14">
        <f t="shared" si="3"/>
        <v>1</v>
      </c>
      <c r="Q23" s="14">
        <f t="shared" si="4"/>
        <v>3</v>
      </c>
      <c r="R23" s="14">
        <f t="shared" si="5"/>
        <v>0</v>
      </c>
      <c r="S23" s="9" t="s">
        <v>282</v>
      </c>
    </row>
    <row r="24" spans="1:19" ht="14.25" customHeight="1">
      <c r="A24" s="9" t="s">
        <v>380</v>
      </c>
      <c r="B24" s="9">
        <v>2018</v>
      </c>
      <c r="C24" s="9" t="s">
        <v>61</v>
      </c>
      <c r="D24" s="9" t="s">
        <v>64</v>
      </c>
      <c r="E24" s="9">
        <v>2</v>
      </c>
      <c r="F24" s="13">
        <v>43271</v>
      </c>
      <c r="G24" s="9" t="s">
        <v>252</v>
      </c>
      <c r="H24" s="9" t="s">
        <v>76</v>
      </c>
      <c r="I24" s="9">
        <v>1</v>
      </c>
      <c r="J24" s="9">
        <v>0</v>
      </c>
      <c r="K24" s="14" t="str">
        <f t="shared" si="0"/>
        <v>1-0</v>
      </c>
      <c r="L24" s="14" t="str">
        <f t="shared" si="1"/>
        <v>Gana</v>
      </c>
      <c r="M24" s="10" t="b">
        <f>FALSE()</f>
        <v>0</v>
      </c>
      <c r="N24" s="10" t="b">
        <f>FALSE()</f>
        <v>0</v>
      </c>
      <c r="O24" s="14">
        <f t="shared" si="2"/>
        <v>1</v>
      </c>
      <c r="P24" s="14">
        <f t="shared" si="3"/>
        <v>1</v>
      </c>
      <c r="Q24" s="14">
        <f t="shared" si="4"/>
        <v>3</v>
      </c>
      <c r="R24" s="14">
        <f t="shared" si="5"/>
        <v>0</v>
      </c>
      <c r="S24" s="9" t="s">
        <v>282</v>
      </c>
    </row>
    <row r="25" spans="1:19" ht="14.25" customHeight="1">
      <c r="A25" s="9" t="s">
        <v>383</v>
      </c>
      <c r="B25" s="9">
        <v>2018</v>
      </c>
      <c r="C25" s="9" t="s">
        <v>61</v>
      </c>
      <c r="D25" s="9" t="s">
        <v>384</v>
      </c>
      <c r="E25" s="9">
        <v>2</v>
      </c>
      <c r="F25" s="13">
        <v>43271</v>
      </c>
      <c r="G25" s="9" t="s">
        <v>175</v>
      </c>
      <c r="H25" s="9" t="s">
        <v>234</v>
      </c>
      <c r="I25" s="9">
        <v>0</v>
      </c>
      <c r="J25" s="9">
        <v>1</v>
      </c>
      <c r="K25" s="14" t="str">
        <f t="shared" si="0"/>
        <v>0-1</v>
      </c>
      <c r="L25" s="14" t="str">
        <f t="shared" si="1"/>
        <v>Pierde</v>
      </c>
      <c r="M25" s="10" t="b">
        <f>FALSE()</f>
        <v>0</v>
      </c>
      <c r="N25" s="10" t="b">
        <f>FALSE()</f>
        <v>0</v>
      </c>
      <c r="O25" s="14">
        <f t="shared" si="2"/>
        <v>1</v>
      </c>
      <c r="P25" s="14">
        <f t="shared" si="3"/>
        <v>-1</v>
      </c>
      <c r="Q25" s="14">
        <f t="shared" si="4"/>
        <v>0</v>
      </c>
      <c r="R25" s="14">
        <f t="shared" si="5"/>
        <v>3</v>
      </c>
      <c r="S25" s="9" t="s">
        <v>282</v>
      </c>
    </row>
    <row r="26" spans="1:19" ht="14.25" customHeight="1">
      <c r="A26" s="9" t="s">
        <v>386</v>
      </c>
      <c r="B26" s="9">
        <v>2018</v>
      </c>
      <c r="C26" s="9" t="s">
        <v>61</v>
      </c>
      <c r="D26" s="9" t="s">
        <v>309</v>
      </c>
      <c r="E26" s="9">
        <v>2</v>
      </c>
      <c r="F26" s="13">
        <v>43272</v>
      </c>
      <c r="G26" s="9" t="s">
        <v>155</v>
      </c>
      <c r="H26" s="9" t="s">
        <v>114</v>
      </c>
      <c r="I26" s="9">
        <v>1</v>
      </c>
      <c r="J26" s="9">
        <v>1</v>
      </c>
      <c r="K26" s="14" t="str">
        <f t="shared" si="0"/>
        <v>1-1</v>
      </c>
      <c r="L26" s="14" t="str">
        <f t="shared" si="1"/>
        <v>Empata</v>
      </c>
      <c r="M26" s="10" t="b">
        <f>FALSE()</f>
        <v>0</v>
      </c>
      <c r="N26" s="10" t="b">
        <f>FALSE()</f>
        <v>0</v>
      </c>
      <c r="O26" s="14">
        <f t="shared" si="2"/>
        <v>2</v>
      </c>
      <c r="P26" s="14">
        <f t="shared" si="3"/>
        <v>0</v>
      </c>
      <c r="Q26" s="14">
        <f t="shared" si="4"/>
        <v>1</v>
      </c>
      <c r="R26" s="14">
        <f t="shared" si="5"/>
        <v>1</v>
      </c>
      <c r="S26" s="9" t="s">
        <v>282</v>
      </c>
    </row>
    <row r="27" spans="1:19" ht="14.25" customHeight="1">
      <c r="A27" s="9" t="s">
        <v>390</v>
      </c>
      <c r="B27" s="9">
        <v>2018</v>
      </c>
      <c r="C27" s="9" t="s">
        <v>61</v>
      </c>
      <c r="D27" s="9" t="s">
        <v>309</v>
      </c>
      <c r="E27" s="9">
        <v>2</v>
      </c>
      <c r="F27" s="13">
        <v>43272</v>
      </c>
      <c r="G27" s="9" t="s">
        <v>163</v>
      </c>
      <c r="H27" s="9" t="s">
        <v>208</v>
      </c>
      <c r="I27" s="9">
        <v>1</v>
      </c>
      <c r="J27" s="9">
        <v>0</v>
      </c>
      <c r="K27" s="14" t="str">
        <f t="shared" si="0"/>
        <v>1-0</v>
      </c>
      <c r="L27" s="14" t="str">
        <f t="shared" si="1"/>
        <v>Gana</v>
      </c>
      <c r="M27" s="10" t="b">
        <f>FALSE()</f>
        <v>0</v>
      </c>
      <c r="N27" s="10" t="b">
        <f>FALSE()</f>
        <v>0</v>
      </c>
      <c r="O27" s="14">
        <f t="shared" si="2"/>
        <v>1</v>
      </c>
      <c r="P27" s="14">
        <f t="shared" si="3"/>
        <v>1</v>
      </c>
      <c r="Q27" s="14">
        <f t="shared" si="4"/>
        <v>3</v>
      </c>
      <c r="R27" s="14">
        <f t="shared" si="5"/>
        <v>0</v>
      </c>
      <c r="S27" s="9" t="s">
        <v>282</v>
      </c>
    </row>
    <row r="28" spans="1:19" ht="14.25" customHeight="1">
      <c r="A28" s="9" t="s">
        <v>393</v>
      </c>
      <c r="B28" s="9">
        <v>2018</v>
      </c>
      <c r="C28" s="9" t="s">
        <v>61</v>
      </c>
      <c r="D28" s="9" t="s">
        <v>328</v>
      </c>
      <c r="E28" s="9">
        <v>2</v>
      </c>
      <c r="F28" s="13">
        <v>43272</v>
      </c>
      <c r="G28" s="9" t="s">
        <v>112</v>
      </c>
      <c r="H28" s="9" t="s">
        <v>140</v>
      </c>
      <c r="I28" s="9">
        <v>0</v>
      </c>
      <c r="J28" s="9">
        <v>3</v>
      </c>
      <c r="K28" s="14" t="str">
        <f t="shared" si="0"/>
        <v>0-3</v>
      </c>
      <c r="L28" s="14" t="str">
        <f t="shared" si="1"/>
        <v>Pierde</v>
      </c>
      <c r="M28" s="10" t="b">
        <f>FALSE()</f>
        <v>0</v>
      </c>
      <c r="N28" s="10" t="b">
        <f>FALSE()</f>
        <v>0</v>
      </c>
      <c r="O28" s="14">
        <f t="shared" si="2"/>
        <v>3</v>
      </c>
      <c r="P28" s="14">
        <f t="shared" si="3"/>
        <v>-3</v>
      </c>
      <c r="Q28" s="14">
        <f t="shared" si="4"/>
        <v>0</v>
      </c>
      <c r="R28" s="14">
        <f t="shared" si="5"/>
        <v>3</v>
      </c>
      <c r="S28" s="9" t="s">
        <v>282</v>
      </c>
    </row>
    <row r="29" spans="1:19" ht="14.25" customHeight="1">
      <c r="A29" s="9" t="s">
        <v>397</v>
      </c>
      <c r="B29" s="9">
        <v>2018</v>
      </c>
      <c r="C29" s="9" t="s">
        <v>61</v>
      </c>
      <c r="D29" s="9" t="s">
        <v>343</v>
      </c>
      <c r="E29" s="9">
        <v>2</v>
      </c>
      <c r="F29" s="13">
        <v>43273</v>
      </c>
      <c r="G29" s="9" t="s">
        <v>126</v>
      </c>
      <c r="H29" s="9" t="s">
        <v>138</v>
      </c>
      <c r="I29" s="9">
        <v>2</v>
      </c>
      <c r="J29" s="9">
        <v>0</v>
      </c>
      <c r="K29" s="14" t="str">
        <f t="shared" si="0"/>
        <v>2-0</v>
      </c>
      <c r="L29" s="14" t="str">
        <f t="shared" si="1"/>
        <v>Gana</v>
      </c>
      <c r="M29" s="10" t="b">
        <f>FALSE()</f>
        <v>0</v>
      </c>
      <c r="N29" s="10" t="b">
        <f>FALSE()</f>
        <v>0</v>
      </c>
      <c r="O29" s="14">
        <f t="shared" si="2"/>
        <v>2</v>
      </c>
      <c r="P29" s="14">
        <f t="shared" si="3"/>
        <v>2</v>
      </c>
      <c r="Q29" s="14">
        <f t="shared" si="4"/>
        <v>3</v>
      </c>
      <c r="R29" s="14">
        <f t="shared" si="5"/>
        <v>0</v>
      </c>
      <c r="S29" s="9" t="s">
        <v>282</v>
      </c>
    </row>
    <row r="30" spans="1:19" ht="14.25" customHeight="1">
      <c r="A30" s="9" t="s">
        <v>401</v>
      </c>
      <c r="B30" s="9">
        <v>2018</v>
      </c>
      <c r="C30" s="9" t="s">
        <v>61</v>
      </c>
      <c r="D30" s="9" t="s">
        <v>328</v>
      </c>
      <c r="E30" s="9">
        <v>2</v>
      </c>
      <c r="F30" s="13">
        <v>43273</v>
      </c>
      <c r="G30" s="9" t="s">
        <v>200</v>
      </c>
      <c r="H30" s="9" t="s">
        <v>172</v>
      </c>
      <c r="I30" s="9">
        <v>2</v>
      </c>
      <c r="J30" s="9">
        <v>0</v>
      </c>
      <c r="K30" s="14" t="str">
        <f t="shared" si="0"/>
        <v>2-0</v>
      </c>
      <c r="L30" s="14" t="str">
        <f t="shared" si="1"/>
        <v>Gana</v>
      </c>
      <c r="M30" s="10" t="b">
        <f>FALSE()</f>
        <v>0</v>
      </c>
      <c r="N30" s="10" t="b">
        <f>FALSE()</f>
        <v>0</v>
      </c>
      <c r="O30" s="14">
        <f t="shared" si="2"/>
        <v>2</v>
      </c>
      <c r="P30" s="14">
        <f t="shared" si="3"/>
        <v>2</v>
      </c>
      <c r="Q30" s="14">
        <f t="shared" si="4"/>
        <v>3</v>
      </c>
      <c r="R30" s="14">
        <f t="shared" si="5"/>
        <v>0</v>
      </c>
      <c r="S30" s="9" t="s">
        <v>282</v>
      </c>
    </row>
    <row r="31" spans="1:19" ht="14.25" customHeight="1">
      <c r="A31" s="9" t="s">
        <v>405</v>
      </c>
      <c r="B31" s="9">
        <v>2018</v>
      </c>
      <c r="C31" s="9" t="s">
        <v>61</v>
      </c>
      <c r="D31" s="9" t="s">
        <v>343</v>
      </c>
      <c r="E31" s="9">
        <v>2</v>
      </c>
      <c r="F31" s="13">
        <v>43273</v>
      </c>
      <c r="G31" s="9" t="s">
        <v>224</v>
      </c>
      <c r="H31" s="9" t="s">
        <v>239</v>
      </c>
      <c r="I31" s="9">
        <v>1</v>
      </c>
      <c r="J31" s="9">
        <v>2</v>
      </c>
      <c r="K31" s="14" t="str">
        <f t="shared" si="0"/>
        <v>1-2</v>
      </c>
      <c r="L31" s="14" t="str">
        <f t="shared" si="1"/>
        <v>Pierde</v>
      </c>
      <c r="M31" s="10" t="b">
        <f>FALSE()</f>
        <v>0</v>
      </c>
      <c r="N31" s="10" t="b">
        <f>FALSE()</f>
        <v>0</v>
      </c>
      <c r="O31" s="14">
        <f t="shared" si="2"/>
        <v>3</v>
      </c>
      <c r="P31" s="14">
        <f t="shared" si="3"/>
        <v>-1</v>
      </c>
      <c r="Q31" s="14">
        <f t="shared" si="4"/>
        <v>0</v>
      </c>
      <c r="R31" s="14">
        <f t="shared" si="5"/>
        <v>3</v>
      </c>
      <c r="S31" s="9" t="s">
        <v>282</v>
      </c>
    </row>
    <row r="32" spans="1:19" ht="14.25" customHeight="1">
      <c r="A32" s="9" t="s">
        <v>408</v>
      </c>
      <c r="B32" s="9">
        <v>2018</v>
      </c>
      <c r="C32" s="9" t="s">
        <v>61</v>
      </c>
      <c r="D32" s="9" t="s">
        <v>359</v>
      </c>
      <c r="E32" s="9">
        <v>2</v>
      </c>
      <c r="F32" s="13">
        <v>43274</v>
      </c>
      <c r="G32" s="9" t="s">
        <v>118</v>
      </c>
      <c r="H32" s="9" t="s">
        <v>241</v>
      </c>
      <c r="I32" s="9">
        <v>5</v>
      </c>
      <c r="J32" s="9">
        <v>2</v>
      </c>
      <c r="K32" s="14" t="str">
        <f t="shared" si="0"/>
        <v>5-2</v>
      </c>
      <c r="L32" s="14" t="str">
        <f t="shared" si="1"/>
        <v>Gana</v>
      </c>
      <c r="M32" s="10" t="b">
        <f>FALSE()</f>
        <v>0</v>
      </c>
      <c r="N32" s="10" t="b">
        <f>FALSE()</f>
        <v>0</v>
      </c>
      <c r="O32" s="14">
        <f t="shared" si="2"/>
        <v>7</v>
      </c>
      <c r="P32" s="14">
        <f t="shared" si="3"/>
        <v>3</v>
      </c>
      <c r="Q32" s="14">
        <f t="shared" si="4"/>
        <v>3</v>
      </c>
      <c r="R32" s="14">
        <f t="shared" si="5"/>
        <v>0</v>
      </c>
      <c r="S32" s="9" t="s">
        <v>282</v>
      </c>
    </row>
    <row r="33" spans="1:19" ht="14.25" customHeight="1">
      <c r="A33" s="9" t="s">
        <v>412</v>
      </c>
      <c r="B33" s="9">
        <v>2018</v>
      </c>
      <c r="C33" s="9" t="s">
        <v>61</v>
      </c>
      <c r="D33" s="9" t="s">
        <v>417</v>
      </c>
      <c r="E33" s="9">
        <v>2</v>
      </c>
      <c r="F33" s="13">
        <v>43274</v>
      </c>
      <c r="G33" s="9" t="s">
        <v>229</v>
      </c>
      <c r="H33" s="9" t="s">
        <v>188</v>
      </c>
      <c r="I33" s="9">
        <v>1</v>
      </c>
      <c r="J33" s="9">
        <v>2</v>
      </c>
      <c r="K33" s="14" t="str">
        <f t="shared" si="0"/>
        <v>1-2</v>
      </c>
      <c r="L33" s="14" t="str">
        <f t="shared" si="1"/>
        <v>Pierde</v>
      </c>
      <c r="M33" s="10" t="b">
        <f>FALSE()</f>
        <v>0</v>
      </c>
      <c r="N33" s="10" t="b">
        <f>FALSE()</f>
        <v>0</v>
      </c>
      <c r="O33" s="14">
        <f t="shared" si="2"/>
        <v>3</v>
      </c>
      <c r="P33" s="14">
        <f t="shared" si="3"/>
        <v>-1</v>
      </c>
      <c r="Q33" s="14">
        <f t="shared" si="4"/>
        <v>0</v>
      </c>
      <c r="R33" s="14">
        <f t="shared" si="5"/>
        <v>3</v>
      </c>
      <c r="S33" s="9" t="s">
        <v>282</v>
      </c>
    </row>
    <row r="34" spans="1:19" ht="14.25" customHeight="1">
      <c r="A34" s="9" t="s">
        <v>416</v>
      </c>
      <c r="B34" s="9">
        <v>2018</v>
      </c>
      <c r="C34" s="9" t="s">
        <v>61</v>
      </c>
      <c r="D34" s="9" t="s">
        <v>417</v>
      </c>
      <c r="E34" s="9">
        <v>2</v>
      </c>
      <c r="F34" s="13">
        <v>43274</v>
      </c>
      <c r="G34" s="9" t="s">
        <v>166</v>
      </c>
      <c r="H34" s="9" t="s">
        <v>236</v>
      </c>
      <c r="I34" s="9">
        <v>2</v>
      </c>
      <c r="J34" s="9">
        <v>1</v>
      </c>
      <c r="K34" s="14" t="str">
        <f t="shared" si="0"/>
        <v>2-1</v>
      </c>
      <c r="L34" s="14" t="str">
        <f t="shared" si="1"/>
        <v>Gana</v>
      </c>
      <c r="M34" s="10" t="b">
        <f>FALSE()</f>
        <v>0</v>
      </c>
      <c r="N34" s="10" t="b">
        <f>FALSE()</f>
        <v>0</v>
      </c>
      <c r="O34" s="14">
        <f t="shared" si="2"/>
        <v>3</v>
      </c>
      <c r="P34" s="14">
        <f t="shared" si="3"/>
        <v>1</v>
      </c>
      <c r="Q34" s="14">
        <f t="shared" si="4"/>
        <v>3</v>
      </c>
      <c r="R34" s="14">
        <f t="shared" si="5"/>
        <v>0</v>
      </c>
      <c r="S34" s="9" t="s">
        <v>282</v>
      </c>
    </row>
    <row r="35" spans="1:19" ht="14.25" customHeight="1">
      <c r="A35" s="9" t="s">
        <v>420</v>
      </c>
      <c r="B35" s="9">
        <v>2018</v>
      </c>
      <c r="C35" s="9" t="s">
        <v>61</v>
      </c>
      <c r="D35" s="9" t="s">
        <v>359</v>
      </c>
      <c r="E35" s="9">
        <v>2</v>
      </c>
      <c r="F35" s="13">
        <v>43275</v>
      </c>
      <c r="G35" s="9" t="s">
        <v>161</v>
      </c>
      <c r="H35" s="9" t="s">
        <v>204</v>
      </c>
      <c r="I35" s="9">
        <v>6</v>
      </c>
      <c r="J35" s="9">
        <v>1</v>
      </c>
      <c r="K35" s="14" t="str">
        <f t="shared" si="0"/>
        <v>6-1</v>
      </c>
      <c r="L35" s="14" t="str">
        <f t="shared" si="1"/>
        <v>Gana</v>
      </c>
      <c r="M35" s="10" t="b">
        <f>FALSE()</f>
        <v>0</v>
      </c>
      <c r="N35" s="10" t="b">
        <f>FALSE()</f>
        <v>0</v>
      </c>
      <c r="O35" s="14">
        <f t="shared" si="2"/>
        <v>7</v>
      </c>
      <c r="P35" s="14">
        <f t="shared" si="3"/>
        <v>5</v>
      </c>
      <c r="Q35" s="14">
        <f t="shared" si="4"/>
        <v>3</v>
      </c>
      <c r="R35" s="14">
        <f t="shared" si="5"/>
        <v>0</v>
      </c>
      <c r="S35" s="9" t="s">
        <v>282</v>
      </c>
    </row>
    <row r="36" spans="1:19" ht="14.25" customHeight="1">
      <c r="A36" s="9" t="s">
        <v>423</v>
      </c>
      <c r="B36" s="9">
        <v>2018</v>
      </c>
      <c r="C36" s="9" t="s">
        <v>61</v>
      </c>
      <c r="D36" s="9" t="s">
        <v>556</v>
      </c>
      <c r="E36" s="9">
        <v>2</v>
      </c>
      <c r="F36" s="13">
        <v>43275</v>
      </c>
      <c r="G36" s="9" t="s">
        <v>185</v>
      </c>
      <c r="H36" s="9" t="s">
        <v>222</v>
      </c>
      <c r="I36" s="9">
        <v>2</v>
      </c>
      <c r="J36" s="9">
        <v>2</v>
      </c>
      <c r="K36" s="14" t="str">
        <f t="shared" si="0"/>
        <v>2-2</v>
      </c>
      <c r="L36" s="14" t="str">
        <f t="shared" si="1"/>
        <v>Empata</v>
      </c>
      <c r="M36" s="10" t="b">
        <f>FALSE()</f>
        <v>0</v>
      </c>
      <c r="N36" s="10" t="b">
        <f>FALSE()</f>
        <v>0</v>
      </c>
      <c r="O36" s="14">
        <f t="shared" si="2"/>
        <v>4</v>
      </c>
      <c r="P36" s="14">
        <f t="shared" si="3"/>
        <v>0</v>
      </c>
      <c r="Q36" s="14">
        <f t="shared" si="4"/>
        <v>1</v>
      </c>
      <c r="R36" s="14">
        <f t="shared" si="5"/>
        <v>1</v>
      </c>
      <c r="S36" s="9" t="s">
        <v>282</v>
      </c>
    </row>
    <row r="37" spans="1:19" ht="14.25" customHeight="1">
      <c r="A37" s="9" t="s">
        <v>426</v>
      </c>
      <c r="B37" s="9">
        <v>2018</v>
      </c>
      <c r="C37" s="9" t="s">
        <v>61</v>
      </c>
      <c r="D37" s="9" t="s">
        <v>556</v>
      </c>
      <c r="E37" s="9">
        <v>2</v>
      </c>
      <c r="F37" s="13">
        <v>43275</v>
      </c>
      <c r="G37" s="9" t="s">
        <v>210</v>
      </c>
      <c r="H37" s="9" t="s">
        <v>136</v>
      </c>
      <c r="I37" s="9">
        <v>0</v>
      </c>
      <c r="J37" s="9">
        <v>3</v>
      </c>
      <c r="K37" s="14" t="str">
        <f t="shared" si="0"/>
        <v>0-3</v>
      </c>
      <c r="L37" s="14" t="str">
        <f t="shared" si="1"/>
        <v>Pierde</v>
      </c>
      <c r="M37" s="10" t="b">
        <f>FALSE()</f>
        <v>0</v>
      </c>
      <c r="N37" s="10" t="b">
        <f>FALSE()</f>
        <v>0</v>
      </c>
      <c r="O37" s="14">
        <f t="shared" si="2"/>
        <v>3</v>
      </c>
      <c r="P37" s="14">
        <f t="shared" si="3"/>
        <v>-3</v>
      </c>
      <c r="Q37" s="14">
        <f t="shared" si="4"/>
        <v>0</v>
      </c>
      <c r="R37" s="14">
        <f t="shared" si="5"/>
        <v>3</v>
      </c>
      <c r="S37" s="9" t="s">
        <v>282</v>
      </c>
    </row>
    <row r="38" spans="1:19" ht="14.25" customHeight="1">
      <c r="A38" s="9" t="s">
        <v>431</v>
      </c>
      <c r="B38" s="9">
        <v>2018</v>
      </c>
      <c r="C38" s="9" t="s">
        <v>61</v>
      </c>
      <c r="D38" s="9" t="s">
        <v>64</v>
      </c>
      <c r="E38" s="9">
        <v>3</v>
      </c>
      <c r="F38" s="13">
        <v>43276</v>
      </c>
      <c r="G38" s="9" t="s">
        <v>76</v>
      </c>
      <c r="H38" s="9" t="s">
        <v>159</v>
      </c>
      <c r="I38" s="9">
        <v>2</v>
      </c>
      <c r="J38" s="9">
        <v>1</v>
      </c>
      <c r="K38" s="14" t="str">
        <f t="shared" si="0"/>
        <v>2-1</v>
      </c>
      <c r="L38" s="14" t="str">
        <f t="shared" si="1"/>
        <v>Gana</v>
      </c>
      <c r="M38" s="10" t="b">
        <f>FALSE()</f>
        <v>0</v>
      </c>
      <c r="N38" s="10" t="b">
        <f>FALSE()</f>
        <v>0</v>
      </c>
      <c r="O38" s="14">
        <f t="shared" si="2"/>
        <v>3</v>
      </c>
      <c r="P38" s="14">
        <f t="shared" si="3"/>
        <v>1</v>
      </c>
      <c r="Q38" s="14">
        <f t="shared" si="4"/>
        <v>3</v>
      </c>
      <c r="R38" s="14">
        <f t="shared" si="5"/>
        <v>0</v>
      </c>
      <c r="S38" s="9" t="s">
        <v>282</v>
      </c>
    </row>
    <row r="39" spans="1:19" ht="14.25" customHeight="1">
      <c r="A39" s="9" t="s">
        <v>435</v>
      </c>
      <c r="B39" s="9">
        <v>2018</v>
      </c>
      <c r="C39" s="9" t="s">
        <v>61</v>
      </c>
      <c r="D39" s="9" t="s">
        <v>64</v>
      </c>
      <c r="E39" s="9">
        <v>3</v>
      </c>
      <c r="F39" s="13">
        <v>43276</v>
      </c>
      <c r="G39" s="9" t="s">
        <v>252</v>
      </c>
      <c r="H39" s="9" t="s">
        <v>73</v>
      </c>
      <c r="I39" s="9">
        <v>3</v>
      </c>
      <c r="J39" s="9">
        <v>0</v>
      </c>
      <c r="K39" s="14" t="str">
        <f t="shared" si="0"/>
        <v>3-0</v>
      </c>
      <c r="L39" s="14" t="str">
        <f t="shared" si="1"/>
        <v>Gana</v>
      </c>
      <c r="M39" s="10" t="b">
        <f>FALSE()</f>
        <v>0</v>
      </c>
      <c r="N39" s="10" t="b">
        <f>TRUE()</f>
        <v>1</v>
      </c>
      <c r="O39" s="14">
        <f t="shared" si="2"/>
        <v>3</v>
      </c>
      <c r="P39" s="14">
        <f t="shared" si="3"/>
        <v>3</v>
      </c>
      <c r="Q39" s="14">
        <f t="shared" si="4"/>
        <v>3</v>
      </c>
      <c r="R39" s="14">
        <f t="shared" si="5"/>
        <v>0</v>
      </c>
      <c r="S39" s="9" t="s">
        <v>282</v>
      </c>
    </row>
    <row r="40" spans="1:19" ht="14.25" customHeight="1">
      <c r="A40" s="9" t="s">
        <v>438</v>
      </c>
      <c r="B40" s="9">
        <v>2018</v>
      </c>
      <c r="C40" s="9" t="s">
        <v>61</v>
      </c>
      <c r="D40" s="9" t="s">
        <v>384</v>
      </c>
      <c r="E40" s="9">
        <v>3</v>
      </c>
      <c r="F40" s="13">
        <v>43276</v>
      </c>
      <c r="G40" s="9" t="s">
        <v>234</v>
      </c>
      <c r="H40" s="9" t="s">
        <v>191</v>
      </c>
      <c r="I40" s="9">
        <v>2</v>
      </c>
      <c r="J40" s="9">
        <v>2</v>
      </c>
      <c r="K40" s="14" t="str">
        <f t="shared" si="0"/>
        <v>2-2</v>
      </c>
      <c r="L40" s="14" t="str">
        <f t="shared" si="1"/>
        <v>Empata</v>
      </c>
      <c r="M40" s="10" t="b">
        <f>FALSE()</f>
        <v>0</v>
      </c>
      <c r="N40" s="10" t="b">
        <f>FALSE()</f>
        <v>0</v>
      </c>
      <c r="O40" s="14">
        <f t="shared" si="2"/>
        <v>4</v>
      </c>
      <c r="P40" s="14">
        <f t="shared" si="3"/>
        <v>0</v>
      </c>
      <c r="Q40" s="14">
        <f t="shared" si="4"/>
        <v>1</v>
      </c>
      <c r="R40" s="14">
        <f t="shared" si="5"/>
        <v>1</v>
      </c>
      <c r="S40" s="9" t="s">
        <v>282</v>
      </c>
    </row>
    <row r="41" spans="1:19" ht="14.25" customHeight="1">
      <c r="A41" s="9" t="s">
        <v>442</v>
      </c>
      <c r="B41" s="9">
        <v>2018</v>
      </c>
      <c r="C41" s="9" t="s">
        <v>61</v>
      </c>
      <c r="D41" s="9" t="s">
        <v>384</v>
      </c>
      <c r="E41" s="9">
        <v>3</v>
      </c>
      <c r="F41" s="13">
        <v>43276</v>
      </c>
      <c r="G41" s="9" t="s">
        <v>175</v>
      </c>
      <c r="H41" s="9" t="s">
        <v>212</v>
      </c>
      <c r="I41" s="9">
        <v>1</v>
      </c>
      <c r="J41" s="9">
        <v>1</v>
      </c>
      <c r="K41" s="14" t="str">
        <f t="shared" si="0"/>
        <v>1-1</v>
      </c>
      <c r="L41" s="14" t="str">
        <f t="shared" si="1"/>
        <v>Empata</v>
      </c>
      <c r="M41" s="10" t="b">
        <f>FALSE()</f>
        <v>0</v>
      </c>
      <c r="N41" s="10" t="b">
        <f>FALSE()</f>
        <v>0</v>
      </c>
      <c r="O41" s="14">
        <f t="shared" si="2"/>
        <v>2</v>
      </c>
      <c r="P41" s="14">
        <f t="shared" si="3"/>
        <v>0</v>
      </c>
      <c r="Q41" s="14">
        <f t="shared" si="4"/>
        <v>1</v>
      </c>
      <c r="R41" s="14">
        <f t="shared" si="5"/>
        <v>1</v>
      </c>
      <c r="S41" s="9" t="s">
        <v>282</v>
      </c>
    </row>
    <row r="42" spans="1:19" ht="14.25" customHeight="1">
      <c r="A42" s="9" t="s">
        <v>444</v>
      </c>
      <c r="B42" s="9">
        <v>2018</v>
      </c>
      <c r="C42" s="9" t="s">
        <v>61</v>
      </c>
      <c r="D42" s="9" t="s">
        <v>309</v>
      </c>
      <c r="E42" s="9">
        <v>3</v>
      </c>
      <c r="F42" s="13">
        <v>43277</v>
      </c>
      <c r="G42" s="9" t="s">
        <v>114</v>
      </c>
      <c r="H42" s="9" t="s">
        <v>208</v>
      </c>
      <c r="I42" s="9">
        <v>0</v>
      </c>
      <c r="J42" s="9">
        <v>2</v>
      </c>
      <c r="K42" s="14" t="str">
        <f t="shared" si="0"/>
        <v>0-2</v>
      </c>
      <c r="L42" s="14" t="str">
        <f t="shared" si="1"/>
        <v>Pierde</v>
      </c>
      <c r="M42" s="10" t="b">
        <f>FALSE()</f>
        <v>0</v>
      </c>
      <c r="N42" s="10" t="b">
        <f>FALSE()</f>
        <v>0</v>
      </c>
      <c r="O42" s="14">
        <f t="shared" si="2"/>
        <v>2</v>
      </c>
      <c r="P42" s="14">
        <f t="shared" si="3"/>
        <v>-2</v>
      </c>
      <c r="Q42" s="14">
        <f t="shared" si="4"/>
        <v>0</v>
      </c>
      <c r="R42" s="14">
        <f t="shared" si="5"/>
        <v>3</v>
      </c>
      <c r="S42" s="9" t="s">
        <v>282</v>
      </c>
    </row>
    <row r="43" spans="1:19" ht="14.25" customHeight="1">
      <c r="A43" s="9" t="s">
        <v>447</v>
      </c>
      <c r="B43" s="9">
        <v>2018</v>
      </c>
      <c r="C43" s="9" t="s">
        <v>61</v>
      </c>
      <c r="D43" s="9" t="s">
        <v>309</v>
      </c>
      <c r="E43" s="9">
        <v>3</v>
      </c>
      <c r="F43" s="13">
        <v>43277</v>
      </c>
      <c r="G43" s="9" t="s">
        <v>155</v>
      </c>
      <c r="H43" s="9" t="s">
        <v>163</v>
      </c>
      <c r="I43" s="9">
        <v>0</v>
      </c>
      <c r="J43" s="9">
        <v>0</v>
      </c>
      <c r="K43" s="14" t="str">
        <f t="shared" si="0"/>
        <v>0-0</v>
      </c>
      <c r="L43" s="14" t="str">
        <f t="shared" si="1"/>
        <v>Empata</v>
      </c>
      <c r="M43" s="10" t="b">
        <f>FALSE()</f>
        <v>0</v>
      </c>
      <c r="N43" s="10" t="b">
        <f>FALSE()</f>
        <v>0</v>
      </c>
      <c r="O43" s="14">
        <f t="shared" si="2"/>
        <v>0</v>
      </c>
      <c r="P43" s="14">
        <f t="shared" si="3"/>
        <v>0</v>
      </c>
      <c r="Q43" s="14">
        <f t="shared" si="4"/>
        <v>1</v>
      </c>
      <c r="R43" s="14">
        <f t="shared" si="5"/>
        <v>1</v>
      </c>
      <c r="S43" s="9" t="s">
        <v>282</v>
      </c>
    </row>
    <row r="44" spans="1:19" ht="14.25" customHeight="1">
      <c r="A44" s="9" t="s">
        <v>450</v>
      </c>
      <c r="B44" s="9">
        <v>2018</v>
      </c>
      <c r="C44" s="9" t="s">
        <v>61</v>
      </c>
      <c r="D44" s="9" t="s">
        <v>328</v>
      </c>
      <c r="E44" s="9">
        <v>3</v>
      </c>
      <c r="F44" s="13">
        <v>43277</v>
      </c>
      <c r="G44" s="9" t="s">
        <v>172</v>
      </c>
      <c r="H44" s="9" t="s">
        <v>140</v>
      </c>
      <c r="I44" s="9">
        <v>1</v>
      </c>
      <c r="J44" s="9">
        <v>2</v>
      </c>
      <c r="K44" s="14" t="str">
        <f t="shared" si="0"/>
        <v>1-2</v>
      </c>
      <c r="L44" s="14" t="str">
        <f t="shared" si="1"/>
        <v>Pierde</v>
      </c>
      <c r="M44" s="10" t="b">
        <f>FALSE()</f>
        <v>0</v>
      </c>
      <c r="N44" s="10" t="b">
        <f>FALSE()</f>
        <v>0</v>
      </c>
      <c r="O44" s="14">
        <f t="shared" si="2"/>
        <v>3</v>
      </c>
      <c r="P44" s="14">
        <f t="shared" si="3"/>
        <v>-1</v>
      </c>
      <c r="Q44" s="14">
        <f t="shared" si="4"/>
        <v>0</v>
      </c>
      <c r="R44" s="14">
        <f t="shared" si="5"/>
        <v>3</v>
      </c>
      <c r="S44" s="9" t="s">
        <v>282</v>
      </c>
    </row>
    <row r="45" spans="1:19" ht="14.25" customHeight="1">
      <c r="A45" s="9" t="s">
        <v>452</v>
      </c>
      <c r="B45" s="9">
        <v>2018</v>
      </c>
      <c r="C45" s="9" t="s">
        <v>61</v>
      </c>
      <c r="D45" s="9" t="s">
        <v>328</v>
      </c>
      <c r="E45" s="9">
        <v>3</v>
      </c>
      <c r="F45" s="13">
        <v>43277</v>
      </c>
      <c r="G45" s="9" t="s">
        <v>200</v>
      </c>
      <c r="H45" s="9" t="s">
        <v>112</v>
      </c>
      <c r="I45" s="9">
        <v>1</v>
      </c>
      <c r="J45" s="9">
        <v>2</v>
      </c>
      <c r="K45" s="14" t="str">
        <f t="shared" si="0"/>
        <v>1-2</v>
      </c>
      <c r="L45" s="14" t="str">
        <f t="shared" si="1"/>
        <v>Pierde</v>
      </c>
      <c r="M45" s="10" t="b">
        <f>FALSE()</f>
        <v>0</v>
      </c>
      <c r="N45" s="10" t="b">
        <f>FALSE()</f>
        <v>0</v>
      </c>
      <c r="O45" s="14">
        <f t="shared" si="2"/>
        <v>3</v>
      </c>
      <c r="P45" s="14">
        <f t="shared" si="3"/>
        <v>-1</v>
      </c>
      <c r="Q45" s="14">
        <f t="shared" si="4"/>
        <v>0</v>
      </c>
      <c r="R45" s="14">
        <f t="shared" si="5"/>
        <v>3</v>
      </c>
      <c r="S45" s="9" t="s">
        <v>282</v>
      </c>
    </row>
    <row r="46" spans="1:19" ht="14.25" customHeight="1">
      <c r="A46" s="9" t="s">
        <v>454</v>
      </c>
      <c r="B46" s="9">
        <v>2018</v>
      </c>
      <c r="C46" s="9" t="s">
        <v>61</v>
      </c>
      <c r="D46" s="9" t="s">
        <v>417</v>
      </c>
      <c r="E46" s="9">
        <v>3</v>
      </c>
      <c r="F46" s="13">
        <v>43278</v>
      </c>
      <c r="G46" s="9" t="s">
        <v>229</v>
      </c>
      <c r="H46" s="9" t="s">
        <v>166</v>
      </c>
      <c r="I46" s="9">
        <v>2</v>
      </c>
      <c r="J46" s="9">
        <v>0</v>
      </c>
      <c r="K46" s="14" t="str">
        <f t="shared" si="0"/>
        <v>2-0</v>
      </c>
      <c r="L46" s="14" t="str">
        <f t="shared" si="1"/>
        <v>Gana</v>
      </c>
      <c r="M46" s="10" t="b">
        <f>FALSE()</f>
        <v>0</v>
      </c>
      <c r="N46" s="10" t="b">
        <f>FALSE()</f>
        <v>0</v>
      </c>
      <c r="O46" s="14">
        <f t="shared" si="2"/>
        <v>2</v>
      </c>
      <c r="P46" s="14">
        <f t="shared" si="3"/>
        <v>2</v>
      </c>
      <c r="Q46" s="14">
        <f t="shared" si="4"/>
        <v>3</v>
      </c>
      <c r="R46" s="14">
        <f t="shared" si="5"/>
        <v>0</v>
      </c>
      <c r="S46" s="9" t="s">
        <v>282</v>
      </c>
    </row>
    <row r="47" spans="1:19" ht="14.25" customHeight="1">
      <c r="A47" s="9" t="s">
        <v>457</v>
      </c>
      <c r="B47" s="9">
        <v>2018</v>
      </c>
      <c r="C47" s="9" t="s">
        <v>61</v>
      </c>
      <c r="D47" s="9" t="s">
        <v>417</v>
      </c>
      <c r="E47" s="9">
        <v>3</v>
      </c>
      <c r="F47" s="13">
        <v>43278</v>
      </c>
      <c r="G47" s="9" t="s">
        <v>188</v>
      </c>
      <c r="H47" s="9" t="s">
        <v>236</v>
      </c>
      <c r="I47" s="9">
        <v>0</v>
      </c>
      <c r="J47" s="9">
        <v>3</v>
      </c>
      <c r="K47" s="14" t="str">
        <f t="shared" si="0"/>
        <v>0-3</v>
      </c>
      <c r="L47" s="14" t="str">
        <f t="shared" si="1"/>
        <v>Pierde</v>
      </c>
      <c r="M47" s="10" t="b">
        <f>FALSE()</f>
        <v>0</v>
      </c>
      <c r="N47" s="10" t="b">
        <f>FALSE()</f>
        <v>0</v>
      </c>
      <c r="O47" s="14">
        <f t="shared" si="2"/>
        <v>3</v>
      </c>
      <c r="P47" s="14">
        <f t="shared" si="3"/>
        <v>-3</v>
      </c>
      <c r="Q47" s="14">
        <f t="shared" si="4"/>
        <v>0</v>
      </c>
      <c r="R47" s="14">
        <f t="shared" si="5"/>
        <v>3</v>
      </c>
      <c r="S47" s="9" t="s">
        <v>282</v>
      </c>
    </row>
    <row r="48" spans="1:19" ht="14.25" customHeight="1">
      <c r="A48" s="9" t="s">
        <v>459</v>
      </c>
      <c r="B48" s="9">
        <v>2018</v>
      </c>
      <c r="C48" s="9" t="s">
        <v>61</v>
      </c>
      <c r="D48" s="9" t="s">
        <v>343</v>
      </c>
      <c r="E48" s="9">
        <v>3</v>
      </c>
      <c r="F48" s="13">
        <v>43278</v>
      </c>
      <c r="G48" s="9" t="s">
        <v>224</v>
      </c>
      <c r="H48" s="9" t="s">
        <v>126</v>
      </c>
      <c r="I48" s="9">
        <v>0</v>
      </c>
      <c r="J48" s="9">
        <v>2</v>
      </c>
      <c r="K48" s="14" t="str">
        <f t="shared" si="0"/>
        <v>0-2</v>
      </c>
      <c r="L48" s="14" t="str">
        <f t="shared" si="1"/>
        <v>Pierde</v>
      </c>
      <c r="M48" s="10" t="b">
        <f>FALSE()</f>
        <v>0</v>
      </c>
      <c r="N48" s="10" t="b">
        <f>FALSE()</f>
        <v>0</v>
      </c>
      <c r="O48" s="14">
        <f t="shared" si="2"/>
        <v>2</v>
      </c>
      <c r="P48" s="14">
        <f t="shared" si="3"/>
        <v>-2</v>
      </c>
      <c r="Q48" s="14">
        <f t="shared" si="4"/>
        <v>0</v>
      </c>
      <c r="R48" s="14">
        <f t="shared" si="5"/>
        <v>3</v>
      </c>
      <c r="S48" s="9" t="s">
        <v>282</v>
      </c>
    </row>
    <row r="49" spans="1:19" ht="14.25" customHeight="1">
      <c r="A49" s="9" t="s">
        <v>463</v>
      </c>
      <c r="B49" s="9">
        <v>2018</v>
      </c>
      <c r="C49" s="9" t="s">
        <v>61</v>
      </c>
      <c r="D49" s="9" t="s">
        <v>343</v>
      </c>
      <c r="E49" s="9">
        <v>3</v>
      </c>
      <c r="F49" s="13">
        <v>43278</v>
      </c>
      <c r="G49" s="9" t="s">
        <v>239</v>
      </c>
      <c r="H49" s="9" t="s">
        <v>138</v>
      </c>
      <c r="I49" s="9">
        <v>2</v>
      </c>
      <c r="J49" s="9">
        <v>2</v>
      </c>
      <c r="K49" s="14" t="str">
        <f t="shared" si="0"/>
        <v>2-2</v>
      </c>
      <c r="L49" s="14" t="str">
        <f t="shared" si="1"/>
        <v>Empata</v>
      </c>
      <c r="M49" s="10" t="b">
        <f>FALSE()</f>
        <v>0</v>
      </c>
      <c r="N49" s="10" t="b">
        <f>FALSE()</f>
        <v>0</v>
      </c>
      <c r="O49" s="14">
        <f t="shared" si="2"/>
        <v>4</v>
      </c>
      <c r="P49" s="14">
        <f t="shared" si="3"/>
        <v>0</v>
      </c>
      <c r="Q49" s="14">
        <f t="shared" si="4"/>
        <v>1</v>
      </c>
      <c r="R49" s="14">
        <f t="shared" si="5"/>
        <v>1</v>
      </c>
      <c r="S49" s="9" t="s">
        <v>282</v>
      </c>
    </row>
    <row r="50" spans="1:19" ht="14.25" customHeight="1">
      <c r="A50" s="9" t="s">
        <v>467</v>
      </c>
      <c r="B50" s="9">
        <v>2018</v>
      </c>
      <c r="C50" s="9" t="s">
        <v>61</v>
      </c>
      <c r="D50" s="9" t="s">
        <v>556</v>
      </c>
      <c r="E50" s="9">
        <v>3</v>
      </c>
      <c r="F50" s="13">
        <v>43279</v>
      </c>
      <c r="G50" s="9" t="s">
        <v>185</v>
      </c>
      <c r="H50" s="9" t="s">
        <v>210</v>
      </c>
      <c r="I50" s="9">
        <v>0</v>
      </c>
      <c r="J50" s="9">
        <v>1</v>
      </c>
      <c r="K50" s="14" t="str">
        <f t="shared" si="0"/>
        <v>0-1</v>
      </c>
      <c r="L50" s="14" t="str">
        <f t="shared" si="1"/>
        <v>Pierde</v>
      </c>
      <c r="M50" s="10" t="b">
        <f>FALSE()</f>
        <v>0</v>
      </c>
      <c r="N50" s="10" t="b">
        <f>FALSE()</f>
        <v>0</v>
      </c>
      <c r="O50" s="14">
        <f t="shared" si="2"/>
        <v>1</v>
      </c>
      <c r="P50" s="14">
        <f t="shared" si="3"/>
        <v>-1</v>
      </c>
      <c r="Q50" s="14">
        <f t="shared" si="4"/>
        <v>0</v>
      </c>
      <c r="R50" s="14">
        <f t="shared" si="5"/>
        <v>3</v>
      </c>
      <c r="S50" s="9" t="s">
        <v>282</v>
      </c>
    </row>
    <row r="51" spans="1:19" ht="14.25" customHeight="1">
      <c r="A51" s="9" t="s">
        <v>469</v>
      </c>
      <c r="B51" s="9">
        <v>2018</v>
      </c>
      <c r="C51" s="9" t="s">
        <v>61</v>
      </c>
      <c r="D51" s="9" t="s">
        <v>556</v>
      </c>
      <c r="E51" s="9">
        <v>3</v>
      </c>
      <c r="F51" s="13">
        <v>43279</v>
      </c>
      <c r="G51" s="9" t="s">
        <v>222</v>
      </c>
      <c r="H51" s="9" t="s">
        <v>136</v>
      </c>
      <c r="I51" s="9">
        <v>0</v>
      </c>
      <c r="J51" s="9">
        <v>1</v>
      </c>
      <c r="K51" s="14" t="str">
        <f t="shared" si="0"/>
        <v>0-1</v>
      </c>
      <c r="L51" s="14" t="str">
        <f t="shared" si="1"/>
        <v>Pierde</v>
      </c>
      <c r="M51" s="10" t="b">
        <f>FALSE()</f>
        <v>0</v>
      </c>
      <c r="N51" s="10" t="b">
        <f>FALSE()</f>
        <v>0</v>
      </c>
      <c r="O51" s="14">
        <f t="shared" si="2"/>
        <v>1</v>
      </c>
      <c r="P51" s="14">
        <f t="shared" si="3"/>
        <v>-1</v>
      </c>
      <c r="Q51" s="14">
        <f t="shared" si="4"/>
        <v>0</v>
      </c>
      <c r="R51" s="14">
        <f t="shared" si="5"/>
        <v>3</v>
      </c>
      <c r="S51" s="9" t="s">
        <v>282</v>
      </c>
    </row>
    <row r="52" spans="1:19" ht="14.25" customHeight="1">
      <c r="A52" s="9" t="s">
        <v>472</v>
      </c>
      <c r="B52" s="9">
        <v>2018</v>
      </c>
      <c r="C52" s="9" t="s">
        <v>61</v>
      </c>
      <c r="D52" s="9" t="s">
        <v>359</v>
      </c>
      <c r="E52" s="9">
        <v>3</v>
      </c>
      <c r="F52" s="13">
        <v>43279</v>
      </c>
      <c r="G52" s="9" t="s">
        <v>161</v>
      </c>
      <c r="H52" s="9" t="s">
        <v>118</v>
      </c>
      <c r="I52" s="9">
        <v>0</v>
      </c>
      <c r="J52" s="9">
        <v>1</v>
      </c>
      <c r="K52" s="14" t="str">
        <f t="shared" si="0"/>
        <v>0-1</v>
      </c>
      <c r="L52" s="14" t="str">
        <f t="shared" si="1"/>
        <v>Pierde</v>
      </c>
      <c r="M52" s="10" t="b">
        <f>FALSE()</f>
        <v>0</v>
      </c>
      <c r="N52" s="10" t="b">
        <f>FALSE()</f>
        <v>0</v>
      </c>
      <c r="O52" s="14">
        <f t="shared" si="2"/>
        <v>1</v>
      </c>
      <c r="P52" s="14">
        <f t="shared" si="3"/>
        <v>-1</v>
      </c>
      <c r="Q52" s="14">
        <f t="shared" si="4"/>
        <v>0</v>
      </c>
      <c r="R52" s="14">
        <f t="shared" si="5"/>
        <v>3</v>
      </c>
      <c r="S52" s="9" t="s">
        <v>282</v>
      </c>
    </row>
    <row r="53" spans="1:19" ht="14.25" customHeight="1">
      <c r="A53" s="9" t="s">
        <v>475</v>
      </c>
      <c r="B53" s="9">
        <v>2018</v>
      </c>
      <c r="C53" s="9" t="s">
        <v>61</v>
      </c>
      <c r="D53" s="9" t="s">
        <v>359</v>
      </c>
      <c r="E53" s="9">
        <v>3</v>
      </c>
      <c r="F53" s="13">
        <v>43279</v>
      </c>
      <c r="G53" s="9" t="s">
        <v>204</v>
      </c>
      <c r="H53" s="9" t="s">
        <v>241</v>
      </c>
      <c r="I53" s="9">
        <v>1</v>
      </c>
      <c r="J53" s="9">
        <v>2</v>
      </c>
      <c r="K53" s="14" t="str">
        <f t="shared" si="0"/>
        <v>1-2</v>
      </c>
      <c r="L53" s="14" t="str">
        <f t="shared" si="1"/>
        <v>Pierde</v>
      </c>
      <c r="M53" s="10" t="b">
        <f>FALSE()</f>
        <v>0</v>
      </c>
      <c r="N53" s="10" t="b">
        <f>FALSE()</f>
        <v>0</v>
      </c>
      <c r="O53" s="14">
        <f t="shared" si="2"/>
        <v>3</v>
      </c>
      <c r="P53" s="14">
        <f t="shared" si="3"/>
        <v>-1</v>
      </c>
      <c r="Q53" s="14">
        <f t="shared" si="4"/>
        <v>0</v>
      </c>
      <c r="R53" s="14">
        <f t="shared" si="5"/>
        <v>3</v>
      </c>
      <c r="S53" s="9" t="s">
        <v>282</v>
      </c>
    </row>
    <row r="54" spans="1:19" ht="14.25" customHeight="1">
      <c r="A54" s="9" t="s">
        <v>495</v>
      </c>
      <c r="B54" s="9">
        <v>2022</v>
      </c>
      <c r="C54" s="9" t="s">
        <v>61</v>
      </c>
      <c r="D54" s="9" t="s">
        <v>64</v>
      </c>
      <c r="E54" s="9">
        <v>1</v>
      </c>
      <c r="F54" s="13">
        <v>44885</v>
      </c>
      <c r="G54" s="9" t="s">
        <v>214</v>
      </c>
      <c r="H54" s="9" t="s">
        <v>157</v>
      </c>
      <c r="I54" s="9">
        <v>0</v>
      </c>
      <c r="J54" s="9">
        <v>2</v>
      </c>
      <c r="K54" s="14" t="str">
        <f t="shared" si="0"/>
        <v>0-2</v>
      </c>
      <c r="L54" s="14" t="str">
        <f t="shared" si="1"/>
        <v>Pierde</v>
      </c>
      <c r="M54" s="10" t="b">
        <f>TRUE()</f>
        <v>1</v>
      </c>
      <c r="N54" s="10" t="b">
        <f>FALSE()</f>
        <v>0</v>
      </c>
      <c r="O54" s="14">
        <f t="shared" si="2"/>
        <v>2</v>
      </c>
      <c r="P54" s="14">
        <f t="shared" si="3"/>
        <v>-2</v>
      </c>
      <c r="Q54" s="14">
        <f t="shared" si="4"/>
        <v>0</v>
      </c>
      <c r="R54" s="14">
        <f t="shared" si="5"/>
        <v>3</v>
      </c>
      <c r="S54" s="9" t="s">
        <v>282</v>
      </c>
    </row>
    <row r="55" spans="1:19" ht="14.25" customHeight="1">
      <c r="A55" s="9" t="s">
        <v>504</v>
      </c>
      <c r="B55" s="9">
        <v>2022</v>
      </c>
      <c r="C55" s="9" t="s">
        <v>61</v>
      </c>
      <c r="D55" s="9" t="s">
        <v>384</v>
      </c>
      <c r="E55" s="9">
        <v>1</v>
      </c>
      <c r="F55" s="13">
        <v>44886</v>
      </c>
      <c r="G55" s="9" t="s">
        <v>161</v>
      </c>
      <c r="H55" s="9" t="s">
        <v>175</v>
      </c>
      <c r="I55" s="9">
        <v>6</v>
      </c>
      <c r="J55" s="9">
        <v>2</v>
      </c>
      <c r="K55" s="14" t="str">
        <f t="shared" si="0"/>
        <v>6-2</v>
      </c>
      <c r="L55" s="14" t="str">
        <f t="shared" si="1"/>
        <v>Gana</v>
      </c>
      <c r="M55" s="10" t="b">
        <f>FALSE()</f>
        <v>0</v>
      </c>
      <c r="N55" s="10" t="b">
        <f>FALSE()</f>
        <v>0</v>
      </c>
      <c r="O55" s="14">
        <f t="shared" si="2"/>
        <v>8</v>
      </c>
      <c r="P55" s="14">
        <f t="shared" si="3"/>
        <v>4</v>
      </c>
      <c r="Q55" s="14">
        <f t="shared" si="4"/>
        <v>3</v>
      </c>
      <c r="R55" s="14">
        <f t="shared" si="5"/>
        <v>0</v>
      </c>
      <c r="S55" s="9" t="s">
        <v>282</v>
      </c>
    </row>
    <row r="56" spans="1:19" ht="14.25" customHeight="1">
      <c r="A56" s="9" t="s">
        <v>510</v>
      </c>
      <c r="B56" s="9">
        <v>2022</v>
      </c>
      <c r="C56" s="9" t="s">
        <v>61</v>
      </c>
      <c r="D56" s="9" t="s">
        <v>64</v>
      </c>
      <c r="E56" s="9">
        <v>1</v>
      </c>
      <c r="F56" s="13">
        <v>44886</v>
      </c>
      <c r="G56" s="9" t="s">
        <v>222</v>
      </c>
      <c r="H56" s="9" t="s">
        <v>194</v>
      </c>
      <c r="I56" s="9">
        <v>0</v>
      </c>
      <c r="J56" s="9">
        <v>2</v>
      </c>
      <c r="K56" s="14" t="str">
        <f t="shared" si="0"/>
        <v>0-2</v>
      </c>
      <c r="L56" s="14" t="str">
        <f t="shared" si="1"/>
        <v>Pierde</v>
      </c>
      <c r="M56" s="10" t="b">
        <f>FALSE()</f>
        <v>0</v>
      </c>
      <c r="N56" s="10" t="b">
        <f>FALSE()</f>
        <v>0</v>
      </c>
      <c r="O56" s="14">
        <f t="shared" si="2"/>
        <v>2</v>
      </c>
      <c r="P56" s="14">
        <f t="shared" si="3"/>
        <v>-2</v>
      </c>
      <c r="Q56" s="14">
        <f t="shared" si="4"/>
        <v>0</v>
      </c>
      <c r="R56" s="14">
        <f t="shared" si="5"/>
        <v>3</v>
      </c>
      <c r="S56" s="9" t="s">
        <v>282</v>
      </c>
    </row>
    <row r="57" spans="1:19" ht="14.25" customHeight="1">
      <c r="A57" s="9" t="s">
        <v>517</v>
      </c>
      <c r="B57" s="9">
        <v>2022</v>
      </c>
      <c r="C57" s="9" t="s">
        <v>61</v>
      </c>
      <c r="D57" s="9" t="s">
        <v>384</v>
      </c>
      <c r="E57" s="9">
        <v>1</v>
      </c>
      <c r="F57" s="13">
        <v>44886</v>
      </c>
      <c r="G57" s="9" t="s">
        <v>248</v>
      </c>
      <c r="H57" s="9" t="s">
        <v>255</v>
      </c>
      <c r="I57" s="9">
        <v>1</v>
      </c>
      <c r="J57" s="9">
        <v>1</v>
      </c>
      <c r="K57" s="14" t="str">
        <f t="shared" si="0"/>
        <v>1-1</v>
      </c>
      <c r="L57" s="14" t="str">
        <f t="shared" si="1"/>
        <v>Empata</v>
      </c>
      <c r="M57" s="10" t="b">
        <f>FALSE()</f>
        <v>0</v>
      </c>
      <c r="N57" s="10" t="b">
        <f>FALSE()</f>
        <v>0</v>
      </c>
      <c r="O57" s="14">
        <f t="shared" si="2"/>
        <v>2</v>
      </c>
      <c r="P57" s="14">
        <f t="shared" si="3"/>
        <v>0</v>
      </c>
      <c r="Q57" s="14">
        <f t="shared" si="4"/>
        <v>1</v>
      </c>
      <c r="R57" s="14">
        <f t="shared" si="5"/>
        <v>1</v>
      </c>
      <c r="S57" s="9" t="s">
        <v>282</v>
      </c>
    </row>
    <row r="58" spans="1:19" ht="14.25" customHeight="1">
      <c r="A58" s="9" t="s">
        <v>521</v>
      </c>
      <c r="B58" s="9">
        <v>2022</v>
      </c>
      <c r="C58" s="9" t="s">
        <v>61</v>
      </c>
      <c r="D58" s="9" t="s">
        <v>309</v>
      </c>
      <c r="E58" s="9">
        <v>1</v>
      </c>
      <c r="F58" s="13">
        <v>44887</v>
      </c>
      <c r="G58" s="9" t="s">
        <v>112</v>
      </c>
      <c r="H58" s="9" t="s">
        <v>76</v>
      </c>
      <c r="I58" s="9">
        <v>1</v>
      </c>
      <c r="J58" s="9">
        <v>2</v>
      </c>
      <c r="K58" s="14" t="str">
        <f t="shared" si="0"/>
        <v>1-2</v>
      </c>
      <c r="L58" s="14" t="str">
        <f t="shared" si="1"/>
        <v>Pierde</v>
      </c>
      <c r="M58" s="10" t="b">
        <f>FALSE()</f>
        <v>0</v>
      </c>
      <c r="N58" s="10" t="b">
        <f>FALSE()</f>
        <v>0</v>
      </c>
      <c r="O58" s="14">
        <f t="shared" si="2"/>
        <v>3</v>
      </c>
      <c r="P58" s="14">
        <f t="shared" si="3"/>
        <v>-1</v>
      </c>
      <c r="Q58" s="14">
        <f t="shared" si="4"/>
        <v>0</v>
      </c>
      <c r="R58" s="14">
        <f t="shared" si="5"/>
        <v>3</v>
      </c>
      <c r="S58" s="9" t="s">
        <v>282</v>
      </c>
    </row>
    <row r="59" spans="1:19" ht="14.25" customHeight="1">
      <c r="A59" s="9" t="s">
        <v>527</v>
      </c>
      <c r="B59" s="9">
        <v>2022</v>
      </c>
      <c r="C59" s="9" t="s">
        <v>61</v>
      </c>
      <c r="D59" s="9" t="s">
        <v>328</v>
      </c>
      <c r="E59" s="9">
        <v>1</v>
      </c>
      <c r="F59" s="13">
        <v>44887</v>
      </c>
      <c r="G59" s="9" t="s">
        <v>155</v>
      </c>
      <c r="H59" s="9" t="s">
        <v>241</v>
      </c>
      <c r="I59" s="9">
        <v>0</v>
      </c>
      <c r="J59" s="9">
        <v>0</v>
      </c>
      <c r="K59" s="14" t="str">
        <f t="shared" si="0"/>
        <v>0-0</v>
      </c>
      <c r="L59" s="14" t="str">
        <f t="shared" si="1"/>
        <v>Empata</v>
      </c>
      <c r="M59" s="10" t="b">
        <f>FALSE()</f>
        <v>0</v>
      </c>
      <c r="N59" s="10" t="b">
        <f>FALSE()</f>
        <v>0</v>
      </c>
      <c r="O59" s="14">
        <f t="shared" si="2"/>
        <v>0</v>
      </c>
      <c r="P59" s="14">
        <f t="shared" si="3"/>
        <v>0</v>
      </c>
      <c r="Q59" s="14">
        <f t="shared" si="4"/>
        <v>1</v>
      </c>
      <c r="R59" s="14">
        <f t="shared" si="5"/>
        <v>1</v>
      </c>
      <c r="S59" s="9" t="s">
        <v>282</v>
      </c>
    </row>
    <row r="60" spans="1:19" ht="14.25" customHeight="1">
      <c r="A60" s="9" t="s">
        <v>530</v>
      </c>
      <c r="B60" s="9">
        <v>2022</v>
      </c>
      <c r="C60" s="9" t="s">
        <v>61</v>
      </c>
      <c r="D60" s="9" t="s">
        <v>309</v>
      </c>
      <c r="E60" s="9">
        <v>1</v>
      </c>
      <c r="F60" s="13">
        <v>44887</v>
      </c>
      <c r="G60" s="9" t="s">
        <v>188</v>
      </c>
      <c r="H60" s="9" t="s">
        <v>210</v>
      </c>
      <c r="I60" s="9">
        <v>0</v>
      </c>
      <c r="J60" s="9">
        <v>0</v>
      </c>
      <c r="K60" s="14" t="str">
        <f t="shared" si="0"/>
        <v>0-0</v>
      </c>
      <c r="L60" s="14" t="str">
        <f t="shared" si="1"/>
        <v>Empata</v>
      </c>
      <c r="M60" s="10" t="b">
        <f>FALSE()</f>
        <v>0</v>
      </c>
      <c r="N60" s="10" t="b">
        <f>FALSE()</f>
        <v>0</v>
      </c>
      <c r="O60" s="14">
        <f t="shared" si="2"/>
        <v>0</v>
      </c>
      <c r="P60" s="14">
        <f t="shared" si="3"/>
        <v>0</v>
      </c>
      <c r="Q60" s="14">
        <f t="shared" si="4"/>
        <v>1</v>
      </c>
      <c r="R60" s="14">
        <f t="shared" si="5"/>
        <v>1</v>
      </c>
      <c r="S60" s="9" t="s">
        <v>282</v>
      </c>
    </row>
    <row r="61" spans="1:19" ht="14.25" customHeight="1">
      <c r="A61" s="9" t="s">
        <v>534</v>
      </c>
      <c r="B61" s="9">
        <v>2022</v>
      </c>
      <c r="C61" s="9" t="s">
        <v>61</v>
      </c>
      <c r="D61" s="9" t="s">
        <v>328</v>
      </c>
      <c r="E61" s="9">
        <v>1</v>
      </c>
      <c r="F61" s="13">
        <v>44887</v>
      </c>
      <c r="G61" s="9" t="s">
        <v>163</v>
      </c>
      <c r="H61" s="9" t="s">
        <v>114</v>
      </c>
      <c r="I61" s="9">
        <v>4</v>
      </c>
      <c r="J61" s="9">
        <v>1</v>
      </c>
      <c r="K61" s="14" t="str">
        <f t="shared" si="0"/>
        <v>4-1</v>
      </c>
      <c r="L61" s="14" t="str">
        <f t="shared" si="1"/>
        <v>Gana</v>
      </c>
      <c r="M61" s="10" t="b">
        <f>FALSE()</f>
        <v>0</v>
      </c>
      <c r="N61" s="10" t="b">
        <f>FALSE()</f>
        <v>0</v>
      </c>
      <c r="O61" s="14">
        <f t="shared" si="2"/>
        <v>5</v>
      </c>
      <c r="P61" s="14">
        <f t="shared" si="3"/>
        <v>3</v>
      </c>
      <c r="Q61" s="14">
        <f t="shared" si="4"/>
        <v>3</v>
      </c>
      <c r="R61" s="14">
        <f t="shared" si="5"/>
        <v>0</v>
      </c>
      <c r="S61" s="9" t="s">
        <v>282</v>
      </c>
    </row>
    <row r="62" spans="1:19" ht="14.25" customHeight="1">
      <c r="A62" s="9" t="s">
        <v>539</v>
      </c>
      <c r="B62" s="9">
        <v>2022</v>
      </c>
      <c r="C62" s="9" t="s">
        <v>61</v>
      </c>
      <c r="D62" s="9" t="s">
        <v>417</v>
      </c>
      <c r="E62" s="9">
        <v>1</v>
      </c>
      <c r="F62" s="13">
        <v>44888</v>
      </c>
      <c r="G62" s="9" t="s">
        <v>191</v>
      </c>
      <c r="H62" s="9" t="s">
        <v>140</v>
      </c>
      <c r="I62" s="9">
        <v>0</v>
      </c>
      <c r="J62" s="9">
        <v>0</v>
      </c>
      <c r="K62" s="14" t="str">
        <f t="shared" si="0"/>
        <v>0-0</v>
      </c>
      <c r="L62" s="14" t="str">
        <f t="shared" si="1"/>
        <v>Empata</v>
      </c>
      <c r="M62" s="10" t="b">
        <f>FALSE()</f>
        <v>0</v>
      </c>
      <c r="N62" s="10" t="b">
        <f>FALSE()</f>
        <v>0</v>
      </c>
      <c r="O62" s="14">
        <f t="shared" si="2"/>
        <v>0</v>
      </c>
      <c r="P62" s="14">
        <f t="shared" si="3"/>
        <v>0</v>
      </c>
      <c r="Q62" s="14">
        <f t="shared" si="4"/>
        <v>1</v>
      </c>
      <c r="R62" s="14">
        <f t="shared" si="5"/>
        <v>1</v>
      </c>
      <c r="S62" s="9" t="s">
        <v>282</v>
      </c>
    </row>
    <row r="63" spans="1:19" ht="14.25" customHeight="1">
      <c r="A63" s="9" t="s">
        <v>543</v>
      </c>
      <c r="B63" s="9">
        <v>2022</v>
      </c>
      <c r="C63" s="9" t="s">
        <v>61</v>
      </c>
      <c r="D63" s="9" t="s">
        <v>343</v>
      </c>
      <c r="E63" s="9">
        <v>1</v>
      </c>
      <c r="F63" s="13">
        <v>44888</v>
      </c>
      <c r="G63" s="9" t="s">
        <v>166</v>
      </c>
      <c r="H63" s="9" t="s">
        <v>185</v>
      </c>
      <c r="I63" s="9">
        <v>1</v>
      </c>
      <c r="J63" s="9">
        <v>2</v>
      </c>
      <c r="K63" s="14" t="str">
        <f t="shared" si="0"/>
        <v>1-2</v>
      </c>
      <c r="L63" s="14" t="str">
        <f t="shared" si="1"/>
        <v>Pierde</v>
      </c>
      <c r="M63" s="10" t="b">
        <f>FALSE()</f>
        <v>0</v>
      </c>
      <c r="N63" s="10" t="b">
        <f>FALSE()</f>
        <v>0</v>
      </c>
      <c r="O63" s="14">
        <f t="shared" si="2"/>
        <v>3</v>
      </c>
      <c r="P63" s="14">
        <f t="shared" si="3"/>
        <v>-1</v>
      </c>
      <c r="Q63" s="14">
        <f t="shared" si="4"/>
        <v>0</v>
      </c>
      <c r="R63" s="14">
        <f t="shared" si="5"/>
        <v>3</v>
      </c>
      <c r="S63" s="9" t="s">
        <v>282</v>
      </c>
    </row>
    <row r="64" spans="1:19" ht="14.25" customHeight="1">
      <c r="A64" s="9" t="s">
        <v>545</v>
      </c>
      <c r="B64" s="9">
        <v>2022</v>
      </c>
      <c r="C64" s="9" t="s">
        <v>61</v>
      </c>
      <c r="D64" s="9" t="s">
        <v>343</v>
      </c>
      <c r="E64" s="9">
        <v>1</v>
      </c>
      <c r="F64" s="13">
        <v>44888</v>
      </c>
      <c r="G64" s="9" t="s">
        <v>234</v>
      </c>
      <c r="H64" s="9" t="s">
        <v>138</v>
      </c>
      <c r="I64" s="9">
        <v>7</v>
      </c>
      <c r="J64" s="9">
        <v>0</v>
      </c>
      <c r="K64" s="14" t="str">
        <f t="shared" si="0"/>
        <v>7-0</v>
      </c>
      <c r="L64" s="14" t="str">
        <f t="shared" si="1"/>
        <v>Gana</v>
      </c>
      <c r="M64" s="10" t="b">
        <f>FALSE()</f>
        <v>0</v>
      </c>
      <c r="N64" s="10" t="b">
        <f>FALSE()</f>
        <v>0</v>
      </c>
      <c r="O64" s="14">
        <f t="shared" si="2"/>
        <v>7</v>
      </c>
      <c r="P64" s="14">
        <f t="shared" si="3"/>
        <v>7</v>
      </c>
      <c r="Q64" s="14">
        <f t="shared" si="4"/>
        <v>3</v>
      </c>
      <c r="R64" s="14">
        <f t="shared" si="5"/>
        <v>0</v>
      </c>
      <c r="S64" s="9" t="s">
        <v>282</v>
      </c>
    </row>
    <row r="65" spans="1:19" ht="14.25" customHeight="1">
      <c r="A65" s="9" t="s">
        <v>548</v>
      </c>
      <c r="B65" s="9">
        <v>2022</v>
      </c>
      <c r="C65" s="9" t="s">
        <v>61</v>
      </c>
      <c r="D65" s="9" t="s">
        <v>417</v>
      </c>
      <c r="E65" s="9">
        <v>1</v>
      </c>
      <c r="F65" s="13">
        <v>44888</v>
      </c>
      <c r="G65" s="9" t="s">
        <v>118</v>
      </c>
      <c r="H65" s="9" t="s">
        <v>130</v>
      </c>
      <c r="I65" s="9">
        <v>1</v>
      </c>
      <c r="J65" s="9">
        <v>0</v>
      </c>
      <c r="K65" s="14" t="str">
        <f t="shared" si="0"/>
        <v>1-0</v>
      </c>
      <c r="L65" s="14" t="str">
        <f t="shared" si="1"/>
        <v>Gana</v>
      </c>
      <c r="M65" s="10" t="b">
        <f>FALSE()</f>
        <v>0</v>
      </c>
      <c r="N65" s="10" t="b">
        <f>FALSE()</f>
        <v>0</v>
      </c>
      <c r="O65" s="14">
        <f t="shared" si="2"/>
        <v>1</v>
      </c>
      <c r="P65" s="14">
        <f t="shared" si="3"/>
        <v>1</v>
      </c>
      <c r="Q65" s="14">
        <f t="shared" si="4"/>
        <v>3</v>
      </c>
      <c r="R65" s="14">
        <f t="shared" si="5"/>
        <v>0</v>
      </c>
      <c r="S65" s="9" t="s">
        <v>282</v>
      </c>
    </row>
    <row r="66" spans="1:19" ht="14.25" customHeight="1">
      <c r="A66" s="9" t="s">
        <v>550</v>
      </c>
      <c r="B66" s="9">
        <v>2022</v>
      </c>
      <c r="C66" s="9" t="s">
        <v>61</v>
      </c>
      <c r="D66" s="9" t="s">
        <v>359</v>
      </c>
      <c r="E66" s="9">
        <v>1</v>
      </c>
      <c r="F66" s="13">
        <v>44889</v>
      </c>
      <c r="G66" s="9" t="s">
        <v>239</v>
      </c>
      <c r="H66" s="9" t="s">
        <v>128</v>
      </c>
      <c r="I66" s="9">
        <v>1</v>
      </c>
      <c r="J66" s="9">
        <v>0</v>
      </c>
      <c r="K66" s="14" t="str">
        <f t="shared" si="0"/>
        <v>1-0</v>
      </c>
      <c r="L66" s="14" t="str">
        <f t="shared" si="1"/>
        <v>Gana</v>
      </c>
      <c r="M66" s="10" t="b">
        <f>FALSE()</f>
        <v>0</v>
      </c>
      <c r="N66" s="10" t="b">
        <f>FALSE()</f>
        <v>0</v>
      </c>
      <c r="O66" s="14">
        <f t="shared" si="2"/>
        <v>1</v>
      </c>
      <c r="P66" s="14">
        <f t="shared" si="3"/>
        <v>1</v>
      </c>
      <c r="Q66" s="14">
        <f t="shared" si="4"/>
        <v>3</v>
      </c>
      <c r="R66" s="14">
        <f t="shared" si="5"/>
        <v>0</v>
      </c>
      <c r="S66" s="9" t="s">
        <v>282</v>
      </c>
    </row>
    <row r="67" spans="1:19" ht="14.25" customHeight="1">
      <c r="A67" s="9" t="s">
        <v>555</v>
      </c>
      <c r="B67" s="9">
        <v>2022</v>
      </c>
      <c r="C67" s="9" t="s">
        <v>61</v>
      </c>
      <c r="D67" s="9" t="s">
        <v>556</v>
      </c>
      <c r="E67" s="9">
        <v>1</v>
      </c>
      <c r="F67" s="13">
        <v>44889</v>
      </c>
      <c r="G67" s="9" t="s">
        <v>252</v>
      </c>
      <c r="H67" s="9" t="s">
        <v>229</v>
      </c>
      <c r="I67" s="9">
        <v>0</v>
      </c>
      <c r="J67" s="9">
        <v>0</v>
      </c>
      <c r="K67" s="14" t="str">
        <f t="shared" si="0"/>
        <v>0-0</v>
      </c>
      <c r="L67" s="14" t="str">
        <f t="shared" si="1"/>
        <v>Empata</v>
      </c>
      <c r="M67" s="10" t="b">
        <f>FALSE()</f>
        <v>0</v>
      </c>
      <c r="N67" s="10" t="b">
        <f>FALSE()</f>
        <v>0</v>
      </c>
      <c r="O67" s="14">
        <f t="shared" si="2"/>
        <v>0</v>
      </c>
      <c r="P67" s="14">
        <f t="shared" si="3"/>
        <v>0</v>
      </c>
      <c r="Q67" s="14">
        <f t="shared" si="4"/>
        <v>1</v>
      </c>
      <c r="R67" s="14">
        <f t="shared" si="5"/>
        <v>1</v>
      </c>
      <c r="S67" s="9" t="s">
        <v>282</v>
      </c>
    </row>
    <row r="68" spans="1:19" ht="14.25" customHeight="1">
      <c r="A68" s="9" t="s">
        <v>559</v>
      </c>
      <c r="B68" s="9">
        <v>2022</v>
      </c>
      <c r="C68" s="9" t="s">
        <v>61</v>
      </c>
      <c r="D68" s="9" t="s">
        <v>556</v>
      </c>
      <c r="E68" s="9">
        <v>1</v>
      </c>
      <c r="F68" s="13">
        <v>44889</v>
      </c>
      <c r="G68" s="9" t="s">
        <v>212</v>
      </c>
      <c r="H68" s="9" t="s">
        <v>168</v>
      </c>
      <c r="I68" s="9">
        <v>3</v>
      </c>
      <c r="J68" s="9">
        <v>2</v>
      </c>
      <c r="K68" s="14" t="str">
        <f t="shared" si="0"/>
        <v>3-2</v>
      </c>
      <c r="L68" s="14" t="str">
        <f t="shared" si="1"/>
        <v>Gana</v>
      </c>
      <c r="M68" s="10" t="b">
        <f>FALSE()</f>
        <v>0</v>
      </c>
      <c r="N68" s="10" t="b">
        <f>FALSE()</f>
        <v>0</v>
      </c>
      <c r="O68" s="14">
        <f t="shared" si="2"/>
        <v>5</v>
      </c>
      <c r="P68" s="14">
        <f t="shared" si="3"/>
        <v>1</v>
      </c>
      <c r="Q68" s="14">
        <f t="shared" si="4"/>
        <v>3</v>
      </c>
      <c r="R68" s="14">
        <f t="shared" si="5"/>
        <v>0</v>
      </c>
      <c r="S68" s="9" t="s">
        <v>282</v>
      </c>
    </row>
    <row r="69" spans="1:19" ht="14.25" customHeight="1">
      <c r="A69" s="9" t="s">
        <v>562</v>
      </c>
      <c r="B69" s="9">
        <v>2022</v>
      </c>
      <c r="C69" s="9" t="s">
        <v>61</v>
      </c>
      <c r="D69" s="9" t="s">
        <v>359</v>
      </c>
      <c r="E69" s="9">
        <v>1</v>
      </c>
      <c r="F69" s="13">
        <v>44889</v>
      </c>
      <c r="G69" s="9" t="s">
        <v>126</v>
      </c>
      <c r="H69" s="9" t="s">
        <v>224</v>
      </c>
      <c r="I69" s="9">
        <v>2</v>
      </c>
      <c r="J69" s="9">
        <v>0</v>
      </c>
      <c r="K69" s="14" t="str">
        <f t="shared" si="0"/>
        <v>2-0</v>
      </c>
      <c r="L69" s="14" t="str">
        <f t="shared" si="1"/>
        <v>Gana</v>
      </c>
      <c r="M69" s="10" t="b">
        <f>FALSE()</f>
        <v>0</v>
      </c>
      <c r="N69" s="10" t="b">
        <f>FALSE()</f>
        <v>0</v>
      </c>
      <c r="O69" s="14">
        <f t="shared" si="2"/>
        <v>2</v>
      </c>
      <c r="P69" s="14">
        <f t="shared" si="3"/>
        <v>2</v>
      </c>
      <c r="Q69" s="14">
        <f t="shared" si="4"/>
        <v>3</v>
      </c>
      <c r="R69" s="14">
        <f t="shared" si="5"/>
        <v>0</v>
      </c>
      <c r="S69" s="9" t="s">
        <v>282</v>
      </c>
    </row>
    <row r="70" spans="1:19" ht="14.25" customHeight="1">
      <c r="A70" s="9" t="s">
        <v>565</v>
      </c>
      <c r="B70" s="9">
        <v>2022</v>
      </c>
      <c r="C70" s="9" t="s">
        <v>61</v>
      </c>
      <c r="D70" s="9" t="s">
        <v>384</v>
      </c>
      <c r="E70" s="9">
        <v>2</v>
      </c>
      <c r="F70" s="13">
        <v>44890</v>
      </c>
      <c r="G70" s="9" t="s">
        <v>255</v>
      </c>
      <c r="H70" s="9" t="s">
        <v>175</v>
      </c>
      <c r="I70" s="9">
        <v>0</v>
      </c>
      <c r="J70" s="9">
        <v>2</v>
      </c>
      <c r="K70" s="14" t="str">
        <f t="shared" ref="K70:K133" si="6">IF(OR(I70="",J70=""),"",I70&amp;"-"&amp;J70)</f>
        <v>0-2</v>
      </c>
      <c r="L70" s="14" t="str">
        <f t="shared" ref="L70:L133" si="7">IF(OR(I70="",J70=""),"",IF(I70&gt;J70,"Gana",IF(I70=J70,"Empata","Pierde")))</f>
        <v>Pierde</v>
      </c>
      <c r="M70" s="10" t="b">
        <f>FALSE()</f>
        <v>0</v>
      </c>
      <c r="N70" s="10" t="b">
        <f>FALSE()</f>
        <v>0</v>
      </c>
      <c r="O70" s="14">
        <f t="shared" ref="O70:O133" si="8">IF(OR(I70="",J70=""),"",I70+J70)</f>
        <v>2</v>
      </c>
      <c r="P70" s="14">
        <f t="shared" ref="P70:P133" si="9">IF(OR(I70="",J70=""),"",I70-J70)</f>
        <v>-2</v>
      </c>
      <c r="Q70" s="14">
        <f t="shared" ref="Q70:Q133" si="10">IF(L70="","",IF(L70="Gana",3,IF(L70="Empata",1,0)))</f>
        <v>0</v>
      </c>
      <c r="R70" s="14">
        <f t="shared" ref="R70:R133" si="11">IF(L70="","",IF(L70="Pierde",3,IF(L70="Empata",1,0)))</f>
        <v>3</v>
      </c>
      <c r="S70" s="9" t="s">
        <v>282</v>
      </c>
    </row>
    <row r="71" spans="1:19" ht="14.25" customHeight="1">
      <c r="A71" s="9" t="s">
        <v>569</v>
      </c>
      <c r="B71" s="9">
        <v>2022</v>
      </c>
      <c r="C71" s="9" t="s">
        <v>61</v>
      </c>
      <c r="D71" s="9" t="s">
        <v>64</v>
      </c>
      <c r="E71" s="9">
        <v>2</v>
      </c>
      <c r="F71" s="13">
        <v>44890</v>
      </c>
      <c r="G71" s="9" t="s">
        <v>214</v>
      </c>
      <c r="H71" s="9" t="s">
        <v>222</v>
      </c>
      <c r="I71" s="9">
        <v>1</v>
      </c>
      <c r="J71" s="9">
        <v>3</v>
      </c>
      <c r="K71" s="14" t="str">
        <f t="shared" si="6"/>
        <v>1-3</v>
      </c>
      <c r="L71" s="14" t="str">
        <f t="shared" si="7"/>
        <v>Pierde</v>
      </c>
      <c r="M71" s="10" t="b">
        <f>TRUE()</f>
        <v>1</v>
      </c>
      <c r="N71" s="10" t="b">
        <f>FALSE()</f>
        <v>0</v>
      </c>
      <c r="O71" s="14">
        <f t="shared" si="8"/>
        <v>4</v>
      </c>
      <c r="P71" s="14">
        <f t="shared" si="9"/>
        <v>-2</v>
      </c>
      <c r="Q71" s="14">
        <f t="shared" si="10"/>
        <v>0</v>
      </c>
      <c r="R71" s="14">
        <f t="shared" si="11"/>
        <v>3</v>
      </c>
      <c r="S71" s="9" t="s">
        <v>282</v>
      </c>
    </row>
    <row r="72" spans="1:19" ht="14.25" customHeight="1">
      <c r="A72" s="9" t="s">
        <v>573</v>
      </c>
      <c r="B72" s="9">
        <v>2022</v>
      </c>
      <c r="C72" s="9" t="s">
        <v>61</v>
      </c>
      <c r="D72" s="9" t="s">
        <v>64</v>
      </c>
      <c r="E72" s="9">
        <v>2</v>
      </c>
      <c r="F72" s="13">
        <v>44890</v>
      </c>
      <c r="G72" s="9" t="s">
        <v>194</v>
      </c>
      <c r="H72" s="9" t="s">
        <v>157</v>
      </c>
      <c r="I72" s="9">
        <v>1</v>
      </c>
      <c r="J72" s="9">
        <v>1</v>
      </c>
      <c r="K72" s="14" t="str">
        <f t="shared" si="6"/>
        <v>1-1</v>
      </c>
      <c r="L72" s="14" t="str">
        <f t="shared" si="7"/>
        <v>Empata</v>
      </c>
      <c r="M72" s="10" t="b">
        <f>FALSE()</f>
        <v>0</v>
      </c>
      <c r="N72" s="10" t="b">
        <f>FALSE()</f>
        <v>0</v>
      </c>
      <c r="O72" s="14">
        <f t="shared" si="8"/>
        <v>2</v>
      </c>
      <c r="P72" s="14">
        <f t="shared" si="9"/>
        <v>0</v>
      </c>
      <c r="Q72" s="14">
        <f t="shared" si="10"/>
        <v>1</v>
      </c>
      <c r="R72" s="14">
        <f t="shared" si="11"/>
        <v>1</v>
      </c>
      <c r="S72" s="9" t="s">
        <v>282</v>
      </c>
    </row>
    <row r="73" spans="1:19" ht="14.25" customHeight="1">
      <c r="A73" s="9" t="s">
        <v>576</v>
      </c>
      <c r="B73" s="9">
        <v>2022</v>
      </c>
      <c r="C73" s="9" t="s">
        <v>61</v>
      </c>
      <c r="D73" s="9" t="s">
        <v>384</v>
      </c>
      <c r="E73" s="9">
        <v>2</v>
      </c>
      <c r="F73" s="13">
        <v>44890</v>
      </c>
      <c r="G73" s="9" t="s">
        <v>161</v>
      </c>
      <c r="H73" s="9" t="s">
        <v>248</v>
      </c>
      <c r="I73" s="9">
        <v>0</v>
      </c>
      <c r="J73" s="9">
        <v>0</v>
      </c>
      <c r="K73" s="14" t="str">
        <f t="shared" si="6"/>
        <v>0-0</v>
      </c>
      <c r="L73" s="14" t="str">
        <f t="shared" si="7"/>
        <v>Empata</v>
      </c>
      <c r="M73" s="10" t="b">
        <f>FALSE()</f>
        <v>0</v>
      </c>
      <c r="N73" s="10" t="b">
        <f>FALSE()</f>
        <v>0</v>
      </c>
      <c r="O73" s="14">
        <f t="shared" si="8"/>
        <v>0</v>
      </c>
      <c r="P73" s="14">
        <f t="shared" si="9"/>
        <v>0</v>
      </c>
      <c r="Q73" s="14">
        <f t="shared" si="10"/>
        <v>1</v>
      </c>
      <c r="R73" s="14">
        <f t="shared" si="11"/>
        <v>1</v>
      </c>
      <c r="S73" s="9" t="s">
        <v>282</v>
      </c>
    </row>
    <row r="74" spans="1:19" ht="14.25" customHeight="1">
      <c r="A74" s="9" t="s">
        <v>579</v>
      </c>
      <c r="B74" s="9">
        <v>2022</v>
      </c>
      <c r="C74" s="9" t="s">
        <v>61</v>
      </c>
      <c r="D74" s="9" t="s">
        <v>328</v>
      </c>
      <c r="E74" s="9">
        <v>2</v>
      </c>
      <c r="F74" s="13">
        <v>44891</v>
      </c>
      <c r="G74" s="9" t="s">
        <v>241</v>
      </c>
      <c r="H74" s="9" t="s">
        <v>114</v>
      </c>
      <c r="I74" s="9">
        <v>0</v>
      </c>
      <c r="J74" s="9">
        <v>1</v>
      </c>
      <c r="K74" s="14" t="str">
        <f t="shared" si="6"/>
        <v>0-1</v>
      </c>
      <c r="L74" s="14" t="str">
        <f t="shared" si="7"/>
        <v>Pierde</v>
      </c>
      <c r="M74" s="10" t="b">
        <f>FALSE()</f>
        <v>0</v>
      </c>
      <c r="N74" s="10" t="b">
        <f>FALSE()</f>
        <v>0</v>
      </c>
      <c r="O74" s="14">
        <f t="shared" si="8"/>
        <v>1</v>
      </c>
      <c r="P74" s="14">
        <f t="shared" si="9"/>
        <v>-1</v>
      </c>
      <c r="Q74" s="14">
        <f t="shared" si="10"/>
        <v>0</v>
      </c>
      <c r="R74" s="14">
        <f t="shared" si="11"/>
        <v>3</v>
      </c>
      <c r="S74" s="9" t="s">
        <v>282</v>
      </c>
    </row>
    <row r="75" spans="1:19" ht="14.25" customHeight="1">
      <c r="A75" s="9" t="s">
        <v>582</v>
      </c>
      <c r="B75" s="9">
        <v>2022</v>
      </c>
      <c r="C75" s="9" t="s">
        <v>61</v>
      </c>
      <c r="D75" s="9" t="s">
        <v>309</v>
      </c>
      <c r="E75" s="9">
        <v>2</v>
      </c>
      <c r="F75" s="13">
        <v>44891</v>
      </c>
      <c r="G75" s="9" t="s">
        <v>210</v>
      </c>
      <c r="H75" s="9" t="s">
        <v>76</v>
      </c>
      <c r="I75" s="9">
        <v>2</v>
      </c>
      <c r="J75" s="9">
        <v>0</v>
      </c>
      <c r="K75" s="14" t="str">
        <f t="shared" si="6"/>
        <v>2-0</v>
      </c>
      <c r="L75" s="14" t="str">
        <f t="shared" si="7"/>
        <v>Gana</v>
      </c>
      <c r="M75" s="10" t="b">
        <f>FALSE()</f>
        <v>0</v>
      </c>
      <c r="N75" s="10" t="b">
        <f>FALSE()</f>
        <v>0</v>
      </c>
      <c r="O75" s="14">
        <f t="shared" si="8"/>
        <v>2</v>
      </c>
      <c r="P75" s="14">
        <f t="shared" si="9"/>
        <v>2</v>
      </c>
      <c r="Q75" s="14">
        <f t="shared" si="10"/>
        <v>3</v>
      </c>
      <c r="R75" s="14">
        <f t="shared" si="11"/>
        <v>0</v>
      </c>
      <c r="S75" s="9" t="s">
        <v>282</v>
      </c>
    </row>
    <row r="76" spans="1:19" ht="14.25" customHeight="1">
      <c r="A76" s="9" t="s">
        <v>584</v>
      </c>
      <c r="B76" s="9">
        <v>2022</v>
      </c>
      <c r="C76" s="9" t="s">
        <v>61</v>
      </c>
      <c r="D76" s="9" t="s">
        <v>328</v>
      </c>
      <c r="E76" s="9">
        <v>2</v>
      </c>
      <c r="F76" s="13">
        <v>44891</v>
      </c>
      <c r="G76" s="9" t="s">
        <v>163</v>
      </c>
      <c r="H76" s="9" t="s">
        <v>155</v>
      </c>
      <c r="I76" s="9">
        <v>2</v>
      </c>
      <c r="J76" s="9">
        <v>1</v>
      </c>
      <c r="K76" s="14" t="str">
        <f t="shared" si="6"/>
        <v>2-1</v>
      </c>
      <c r="L76" s="14" t="str">
        <f t="shared" si="7"/>
        <v>Gana</v>
      </c>
      <c r="M76" s="10" t="b">
        <f>FALSE()</f>
        <v>0</v>
      </c>
      <c r="N76" s="10" t="b">
        <f>FALSE()</f>
        <v>0</v>
      </c>
      <c r="O76" s="14">
        <f t="shared" si="8"/>
        <v>3</v>
      </c>
      <c r="P76" s="14">
        <f t="shared" si="9"/>
        <v>1</v>
      </c>
      <c r="Q76" s="14">
        <f t="shared" si="10"/>
        <v>3</v>
      </c>
      <c r="R76" s="14">
        <f t="shared" si="11"/>
        <v>0</v>
      </c>
      <c r="S76" s="9" t="s">
        <v>282</v>
      </c>
    </row>
    <row r="77" spans="1:19" ht="14.25" customHeight="1">
      <c r="A77" s="9" t="s">
        <v>586</v>
      </c>
      <c r="B77" s="9">
        <v>2022</v>
      </c>
      <c r="C77" s="9" t="s">
        <v>61</v>
      </c>
      <c r="D77" s="9" t="s">
        <v>309</v>
      </c>
      <c r="E77" s="9">
        <v>2</v>
      </c>
      <c r="F77" s="13">
        <v>44891</v>
      </c>
      <c r="G77" s="9" t="s">
        <v>112</v>
      </c>
      <c r="H77" s="9" t="s">
        <v>188</v>
      </c>
      <c r="I77" s="9">
        <v>2</v>
      </c>
      <c r="J77" s="9">
        <v>0</v>
      </c>
      <c r="K77" s="14" t="str">
        <f t="shared" si="6"/>
        <v>2-0</v>
      </c>
      <c r="L77" s="14" t="str">
        <f t="shared" si="7"/>
        <v>Gana</v>
      </c>
      <c r="M77" s="10" t="b">
        <f>FALSE()</f>
        <v>0</v>
      </c>
      <c r="N77" s="10" t="b">
        <f>FALSE()</f>
        <v>0</v>
      </c>
      <c r="O77" s="14">
        <f t="shared" si="8"/>
        <v>2</v>
      </c>
      <c r="P77" s="14">
        <f t="shared" si="9"/>
        <v>2</v>
      </c>
      <c r="Q77" s="14">
        <f t="shared" si="10"/>
        <v>3</v>
      </c>
      <c r="R77" s="14">
        <f t="shared" si="11"/>
        <v>0</v>
      </c>
      <c r="S77" s="9" t="s">
        <v>282</v>
      </c>
    </row>
    <row r="78" spans="1:19" ht="14.25" customHeight="1">
      <c r="A78" s="9" t="s">
        <v>588</v>
      </c>
      <c r="B78" s="9">
        <v>2022</v>
      </c>
      <c r="C78" s="9" t="s">
        <v>61</v>
      </c>
      <c r="D78" s="9" t="s">
        <v>343</v>
      </c>
      <c r="E78" s="9">
        <v>2</v>
      </c>
      <c r="F78" s="13">
        <v>44892</v>
      </c>
      <c r="G78" s="9" t="s">
        <v>185</v>
      </c>
      <c r="H78" s="9" t="s">
        <v>138</v>
      </c>
      <c r="I78" s="9">
        <v>0</v>
      </c>
      <c r="J78" s="9">
        <v>1</v>
      </c>
      <c r="K78" s="14" t="str">
        <f t="shared" si="6"/>
        <v>0-1</v>
      </c>
      <c r="L78" s="14" t="str">
        <f t="shared" si="7"/>
        <v>Pierde</v>
      </c>
      <c r="M78" s="10" t="b">
        <f>FALSE()</f>
        <v>0</v>
      </c>
      <c r="N78" s="10" t="b">
        <f>FALSE()</f>
        <v>0</v>
      </c>
      <c r="O78" s="14">
        <f t="shared" si="8"/>
        <v>1</v>
      </c>
      <c r="P78" s="14">
        <f t="shared" si="9"/>
        <v>-1</v>
      </c>
      <c r="Q78" s="14">
        <f t="shared" si="10"/>
        <v>0</v>
      </c>
      <c r="R78" s="14">
        <f t="shared" si="11"/>
        <v>3</v>
      </c>
      <c r="S78" s="9" t="s">
        <v>282</v>
      </c>
    </row>
    <row r="79" spans="1:19" ht="14.25" customHeight="1">
      <c r="A79" s="9" t="s">
        <v>591</v>
      </c>
      <c r="B79" s="9">
        <v>2022</v>
      </c>
      <c r="C79" s="9" t="s">
        <v>61</v>
      </c>
      <c r="D79" s="9" t="s">
        <v>417</v>
      </c>
      <c r="E79" s="9">
        <v>2</v>
      </c>
      <c r="F79" s="13">
        <v>44892</v>
      </c>
      <c r="G79" s="9" t="s">
        <v>118</v>
      </c>
      <c r="H79" s="9" t="s">
        <v>191</v>
      </c>
      <c r="I79" s="9">
        <v>0</v>
      </c>
      <c r="J79" s="9">
        <v>2</v>
      </c>
      <c r="K79" s="14" t="str">
        <f t="shared" si="6"/>
        <v>0-2</v>
      </c>
      <c r="L79" s="14" t="str">
        <f t="shared" si="7"/>
        <v>Pierde</v>
      </c>
      <c r="M79" s="10" t="b">
        <f>FALSE()</f>
        <v>0</v>
      </c>
      <c r="N79" s="10" t="b">
        <f>FALSE()</f>
        <v>0</v>
      </c>
      <c r="O79" s="14">
        <f t="shared" si="8"/>
        <v>2</v>
      </c>
      <c r="P79" s="14">
        <f t="shared" si="9"/>
        <v>-2</v>
      </c>
      <c r="Q79" s="14">
        <f t="shared" si="10"/>
        <v>0</v>
      </c>
      <c r="R79" s="14">
        <f t="shared" si="11"/>
        <v>3</v>
      </c>
      <c r="S79" s="9" t="s">
        <v>282</v>
      </c>
    </row>
    <row r="80" spans="1:19" ht="14.25" customHeight="1">
      <c r="A80" s="9" t="s">
        <v>593</v>
      </c>
      <c r="B80" s="9">
        <v>2022</v>
      </c>
      <c r="C80" s="9" t="s">
        <v>61</v>
      </c>
      <c r="D80" s="9" t="s">
        <v>417</v>
      </c>
      <c r="E80" s="9">
        <v>2</v>
      </c>
      <c r="F80" s="13">
        <v>44892</v>
      </c>
      <c r="G80" s="9" t="s">
        <v>140</v>
      </c>
      <c r="H80" s="9" t="s">
        <v>130</v>
      </c>
      <c r="I80" s="9">
        <v>4</v>
      </c>
      <c r="J80" s="9">
        <v>1</v>
      </c>
      <c r="K80" s="14" t="str">
        <f t="shared" si="6"/>
        <v>4-1</v>
      </c>
      <c r="L80" s="14" t="str">
        <f t="shared" si="7"/>
        <v>Gana</v>
      </c>
      <c r="M80" s="10" t="b">
        <f>FALSE()</f>
        <v>0</v>
      </c>
      <c r="N80" s="10" t="b">
        <f>FALSE()</f>
        <v>0</v>
      </c>
      <c r="O80" s="14">
        <f t="shared" si="8"/>
        <v>5</v>
      </c>
      <c r="P80" s="14">
        <f t="shared" si="9"/>
        <v>3</v>
      </c>
      <c r="Q80" s="14">
        <f t="shared" si="10"/>
        <v>3</v>
      </c>
      <c r="R80" s="14">
        <f t="shared" si="11"/>
        <v>0</v>
      </c>
      <c r="S80" s="9" t="s">
        <v>282</v>
      </c>
    </row>
    <row r="81" spans="1:19" ht="14.25" customHeight="1">
      <c r="A81" s="9" t="s">
        <v>597</v>
      </c>
      <c r="B81" s="9">
        <v>2022</v>
      </c>
      <c r="C81" s="9" t="s">
        <v>61</v>
      </c>
      <c r="D81" s="9" t="s">
        <v>343</v>
      </c>
      <c r="E81" s="9">
        <v>2</v>
      </c>
      <c r="F81" s="13">
        <v>44892</v>
      </c>
      <c r="G81" s="9" t="s">
        <v>234</v>
      </c>
      <c r="H81" s="9" t="s">
        <v>166</v>
      </c>
      <c r="I81" s="9">
        <v>1</v>
      </c>
      <c r="J81" s="9">
        <v>1</v>
      </c>
      <c r="K81" s="14" t="str">
        <f t="shared" si="6"/>
        <v>1-1</v>
      </c>
      <c r="L81" s="14" t="str">
        <f t="shared" si="7"/>
        <v>Empata</v>
      </c>
      <c r="M81" s="10" t="b">
        <f>FALSE()</f>
        <v>0</v>
      </c>
      <c r="N81" s="10" t="b">
        <f>FALSE()</f>
        <v>0</v>
      </c>
      <c r="O81" s="14">
        <f t="shared" si="8"/>
        <v>2</v>
      </c>
      <c r="P81" s="14">
        <f t="shared" si="9"/>
        <v>0</v>
      </c>
      <c r="Q81" s="14">
        <f t="shared" si="10"/>
        <v>1</v>
      </c>
      <c r="R81" s="14">
        <f t="shared" si="11"/>
        <v>1</v>
      </c>
      <c r="S81" s="9" t="s">
        <v>282</v>
      </c>
    </row>
    <row r="82" spans="1:19" ht="14.25" customHeight="1">
      <c r="A82" s="9" t="s">
        <v>601</v>
      </c>
      <c r="B82" s="9">
        <v>2022</v>
      </c>
      <c r="C82" s="9" t="s">
        <v>61</v>
      </c>
      <c r="D82" s="9" t="s">
        <v>359</v>
      </c>
      <c r="E82" s="9">
        <v>2</v>
      </c>
      <c r="F82" s="13">
        <v>44893</v>
      </c>
      <c r="G82" s="9" t="s">
        <v>128</v>
      </c>
      <c r="H82" s="9" t="s">
        <v>224</v>
      </c>
      <c r="I82" s="9">
        <v>3</v>
      </c>
      <c r="J82" s="9">
        <v>3</v>
      </c>
      <c r="K82" s="14" t="str">
        <f t="shared" si="6"/>
        <v>3-3</v>
      </c>
      <c r="L82" s="14" t="str">
        <f t="shared" si="7"/>
        <v>Empata</v>
      </c>
      <c r="M82" s="10" t="b">
        <f>FALSE()</f>
        <v>0</v>
      </c>
      <c r="N82" s="10" t="b">
        <f>FALSE()</f>
        <v>0</v>
      </c>
      <c r="O82" s="14">
        <f t="shared" si="8"/>
        <v>6</v>
      </c>
      <c r="P82" s="14">
        <f t="shared" si="9"/>
        <v>0</v>
      </c>
      <c r="Q82" s="14">
        <f t="shared" si="10"/>
        <v>1</v>
      </c>
      <c r="R82" s="14">
        <f t="shared" si="11"/>
        <v>1</v>
      </c>
      <c r="S82" s="9" t="s">
        <v>282</v>
      </c>
    </row>
    <row r="83" spans="1:19" ht="14.25" customHeight="1">
      <c r="A83" s="9" t="s">
        <v>604</v>
      </c>
      <c r="B83" s="9">
        <v>2022</v>
      </c>
      <c r="C83" s="9" t="s">
        <v>61</v>
      </c>
      <c r="D83" s="9" t="s">
        <v>556</v>
      </c>
      <c r="E83" s="9">
        <v>2</v>
      </c>
      <c r="F83" s="13">
        <v>44893</v>
      </c>
      <c r="G83" s="9" t="s">
        <v>229</v>
      </c>
      <c r="H83" s="9" t="s">
        <v>168</v>
      </c>
      <c r="I83" s="9">
        <v>2</v>
      </c>
      <c r="J83" s="9">
        <v>3</v>
      </c>
      <c r="K83" s="14" t="str">
        <f t="shared" si="6"/>
        <v>2-3</v>
      </c>
      <c r="L83" s="14" t="str">
        <f t="shared" si="7"/>
        <v>Pierde</v>
      </c>
      <c r="M83" s="10" t="b">
        <f>FALSE()</f>
        <v>0</v>
      </c>
      <c r="N83" s="10" t="b">
        <f>FALSE()</f>
        <v>0</v>
      </c>
      <c r="O83" s="14">
        <f t="shared" si="8"/>
        <v>5</v>
      </c>
      <c r="P83" s="14">
        <f t="shared" si="9"/>
        <v>-1</v>
      </c>
      <c r="Q83" s="14">
        <f t="shared" si="10"/>
        <v>0</v>
      </c>
      <c r="R83" s="14">
        <f t="shared" si="11"/>
        <v>3</v>
      </c>
      <c r="S83" s="9" t="s">
        <v>282</v>
      </c>
    </row>
    <row r="84" spans="1:19" ht="14.25" customHeight="1">
      <c r="A84" s="9" t="s">
        <v>608</v>
      </c>
      <c r="B84" s="9">
        <v>2022</v>
      </c>
      <c r="C84" s="9" t="s">
        <v>61</v>
      </c>
      <c r="D84" s="9" t="s">
        <v>359</v>
      </c>
      <c r="E84" s="9">
        <v>2</v>
      </c>
      <c r="F84" s="13"/>
      <c r="G84" s="9" t="s">
        <v>126</v>
      </c>
      <c r="H84" s="9" t="s">
        <v>239</v>
      </c>
      <c r="I84" s="9">
        <v>1</v>
      </c>
      <c r="J84" s="9">
        <v>0</v>
      </c>
      <c r="K84" s="14" t="str">
        <f t="shared" si="6"/>
        <v>1-0</v>
      </c>
      <c r="L84" s="14" t="str">
        <f t="shared" si="7"/>
        <v>Gana</v>
      </c>
      <c r="M84" s="10" t="b">
        <f>FALSE()</f>
        <v>0</v>
      </c>
      <c r="N84" s="10" t="b">
        <f>FALSE()</f>
        <v>0</v>
      </c>
      <c r="O84" s="14">
        <f t="shared" si="8"/>
        <v>1</v>
      </c>
      <c r="P84" s="14">
        <f t="shared" si="9"/>
        <v>1</v>
      </c>
      <c r="Q84" s="14">
        <f t="shared" si="10"/>
        <v>3</v>
      </c>
      <c r="R84" s="14">
        <f t="shared" si="11"/>
        <v>0</v>
      </c>
      <c r="S84" s="9" t="s">
        <v>282</v>
      </c>
    </row>
    <row r="85" spans="1:19" ht="14.25" customHeight="1">
      <c r="A85" s="9" t="s">
        <v>609</v>
      </c>
      <c r="B85" s="9">
        <v>2022</v>
      </c>
      <c r="C85" s="9" t="s">
        <v>61</v>
      </c>
      <c r="D85" s="9" t="s">
        <v>556</v>
      </c>
      <c r="E85" s="9">
        <v>2</v>
      </c>
      <c r="F85" s="13">
        <v>44893</v>
      </c>
      <c r="G85" s="9" t="s">
        <v>212</v>
      </c>
      <c r="H85" s="9" t="s">
        <v>252</v>
      </c>
      <c r="I85" s="9">
        <v>2</v>
      </c>
      <c r="J85" s="9">
        <v>0</v>
      </c>
      <c r="K85" s="14" t="str">
        <f t="shared" si="6"/>
        <v>2-0</v>
      </c>
      <c r="L85" s="14" t="str">
        <f t="shared" si="7"/>
        <v>Gana</v>
      </c>
      <c r="M85" s="10" t="b">
        <f>FALSE()</f>
        <v>0</v>
      </c>
      <c r="N85" s="10" t="b">
        <f>FALSE()</f>
        <v>0</v>
      </c>
      <c r="O85" s="14">
        <f t="shared" si="8"/>
        <v>2</v>
      </c>
      <c r="P85" s="14">
        <f t="shared" si="9"/>
        <v>2</v>
      </c>
      <c r="Q85" s="14">
        <f t="shared" si="10"/>
        <v>3</v>
      </c>
      <c r="R85" s="14">
        <f t="shared" si="11"/>
        <v>0</v>
      </c>
      <c r="S85" s="9" t="s">
        <v>282</v>
      </c>
    </row>
    <row r="86" spans="1:19" ht="14.25" customHeight="1">
      <c r="A86" s="9" t="s">
        <v>611</v>
      </c>
      <c r="B86" s="9">
        <v>2022</v>
      </c>
      <c r="C86" s="9" t="s">
        <v>61</v>
      </c>
      <c r="D86" s="9" t="s">
        <v>64</v>
      </c>
      <c r="E86" s="9">
        <v>3</v>
      </c>
      <c r="F86" s="13">
        <v>44894</v>
      </c>
      <c r="G86" s="9" t="s">
        <v>157</v>
      </c>
      <c r="H86" s="9" t="s">
        <v>222</v>
      </c>
      <c r="I86" s="9">
        <v>1</v>
      </c>
      <c r="J86" s="9">
        <v>2</v>
      </c>
      <c r="K86" s="14" t="str">
        <f t="shared" si="6"/>
        <v>1-2</v>
      </c>
      <c r="L86" s="14" t="str">
        <f t="shared" si="7"/>
        <v>Pierde</v>
      </c>
      <c r="M86" s="10" t="b">
        <f>FALSE()</f>
        <v>0</v>
      </c>
      <c r="N86" s="10" t="b">
        <f>FALSE()</f>
        <v>0</v>
      </c>
      <c r="O86" s="14">
        <f t="shared" si="8"/>
        <v>3</v>
      </c>
      <c r="P86" s="14">
        <f t="shared" si="9"/>
        <v>-1</v>
      </c>
      <c r="Q86" s="14">
        <f t="shared" si="10"/>
        <v>0</v>
      </c>
      <c r="R86" s="14">
        <f t="shared" si="11"/>
        <v>3</v>
      </c>
      <c r="S86" s="9" t="s">
        <v>282</v>
      </c>
    </row>
    <row r="87" spans="1:19" ht="14.25" customHeight="1">
      <c r="A87" s="9" t="s">
        <v>613</v>
      </c>
      <c r="B87" s="9">
        <v>2022</v>
      </c>
      <c r="C87" s="9" t="s">
        <v>61</v>
      </c>
      <c r="D87" s="9" t="s">
        <v>64</v>
      </c>
      <c r="E87" s="9">
        <v>3</v>
      </c>
      <c r="F87" s="13">
        <v>44894</v>
      </c>
      <c r="G87" s="9" t="s">
        <v>194</v>
      </c>
      <c r="H87" s="9" t="s">
        <v>214</v>
      </c>
      <c r="I87" s="9">
        <v>2</v>
      </c>
      <c r="J87" s="9">
        <v>0</v>
      </c>
      <c r="K87" s="14" t="str">
        <f t="shared" si="6"/>
        <v>2-0</v>
      </c>
      <c r="L87" s="14" t="str">
        <f t="shared" si="7"/>
        <v>Gana</v>
      </c>
      <c r="M87" s="10" t="b">
        <f>FALSE()</f>
        <v>0</v>
      </c>
      <c r="N87" s="10" t="b">
        <f>TRUE()</f>
        <v>1</v>
      </c>
      <c r="O87" s="14">
        <f t="shared" si="8"/>
        <v>2</v>
      </c>
      <c r="P87" s="14">
        <f t="shared" si="9"/>
        <v>2</v>
      </c>
      <c r="Q87" s="14">
        <f t="shared" si="10"/>
        <v>3</v>
      </c>
      <c r="R87" s="14">
        <f t="shared" si="11"/>
        <v>0</v>
      </c>
      <c r="S87" s="9" t="s">
        <v>282</v>
      </c>
    </row>
    <row r="88" spans="1:19" ht="14.25" customHeight="1">
      <c r="A88" s="9" t="s">
        <v>615</v>
      </c>
      <c r="B88" s="9">
        <v>2022</v>
      </c>
      <c r="C88" s="9" t="s">
        <v>61</v>
      </c>
      <c r="D88" s="9" t="s">
        <v>384</v>
      </c>
      <c r="E88" s="9">
        <v>3</v>
      </c>
      <c r="F88" s="13">
        <v>44894</v>
      </c>
      <c r="G88" s="9" t="s">
        <v>175</v>
      </c>
      <c r="H88" s="9" t="s">
        <v>248</v>
      </c>
      <c r="I88" s="9">
        <v>0</v>
      </c>
      <c r="J88" s="9">
        <v>1</v>
      </c>
      <c r="K88" s="14" t="str">
        <f t="shared" si="6"/>
        <v>0-1</v>
      </c>
      <c r="L88" s="14" t="str">
        <f t="shared" si="7"/>
        <v>Pierde</v>
      </c>
      <c r="M88" s="10" t="b">
        <f>FALSE()</f>
        <v>0</v>
      </c>
      <c r="N88" s="10" t="b">
        <f>FALSE()</f>
        <v>0</v>
      </c>
      <c r="O88" s="14">
        <f t="shared" si="8"/>
        <v>1</v>
      </c>
      <c r="P88" s="14">
        <f t="shared" si="9"/>
        <v>-1</v>
      </c>
      <c r="Q88" s="14">
        <f t="shared" si="10"/>
        <v>0</v>
      </c>
      <c r="R88" s="14">
        <f t="shared" si="11"/>
        <v>3</v>
      </c>
      <c r="S88" s="9" t="s">
        <v>282</v>
      </c>
    </row>
    <row r="89" spans="1:19" ht="14.25" customHeight="1">
      <c r="A89" s="9" t="s">
        <v>617</v>
      </c>
      <c r="B89" s="9">
        <v>2022</v>
      </c>
      <c r="C89" s="9" t="s">
        <v>61</v>
      </c>
      <c r="D89" s="9" t="s">
        <v>384</v>
      </c>
      <c r="E89" s="9">
        <v>3</v>
      </c>
      <c r="F89" s="13">
        <v>44894</v>
      </c>
      <c r="G89" s="9" t="s">
        <v>255</v>
      </c>
      <c r="H89" s="9" t="s">
        <v>161</v>
      </c>
      <c r="I89" s="9">
        <v>0</v>
      </c>
      <c r="J89" s="9">
        <v>3</v>
      </c>
      <c r="K89" s="14" t="str">
        <f t="shared" si="6"/>
        <v>0-3</v>
      </c>
      <c r="L89" s="14" t="str">
        <f t="shared" si="7"/>
        <v>Pierde</v>
      </c>
      <c r="M89" s="10" t="b">
        <f>FALSE()</f>
        <v>0</v>
      </c>
      <c r="N89" s="10" t="b">
        <f>FALSE()</f>
        <v>0</v>
      </c>
      <c r="O89" s="14">
        <f t="shared" si="8"/>
        <v>3</v>
      </c>
      <c r="P89" s="14">
        <f t="shared" si="9"/>
        <v>-3</v>
      </c>
      <c r="Q89" s="14">
        <f t="shared" si="10"/>
        <v>0</v>
      </c>
      <c r="R89" s="14">
        <f t="shared" si="11"/>
        <v>3</v>
      </c>
      <c r="S89" s="9" t="s">
        <v>282</v>
      </c>
    </row>
    <row r="90" spans="1:19" ht="14.25" customHeight="1">
      <c r="A90" s="9" t="s">
        <v>619</v>
      </c>
      <c r="B90" s="9">
        <v>2022</v>
      </c>
      <c r="C90" s="9" t="s">
        <v>61</v>
      </c>
      <c r="D90" s="9" t="s">
        <v>328</v>
      </c>
      <c r="E90" s="9">
        <v>3</v>
      </c>
      <c r="F90" s="13">
        <v>44895</v>
      </c>
      <c r="G90" s="9" t="s">
        <v>114</v>
      </c>
      <c r="H90" s="9" t="s">
        <v>155</v>
      </c>
      <c r="I90" s="9">
        <v>1</v>
      </c>
      <c r="J90" s="9">
        <v>0</v>
      </c>
      <c r="K90" s="14" t="str">
        <f t="shared" si="6"/>
        <v>1-0</v>
      </c>
      <c r="L90" s="14" t="str">
        <f t="shared" si="7"/>
        <v>Gana</v>
      </c>
      <c r="M90" s="10" t="b">
        <f>FALSE()</f>
        <v>0</v>
      </c>
      <c r="N90" s="10" t="b">
        <f>FALSE()</f>
        <v>0</v>
      </c>
      <c r="O90" s="14">
        <f t="shared" si="8"/>
        <v>1</v>
      </c>
      <c r="P90" s="14">
        <f t="shared" si="9"/>
        <v>1</v>
      </c>
      <c r="Q90" s="14">
        <f t="shared" si="10"/>
        <v>3</v>
      </c>
      <c r="R90" s="14">
        <f t="shared" si="11"/>
        <v>0</v>
      </c>
      <c r="S90" s="9" t="s">
        <v>282</v>
      </c>
    </row>
    <row r="91" spans="1:19" ht="14.25" customHeight="1">
      <c r="A91" s="9" t="s">
        <v>621</v>
      </c>
      <c r="B91" s="9">
        <v>2022</v>
      </c>
      <c r="C91" s="9" t="s">
        <v>61</v>
      </c>
      <c r="D91" s="9" t="s">
        <v>328</v>
      </c>
      <c r="E91" s="9">
        <v>3</v>
      </c>
      <c r="F91" s="13">
        <v>44895</v>
      </c>
      <c r="G91" s="9" t="s">
        <v>241</v>
      </c>
      <c r="H91" s="9" t="s">
        <v>163</v>
      </c>
      <c r="I91" s="9">
        <v>1</v>
      </c>
      <c r="J91" s="9">
        <v>0</v>
      </c>
      <c r="K91" s="14" t="str">
        <f t="shared" si="6"/>
        <v>1-0</v>
      </c>
      <c r="L91" s="14" t="str">
        <f t="shared" si="7"/>
        <v>Gana</v>
      </c>
      <c r="M91" s="10" t="b">
        <f>FALSE()</f>
        <v>0</v>
      </c>
      <c r="N91" s="10" t="b">
        <f>FALSE()</f>
        <v>0</v>
      </c>
      <c r="O91" s="14">
        <f t="shared" si="8"/>
        <v>1</v>
      </c>
      <c r="P91" s="14">
        <f t="shared" si="9"/>
        <v>1</v>
      </c>
      <c r="Q91" s="14">
        <f t="shared" si="10"/>
        <v>3</v>
      </c>
      <c r="R91" s="14">
        <f t="shared" si="11"/>
        <v>0</v>
      </c>
      <c r="S91" s="9" t="s">
        <v>282</v>
      </c>
    </row>
    <row r="92" spans="1:19" ht="14.25" customHeight="1">
      <c r="A92" s="9" t="s">
        <v>623</v>
      </c>
      <c r="B92" s="9">
        <v>2022</v>
      </c>
      <c r="C92" s="9" t="s">
        <v>61</v>
      </c>
      <c r="D92" s="9" t="s">
        <v>309</v>
      </c>
      <c r="E92" s="9">
        <v>3</v>
      </c>
      <c r="F92" s="13">
        <v>44895</v>
      </c>
      <c r="G92" s="9" t="s">
        <v>210</v>
      </c>
      <c r="H92" s="9" t="s">
        <v>112</v>
      </c>
      <c r="I92" s="9">
        <v>0</v>
      </c>
      <c r="J92" s="9">
        <v>2</v>
      </c>
      <c r="K92" s="14" t="str">
        <f t="shared" si="6"/>
        <v>0-2</v>
      </c>
      <c r="L92" s="14" t="str">
        <f t="shared" si="7"/>
        <v>Pierde</v>
      </c>
      <c r="M92" s="10" t="b">
        <f>FALSE()</f>
        <v>0</v>
      </c>
      <c r="N92" s="10" t="b">
        <f>FALSE()</f>
        <v>0</v>
      </c>
      <c r="O92" s="14">
        <f t="shared" si="8"/>
        <v>2</v>
      </c>
      <c r="P92" s="14">
        <f t="shared" si="9"/>
        <v>-2</v>
      </c>
      <c r="Q92" s="14">
        <f t="shared" si="10"/>
        <v>0</v>
      </c>
      <c r="R92" s="14">
        <f t="shared" si="11"/>
        <v>3</v>
      </c>
      <c r="S92" s="9" t="s">
        <v>282</v>
      </c>
    </row>
    <row r="93" spans="1:19" ht="14.25" customHeight="1">
      <c r="A93" s="9" t="s">
        <v>627</v>
      </c>
      <c r="B93" s="9">
        <v>2022</v>
      </c>
      <c r="C93" s="9" t="s">
        <v>61</v>
      </c>
      <c r="D93" s="9" t="s">
        <v>309</v>
      </c>
      <c r="E93" s="9">
        <v>3</v>
      </c>
      <c r="F93" s="13">
        <v>44895</v>
      </c>
      <c r="G93" s="9" t="s">
        <v>76</v>
      </c>
      <c r="H93" s="9" t="s">
        <v>188</v>
      </c>
      <c r="I93" s="9">
        <v>1</v>
      </c>
      <c r="J93" s="9">
        <v>2</v>
      </c>
      <c r="K93" s="14" t="str">
        <f t="shared" si="6"/>
        <v>1-2</v>
      </c>
      <c r="L93" s="14" t="str">
        <f t="shared" si="7"/>
        <v>Pierde</v>
      </c>
      <c r="M93" s="10" t="b">
        <f>FALSE()</f>
        <v>0</v>
      </c>
      <c r="N93" s="10" t="b">
        <f>FALSE()</f>
        <v>0</v>
      </c>
      <c r="O93" s="14">
        <f t="shared" si="8"/>
        <v>3</v>
      </c>
      <c r="P93" s="14">
        <f t="shared" si="9"/>
        <v>-1</v>
      </c>
      <c r="Q93" s="14">
        <f t="shared" si="10"/>
        <v>0</v>
      </c>
      <c r="R93" s="14">
        <f t="shared" si="11"/>
        <v>3</v>
      </c>
      <c r="S93" s="9" t="s">
        <v>282</v>
      </c>
    </row>
    <row r="94" spans="1:19" ht="14.25" customHeight="1">
      <c r="A94" s="9" t="s">
        <v>629</v>
      </c>
      <c r="B94" s="9">
        <v>2022</v>
      </c>
      <c r="C94" s="9" t="s">
        <v>61</v>
      </c>
      <c r="D94" s="9" t="s">
        <v>417</v>
      </c>
      <c r="E94" s="9">
        <v>3</v>
      </c>
      <c r="F94" s="13">
        <v>44896</v>
      </c>
      <c r="G94" s="9" t="s">
        <v>130</v>
      </c>
      <c r="H94" s="9" t="s">
        <v>191</v>
      </c>
      <c r="I94" s="9">
        <v>1</v>
      </c>
      <c r="J94" s="9">
        <v>2</v>
      </c>
      <c r="K94" s="14" t="str">
        <f t="shared" si="6"/>
        <v>1-2</v>
      </c>
      <c r="L94" s="14" t="str">
        <f t="shared" si="7"/>
        <v>Pierde</v>
      </c>
      <c r="M94" s="10" t="b">
        <f>FALSE()</f>
        <v>0</v>
      </c>
      <c r="N94" s="10" t="b">
        <f>FALSE()</f>
        <v>0</v>
      </c>
      <c r="O94" s="14">
        <f t="shared" si="8"/>
        <v>3</v>
      </c>
      <c r="P94" s="14">
        <f t="shared" si="9"/>
        <v>-1</v>
      </c>
      <c r="Q94" s="14">
        <f t="shared" si="10"/>
        <v>0</v>
      </c>
      <c r="R94" s="14">
        <f t="shared" si="11"/>
        <v>3</v>
      </c>
      <c r="S94" s="9" t="s">
        <v>282</v>
      </c>
    </row>
    <row r="95" spans="1:19" ht="14.25" customHeight="1">
      <c r="A95" s="9" t="s">
        <v>631</v>
      </c>
      <c r="B95" s="9">
        <v>2022</v>
      </c>
      <c r="C95" s="9" t="s">
        <v>61</v>
      </c>
      <c r="D95" s="9" t="s">
        <v>417</v>
      </c>
      <c r="E95" s="9">
        <v>3</v>
      </c>
      <c r="F95" s="13">
        <v>44896</v>
      </c>
      <c r="G95" s="9" t="s">
        <v>140</v>
      </c>
      <c r="H95" s="9" t="s">
        <v>118</v>
      </c>
      <c r="I95" s="9">
        <v>0</v>
      </c>
      <c r="J95" s="9">
        <v>0</v>
      </c>
      <c r="K95" s="14" t="str">
        <f t="shared" si="6"/>
        <v>0-0</v>
      </c>
      <c r="L95" s="14" t="str">
        <f t="shared" si="7"/>
        <v>Empata</v>
      </c>
      <c r="M95" s="10" t="b">
        <f>FALSE()</f>
        <v>0</v>
      </c>
      <c r="N95" s="10" t="b">
        <f>FALSE()</f>
        <v>0</v>
      </c>
      <c r="O95" s="14">
        <f t="shared" si="8"/>
        <v>0</v>
      </c>
      <c r="P95" s="14">
        <f t="shared" si="9"/>
        <v>0</v>
      </c>
      <c r="Q95" s="14">
        <f t="shared" si="10"/>
        <v>1</v>
      </c>
      <c r="R95" s="14">
        <f t="shared" si="11"/>
        <v>1</v>
      </c>
      <c r="S95" s="9" t="s">
        <v>282</v>
      </c>
    </row>
    <row r="96" spans="1:19" ht="14.25" customHeight="1">
      <c r="A96" s="9" t="s">
        <v>634</v>
      </c>
      <c r="B96" s="9">
        <v>2022</v>
      </c>
      <c r="C96" s="9" t="s">
        <v>61</v>
      </c>
      <c r="D96" s="9" t="s">
        <v>343</v>
      </c>
      <c r="E96" s="9">
        <v>3</v>
      </c>
      <c r="F96" s="13">
        <v>44896</v>
      </c>
      <c r="G96" s="9" t="s">
        <v>138</v>
      </c>
      <c r="H96" s="9" t="s">
        <v>166</v>
      </c>
      <c r="I96" s="9">
        <v>2</v>
      </c>
      <c r="J96" s="9">
        <v>4</v>
      </c>
      <c r="K96" s="14" t="str">
        <f t="shared" si="6"/>
        <v>2-4</v>
      </c>
      <c r="L96" s="14" t="str">
        <f t="shared" si="7"/>
        <v>Pierde</v>
      </c>
      <c r="M96" s="10" t="b">
        <f>FALSE()</f>
        <v>0</v>
      </c>
      <c r="N96" s="10" t="b">
        <f>FALSE()</f>
        <v>0</v>
      </c>
      <c r="O96" s="14">
        <f t="shared" si="8"/>
        <v>6</v>
      </c>
      <c r="P96" s="14">
        <f t="shared" si="9"/>
        <v>-2</v>
      </c>
      <c r="Q96" s="14">
        <f t="shared" si="10"/>
        <v>0</v>
      </c>
      <c r="R96" s="14">
        <f t="shared" si="11"/>
        <v>3</v>
      </c>
      <c r="S96" s="9" t="s">
        <v>282</v>
      </c>
    </row>
    <row r="97" spans="1:19" ht="14.25" customHeight="1">
      <c r="A97" s="9" t="s">
        <v>637</v>
      </c>
      <c r="B97" s="9">
        <v>2022</v>
      </c>
      <c r="C97" s="9" t="s">
        <v>61</v>
      </c>
      <c r="D97" s="9" t="s">
        <v>343</v>
      </c>
      <c r="E97" s="9">
        <v>3</v>
      </c>
      <c r="F97" s="13">
        <v>44896</v>
      </c>
      <c r="G97" s="9" t="s">
        <v>185</v>
      </c>
      <c r="H97" s="9" t="s">
        <v>234</v>
      </c>
      <c r="I97" s="9">
        <v>2</v>
      </c>
      <c r="J97" s="9">
        <v>1</v>
      </c>
      <c r="K97" s="14" t="str">
        <f t="shared" si="6"/>
        <v>2-1</v>
      </c>
      <c r="L97" s="14" t="str">
        <f t="shared" si="7"/>
        <v>Gana</v>
      </c>
      <c r="M97" s="10" t="b">
        <f>FALSE()</f>
        <v>0</v>
      </c>
      <c r="N97" s="10" t="b">
        <f>FALSE()</f>
        <v>0</v>
      </c>
      <c r="O97" s="14">
        <f t="shared" si="8"/>
        <v>3</v>
      </c>
      <c r="P97" s="14">
        <f t="shared" si="9"/>
        <v>1</v>
      </c>
      <c r="Q97" s="14">
        <f t="shared" si="10"/>
        <v>3</v>
      </c>
      <c r="R97" s="14">
        <f t="shared" si="11"/>
        <v>0</v>
      </c>
      <c r="S97" s="9" t="s">
        <v>282</v>
      </c>
    </row>
    <row r="98" spans="1:19" ht="14.25" customHeight="1">
      <c r="A98" s="9" t="s">
        <v>641</v>
      </c>
      <c r="B98" s="9">
        <v>2022</v>
      </c>
      <c r="C98" s="9" t="s">
        <v>61</v>
      </c>
      <c r="D98" s="9" t="s">
        <v>556</v>
      </c>
      <c r="E98" s="9">
        <v>3</v>
      </c>
      <c r="F98" s="13">
        <v>44897</v>
      </c>
      <c r="G98" s="9" t="s">
        <v>168</v>
      </c>
      <c r="H98" s="9" t="s">
        <v>252</v>
      </c>
      <c r="I98" s="9">
        <v>0</v>
      </c>
      <c r="J98" s="9">
        <v>2</v>
      </c>
      <c r="K98" s="14" t="str">
        <f t="shared" si="6"/>
        <v>0-2</v>
      </c>
      <c r="L98" s="14" t="str">
        <f t="shared" si="7"/>
        <v>Pierde</v>
      </c>
      <c r="M98" s="10" t="b">
        <f>FALSE()</f>
        <v>0</v>
      </c>
      <c r="N98" s="10" t="b">
        <f>FALSE()</f>
        <v>0</v>
      </c>
      <c r="O98" s="14">
        <f t="shared" si="8"/>
        <v>2</v>
      </c>
      <c r="P98" s="14">
        <f t="shared" si="9"/>
        <v>-2</v>
      </c>
      <c r="Q98" s="14">
        <f t="shared" si="10"/>
        <v>0</v>
      </c>
      <c r="R98" s="14">
        <f t="shared" si="11"/>
        <v>3</v>
      </c>
      <c r="S98" s="9" t="s">
        <v>282</v>
      </c>
    </row>
    <row r="99" spans="1:19" ht="14.25" customHeight="1">
      <c r="A99" s="9" t="s">
        <v>644</v>
      </c>
      <c r="B99" s="9">
        <v>2022</v>
      </c>
      <c r="C99" s="9" t="s">
        <v>61</v>
      </c>
      <c r="D99" s="9" t="s">
        <v>556</v>
      </c>
      <c r="E99" s="9">
        <v>3</v>
      </c>
      <c r="F99" s="13">
        <v>44897</v>
      </c>
      <c r="G99" s="9" t="s">
        <v>229</v>
      </c>
      <c r="H99" s="9" t="s">
        <v>212</v>
      </c>
      <c r="I99" s="9">
        <v>2</v>
      </c>
      <c r="J99" s="9">
        <v>1</v>
      </c>
      <c r="K99" s="14" t="str">
        <f t="shared" si="6"/>
        <v>2-1</v>
      </c>
      <c r="L99" s="14" t="str">
        <f t="shared" si="7"/>
        <v>Gana</v>
      </c>
      <c r="M99" s="10" t="b">
        <f>FALSE()</f>
        <v>0</v>
      </c>
      <c r="N99" s="10" t="b">
        <f>FALSE()</f>
        <v>0</v>
      </c>
      <c r="O99" s="14">
        <f t="shared" si="8"/>
        <v>3</v>
      </c>
      <c r="P99" s="14">
        <f t="shared" si="9"/>
        <v>1</v>
      </c>
      <c r="Q99" s="14">
        <f t="shared" si="10"/>
        <v>3</v>
      </c>
      <c r="R99" s="14">
        <f t="shared" si="11"/>
        <v>0</v>
      </c>
      <c r="S99" s="9" t="s">
        <v>282</v>
      </c>
    </row>
    <row r="100" spans="1:19" ht="14.25" customHeight="1">
      <c r="A100" s="9" t="s">
        <v>646</v>
      </c>
      <c r="B100" s="9">
        <v>2022</v>
      </c>
      <c r="C100" s="9" t="s">
        <v>61</v>
      </c>
      <c r="D100" s="9" t="s">
        <v>359</v>
      </c>
      <c r="E100" s="9">
        <v>3</v>
      </c>
      <c r="F100" s="13">
        <v>44897</v>
      </c>
      <c r="G100" s="9" t="s">
        <v>128</v>
      </c>
      <c r="H100" s="9" t="s">
        <v>126</v>
      </c>
      <c r="I100" s="9">
        <v>1</v>
      </c>
      <c r="J100" s="9">
        <v>0</v>
      </c>
      <c r="K100" s="14" t="str">
        <f t="shared" si="6"/>
        <v>1-0</v>
      </c>
      <c r="L100" s="14" t="str">
        <f t="shared" si="7"/>
        <v>Gana</v>
      </c>
      <c r="M100" s="10" t="b">
        <f>FALSE()</f>
        <v>0</v>
      </c>
      <c r="N100" s="10" t="b">
        <f>FALSE()</f>
        <v>0</v>
      </c>
      <c r="O100" s="14">
        <f t="shared" si="8"/>
        <v>1</v>
      </c>
      <c r="P100" s="14">
        <f t="shared" si="9"/>
        <v>1</v>
      </c>
      <c r="Q100" s="14">
        <f t="shared" si="10"/>
        <v>3</v>
      </c>
      <c r="R100" s="14">
        <f t="shared" si="11"/>
        <v>0</v>
      </c>
      <c r="S100" s="9" t="s">
        <v>282</v>
      </c>
    </row>
    <row r="101" spans="1:19" ht="14.25" customHeight="1">
      <c r="A101" s="9" t="s">
        <v>649</v>
      </c>
      <c r="B101" s="9">
        <v>2022</v>
      </c>
      <c r="C101" s="9" t="s">
        <v>61</v>
      </c>
      <c r="D101" s="9" t="s">
        <v>359</v>
      </c>
      <c r="E101" s="9">
        <v>3</v>
      </c>
      <c r="F101" s="13">
        <v>44897</v>
      </c>
      <c r="G101" s="9" t="s">
        <v>224</v>
      </c>
      <c r="H101" s="9" t="s">
        <v>239</v>
      </c>
      <c r="I101" s="9">
        <v>2</v>
      </c>
      <c r="J101" s="9">
        <v>3</v>
      </c>
      <c r="K101" s="14" t="str">
        <f t="shared" si="6"/>
        <v>2-3</v>
      </c>
      <c r="L101" s="14" t="str">
        <f t="shared" si="7"/>
        <v>Pierde</v>
      </c>
      <c r="M101" s="10" t="b">
        <f>FALSE()</f>
        <v>0</v>
      </c>
      <c r="N101" s="10" t="b">
        <f>FALSE()</f>
        <v>0</v>
      </c>
      <c r="O101" s="14">
        <f t="shared" si="8"/>
        <v>5</v>
      </c>
      <c r="P101" s="14">
        <f t="shared" si="9"/>
        <v>-1</v>
      </c>
      <c r="Q101" s="14">
        <f t="shared" si="10"/>
        <v>0</v>
      </c>
      <c r="R101" s="14">
        <f t="shared" si="11"/>
        <v>3</v>
      </c>
      <c r="S101" s="9" t="s">
        <v>282</v>
      </c>
    </row>
    <row r="102" spans="1:19" ht="14.25" customHeight="1">
      <c r="A102" s="9" t="s">
        <v>668</v>
      </c>
      <c r="B102" s="9">
        <v>2026</v>
      </c>
      <c r="C102" s="9" t="s">
        <v>61</v>
      </c>
      <c r="D102" s="9" t="s">
        <v>64</v>
      </c>
      <c r="E102" s="9">
        <v>1</v>
      </c>
      <c r="F102" s="13">
        <v>46184</v>
      </c>
      <c r="G102" s="9" t="s">
        <v>188</v>
      </c>
      <c r="H102" s="9" t="s">
        <v>226</v>
      </c>
      <c r="I102" s="9">
        <v>2</v>
      </c>
      <c r="J102" s="9">
        <v>0</v>
      </c>
      <c r="K102" s="14" t="str">
        <f t="shared" si="6"/>
        <v>2-0</v>
      </c>
      <c r="L102" s="14" t="str">
        <f t="shared" si="7"/>
        <v>Gana</v>
      </c>
      <c r="M102" s="10" t="b">
        <f>TRUE()</f>
        <v>1</v>
      </c>
      <c r="N102" s="10" t="b">
        <f>FALSE()</f>
        <v>0</v>
      </c>
      <c r="O102" s="14">
        <f t="shared" si="8"/>
        <v>2</v>
      </c>
      <c r="P102" s="14">
        <f t="shared" si="9"/>
        <v>2</v>
      </c>
      <c r="Q102" s="14">
        <f t="shared" si="10"/>
        <v>3</v>
      </c>
      <c r="R102" s="14">
        <f t="shared" si="11"/>
        <v>0</v>
      </c>
      <c r="S102" s="9" t="s">
        <v>673</v>
      </c>
    </row>
    <row r="103" spans="1:19" ht="14.25" customHeight="1">
      <c r="A103" s="9" t="s">
        <v>674</v>
      </c>
      <c r="B103" s="9">
        <v>2026</v>
      </c>
      <c r="C103" s="9" t="s">
        <v>61</v>
      </c>
      <c r="D103" s="9" t="s">
        <v>64</v>
      </c>
      <c r="E103" s="9">
        <v>1</v>
      </c>
      <c r="F103" s="13">
        <v>46185</v>
      </c>
      <c r="G103" s="9" t="s">
        <v>229</v>
      </c>
      <c r="H103" s="9" t="s">
        <v>147</v>
      </c>
      <c r="I103" s="9">
        <v>2</v>
      </c>
      <c r="J103" s="9">
        <v>1</v>
      </c>
      <c r="K103" s="14" t="str">
        <f t="shared" si="6"/>
        <v>2-1</v>
      </c>
      <c r="L103" s="14" t="str">
        <f t="shared" si="7"/>
        <v>Gana</v>
      </c>
      <c r="M103" s="10" t="b">
        <f>FALSE()</f>
        <v>0</v>
      </c>
      <c r="N103" s="10" t="b">
        <f>FALSE()</f>
        <v>0</v>
      </c>
      <c r="O103" s="14">
        <f t="shared" si="8"/>
        <v>3</v>
      </c>
      <c r="P103" s="14">
        <f t="shared" si="9"/>
        <v>1</v>
      </c>
      <c r="Q103" s="14">
        <f t="shared" si="10"/>
        <v>3</v>
      </c>
      <c r="R103" s="14">
        <f t="shared" si="11"/>
        <v>0</v>
      </c>
      <c r="S103" s="9" t="s">
        <v>673</v>
      </c>
    </row>
    <row r="104" spans="1:19" ht="14.25" customHeight="1">
      <c r="A104" s="9" t="s">
        <v>677</v>
      </c>
      <c r="B104" s="9">
        <v>2026</v>
      </c>
      <c r="C104" s="9" t="s">
        <v>61</v>
      </c>
      <c r="D104" s="9" t="s">
        <v>384</v>
      </c>
      <c r="E104" s="9">
        <v>1</v>
      </c>
      <c r="F104" s="13">
        <v>46185</v>
      </c>
      <c r="G104" s="9" t="s">
        <v>130</v>
      </c>
      <c r="H104" s="9" t="s">
        <v>121</v>
      </c>
      <c r="I104" s="9">
        <v>1</v>
      </c>
      <c r="J104" s="9">
        <v>1</v>
      </c>
      <c r="K104" s="14" t="str">
        <f t="shared" si="6"/>
        <v>1-1</v>
      </c>
      <c r="L104" s="14" t="str">
        <f t="shared" si="7"/>
        <v>Empata</v>
      </c>
      <c r="M104" s="10" t="b">
        <f>TRUE()</f>
        <v>1</v>
      </c>
      <c r="N104" s="10" t="b">
        <f>FALSE()</f>
        <v>0</v>
      </c>
      <c r="O104" s="14">
        <f t="shared" si="8"/>
        <v>2</v>
      </c>
      <c r="P104" s="14">
        <f t="shared" si="9"/>
        <v>0</v>
      </c>
      <c r="Q104" s="14">
        <f t="shared" si="10"/>
        <v>1</v>
      </c>
      <c r="R104" s="14">
        <f t="shared" si="11"/>
        <v>1</v>
      </c>
      <c r="S104" s="9" t="s">
        <v>682</v>
      </c>
    </row>
    <row r="105" spans="1:19" ht="14.25" customHeight="1">
      <c r="A105" s="9" t="s">
        <v>683</v>
      </c>
      <c r="B105" s="9">
        <v>2026</v>
      </c>
      <c r="C105" s="9" t="s">
        <v>61</v>
      </c>
      <c r="D105" s="9" t="s">
        <v>384</v>
      </c>
      <c r="E105" s="9">
        <v>1</v>
      </c>
      <c r="F105" s="13">
        <v>46186</v>
      </c>
      <c r="G105" s="9" t="s">
        <v>214</v>
      </c>
      <c r="H105" s="9" t="s">
        <v>239</v>
      </c>
      <c r="I105" s="9">
        <v>1</v>
      </c>
      <c r="J105" s="9">
        <v>1</v>
      </c>
      <c r="K105" s="14" t="str">
        <f t="shared" si="6"/>
        <v>1-1</v>
      </c>
      <c r="L105" s="14" t="str">
        <f t="shared" si="7"/>
        <v>Empata</v>
      </c>
      <c r="M105" s="10" t="b">
        <f>FALSE()</f>
        <v>0</v>
      </c>
      <c r="N105" s="10" t="b">
        <f>FALSE()</f>
        <v>0</v>
      </c>
      <c r="O105" s="14">
        <f t="shared" si="8"/>
        <v>2</v>
      </c>
      <c r="P105" s="14">
        <f t="shared" si="9"/>
        <v>0</v>
      </c>
      <c r="Q105" s="14">
        <f t="shared" si="10"/>
        <v>1</v>
      </c>
      <c r="R105" s="14">
        <f t="shared" si="11"/>
        <v>1</v>
      </c>
      <c r="S105" s="9" t="s">
        <v>682</v>
      </c>
    </row>
    <row r="106" spans="1:19" ht="14.25" customHeight="1">
      <c r="A106" s="9" t="s">
        <v>685</v>
      </c>
      <c r="B106" s="9">
        <v>2026</v>
      </c>
      <c r="C106" s="9" t="s">
        <v>61</v>
      </c>
      <c r="D106" s="9" t="s">
        <v>309</v>
      </c>
      <c r="E106" s="9">
        <v>1</v>
      </c>
      <c r="F106" s="13">
        <v>46186</v>
      </c>
      <c r="G106" s="9" t="s">
        <v>126</v>
      </c>
      <c r="H106" s="9" t="s">
        <v>191</v>
      </c>
      <c r="I106" s="9">
        <v>1</v>
      </c>
      <c r="J106" s="9">
        <v>1</v>
      </c>
      <c r="K106" s="14" t="str">
        <f t="shared" si="6"/>
        <v>1-1</v>
      </c>
      <c r="L106" s="14" t="str">
        <f t="shared" si="7"/>
        <v>Empata</v>
      </c>
      <c r="M106" s="10" t="b">
        <f>FALSE()</f>
        <v>0</v>
      </c>
      <c r="N106" s="10" t="b">
        <f>FALSE()</f>
        <v>0</v>
      </c>
      <c r="O106" s="14">
        <f t="shared" si="8"/>
        <v>2</v>
      </c>
      <c r="P106" s="14">
        <f t="shared" si="9"/>
        <v>0</v>
      </c>
      <c r="Q106" s="14">
        <f t="shared" si="10"/>
        <v>1</v>
      </c>
      <c r="R106" s="14">
        <f t="shared" si="11"/>
        <v>1</v>
      </c>
      <c r="S106" s="9" t="s">
        <v>687</v>
      </c>
    </row>
    <row r="107" spans="1:19" ht="14.25" customHeight="1">
      <c r="A107" s="9" t="s">
        <v>688</v>
      </c>
      <c r="B107" s="9">
        <v>2026</v>
      </c>
      <c r="C107" s="9" t="s">
        <v>61</v>
      </c>
      <c r="D107" s="9" t="s">
        <v>309</v>
      </c>
      <c r="E107" s="9">
        <v>1</v>
      </c>
      <c r="F107" s="13">
        <v>46186</v>
      </c>
      <c r="G107" s="9" t="s">
        <v>170</v>
      </c>
      <c r="H107" s="9" t="s">
        <v>220</v>
      </c>
      <c r="I107" s="9">
        <v>0</v>
      </c>
      <c r="J107" s="9">
        <v>1</v>
      </c>
      <c r="K107" s="14" t="str">
        <f t="shared" si="6"/>
        <v>0-1</v>
      </c>
      <c r="L107" s="14" t="str">
        <f t="shared" si="7"/>
        <v>Pierde</v>
      </c>
      <c r="M107" s="10" t="b">
        <f>FALSE()</f>
        <v>0</v>
      </c>
      <c r="N107" s="10" t="b">
        <f>FALSE()</f>
        <v>0</v>
      </c>
      <c r="O107" s="14">
        <f t="shared" si="8"/>
        <v>1</v>
      </c>
      <c r="P107" s="14">
        <f t="shared" si="9"/>
        <v>-1</v>
      </c>
      <c r="Q107" s="14">
        <f t="shared" si="10"/>
        <v>0</v>
      </c>
      <c r="R107" s="14">
        <f t="shared" si="11"/>
        <v>3</v>
      </c>
      <c r="S107" s="9" t="s">
        <v>687</v>
      </c>
    </row>
    <row r="108" spans="1:19" ht="14.25" customHeight="1">
      <c r="A108" s="9" t="s">
        <v>690</v>
      </c>
      <c r="B108" s="9">
        <v>2026</v>
      </c>
      <c r="C108" s="9" t="s">
        <v>61</v>
      </c>
      <c r="D108" s="9" t="s">
        <v>328</v>
      </c>
      <c r="E108" s="9">
        <v>1</v>
      </c>
      <c r="F108" s="13">
        <v>46186</v>
      </c>
      <c r="G108" s="9" t="s">
        <v>248</v>
      </c>
      <c r="H108" s="9" t="s">
        <v>206</v>
      </c>
      <c r="I108" s="9">
        <v>4</v>
      </c>
      <c r="J108" s="9">
        <v>1</v>
      </c>
      <c r="K108" s="14" t="str">
        <f t="shared" si="6"/>
        <v>4-1</v>
      </c>
      <c r="L108" s="14" t="str">
        <f t="shared" si="7"/>
        <v>Gana</v>
      </c>
      <c r="M108" s="10" t="b">
        <f>TRUE()</f>
        <v>1</v>
      </c>
      <c r="N108" s="10" t="b">
        <f>FALSE()</f>
        <v>0</v>
      </c>
      <c r="O108" s="14">
        <f t="shared" si="8"/>
        <v>5</v>
      </c>
      <c r="P108" s="14">
        <f t="shared" si="9"/>
        <v>3</v>
      </c>
      <c r="Q108" s="14">
        <f t="shared" si="10"/>
        <v>3</v>
      </c>
      <c r="R108" s="14">
        <f t="shared" si="11"/>
        <v>0</v>
      </c>
      <c r="S108" s="9" t="s">
        <v>693</v>
      </c>
    </row>
    <row r="109" spans="1:19" ht="14.25" customHeight="1">
      <c r="A109" s="9" t="s">
        <v>694</v>
      </c>
      <c r="B109" s="9">
        <v>2026</v>
      </c>
      <c r="C109" s="9" t="s">
        <v>61</v>
      </c>
      <c r="D109" s="9" t="s">
        <v>328</v>
      </c>
      <c r="E109" s="9">
        <v>1</v>
      </c>
      <c r="F109" s="13">
        <v>46187</v>
      </c>
      <c r="G109" s="9" t="s">
        <v>114</v>
      </c>
      <c r="H109" s="9" t="s">
        <v>243</v>
      </c>
      <c r="I109" s="9">
        <v>2</v>
      </c>
      <c r="J109" s="9">
        <v>0</v>
      </c>
      <c r="K109" s="14" t="str">
        <f t="shared" si="6"/>
        <v>2-0</v>
      </c>
      <c r="L109" s="14" t="str">
        <f t="shared" si="7"/>
        <v>Gana</v>
      </c>
      <c r="M109" s="10" t="b">
        <f>FALSE()</f>
        <v>0</v>
      </c>
      <c r="N109" s="10" t="b">
        <f>FALSE()</f>
        <v>0</v>
      </c>
      <c r="O109" s="14">
        <f t="shared" si="8"/>
        <v>2</v>
      </c>
      <c r="P109" s="14">
        <f t="shared" si="9"/>
        <v>2</v>
      </c>
      <c r="Q109" s="14">
        <f t="shared" si="10"/>
        <v>3</v>
      </c>
      <c r="R109" s="14">
        <f t="shared" si="11"/>
        <v>0</v>
      </c>
      <c r="S109" s="9" t="s">
        <v>693</v>
      </c>
    </row>
    <row r="110" spans="1:19" ht="14.25" customHeight="1">
      <c r="A110" s="9" t="s">
        <v>696</v>
      </c>
      <c r="B110" s="9">
        <v>2026</v>
      </c>
      <c r="C110" s="9" t="s">
        <v>61</v>
      </c>
      <c r="D110" s="9" t="s">
        <v>343</v>
      </c>
      <c r="E110" s="9">
        <v>1</v>
      </c>
      <c r="F110" s="13">
        <v>46187</v>
      </c>
      <c r="G110" s="9" t="s">
        <v>166</v>
      </c>
      <c r="H110" s="9" t="s">
        <v>143</v>
      </c>
      <c r="I110" s="9">
        <v>7</v>
      </c>
      <c r="J110" s="9">
        <v>1</v>
      </c>
      <c r="K110" s="14" t="str">
        <f t="shared" si="6"/>
        <v>7-1</v>
      </c>
      <c r="L110" s="14" t="str">
        <f t="shared" si="7"/>
        <v>Gana</v>
      </c>
      <c r="M110" s="10" t="b">
        <f>FALSE()</f>
        <v>0</v>
      </c>
      <c r="N110" s="10" t="b">
        <f>FALSE()</f>
        <v>0</v>
      </c>
      <c r="O110" s="14">
        <f t="shared" si="8"/>
        <v>8</v>
      </c>
      <c r="P110" s="14">
        <f t="shared" si="9"/>
        <v>6</v>
      </c>
      <c r="Q110" s="14">
        <f t="shared" si="10"/>
        <v>3</v>
      </c>
      <c r="R110" s="14">
        <f t="shared" si="11"/>
        <v>0</v>
      </c>
      <c r="S110" s="9" t="s">
        <v>700</v>
      </c>
    </row>
    <row r="111" spans="1:19" ht="14.25" customHeight="1">
      <c r="A111" s="9" t="s">
        <v>701</v>
      </c>
      <c r="B111" s="9">
        <v>2026</v>
      </c>
      <c r="C111" s="9" t="s">
        <v>61</v>
      </c>
      <c r="D111" s="9" t="s">
        <v>343</v>
      </c>
      <c r="E111" s="9">
        <v>1</v>
      </c>
      <c r="F111" s="13">
        <v>46187</v>
      </c>
      <c r="G111" s="9" t="s">
        <v>181</v>
      </c>
      <c r="H111" s="9" t="s">
        <v>157</v>
      </c>
      <c r="I111" s="9">
        <v>1</v>
      </c>
      <c r="J111" s="9">
        <v>0</v>
      </c>
      <c r="K111" s="14" t="str">
        <f t="shared" si="6"/>
        <v>1-0</v>
      </c>
      <c r="L111" s="14" t="str">
        <f t="shared" si="7"/>
        <v>Gana</v>
      </c>
      <c r="M111" s="10" t="b">
        <f>FALSE()</f>
        <v>0</v>
      </c>
      <c r="N111" s="10" t="b">
        <f>FALSE()</f>
        <v>0</v>
      </c>
      <c r="O111" s="14">
        <f t="shared" si="8"/>
        <v>1</v>
      </c>
      <c r="P111" s="14">
        <f t="shared" si="9"/>
        <v>1</v>
      </c>
      <c r="Q111" s="14">
        <f t="shared" si="10"/>
        <v>3</v>
      </c>
      <c r="R111" s="14">
        <f t="shared" si="11"/>
        <v>0</v>
      </c>
      <c r="S111" s="9" t="s">
        <v>700</v>
      </c>
    </row>
    <row r="112" spans="1:19" ht="14.25" customHeight="1">
      <c r="A112" s="9" t="s">
        <v>704</v>
      </c>
      <c r="B112" s="9">
        <v>2026</v>
      </c>
      <c r="C112" s="9" t="s">
        <v>61</v>
      </c>
      <c r="D112" s="9" t="s">
        <v>417</v>
      </c>
      <c r="E112" s="9">
        <v>1</v>
      </c>
      <c r="F112" s="13">
        <v>46187</v>
      </c>
      <c r="G112" s="9" t="s">
        <v>194</v>
      </c>
      <c r="H112" s="9" t="s">
        <v>185</v>
      </c>
      <c r="I112" s="9">
        <v>2</v>
      </c>
      <c r="J112" s="9">
        <v>2</v>
      </c>
      <c r="K112" s="14" t="str">
        <f t="shared" si="6"/>
        <v>2-2</v>
      </c>
      <c r="L112" s="14" t="str">
        <f t="shared" si="7"/>
        <v>Empata</v>
      </c>
      <c r="M112" s="10" t="b">
        <f>FALSE()</f>
        <v>0</v>
      </c>
      <c r="N112" s="10" t="b">
        <f>FALSE()</f>
        <v>0</v>
      </c>
      <c r="O112" s="14">
        <f t="shared" si="8"/>
        <v>4</v>
      </c>
      <c r="P112" s="14">
        <f t="shared" si="9"/>
        <v>0</v>
      </c>
      <c r="Q112" s="14">
        <f t="shared" si="10"/>
        <v>1</v>
      </c>
      <c r="R112" s="14">
        <f t="shared" si="11"/>
        <v>1</v>
      </c>
      <c r="S112" s="9" t="s">
        <v>707</v>
      </c>
    </row>
    <row r="113" spans="1:19" ht="14.25" customHeight="1">
      <c r="A113" s="9" t="s">
        <v>708</v>
      </c>
      <c r="B113" s="9">
        <v>2026</v>
      </c>
      <c r="C113" s="9" t="s">
        <v>61</v>
      </c>
      <c r="D113" s="9" t="s">
        <v>417</v>
      </c>
      <c r="E113" s="9">
        <v>1</v>
      </c>
      <c r="F113" s="13">
        <v>46188</v>
      </c>
      <c r="G113" s="9" t="s">
        <v>236</v>
      </c>
      <c r="H113" s="9" t="s">
        <v>241</v>
      </c>
      <c r="I113" s="9">
        <v>5</v>
      </c>
      <c r="J113" s="9">
        <v>1</v>
      </c>
      <c r="K113" s="14" t="str">
        <f t="shared" si="6"/>
        <v>5-1</v>
      </c>
      <c r="L113" s="14" t="str">
        <f t="shared" si="7"/>
        <v>Gana</v>
      </c>
      <c r="M113" s="10" t="b">
        <f>FALSE()</f>
        <v>0</v>
      </c>
      <c r="N113" s="10" t="b">
        <f>FALSE()</f>
        <v>0</v>
      </c>
      <c r="O113" s="14">
        <f t="shared" si="8"/>
        <v>6</v>
      </c>
      <c r="P113" s="14">
        <f t="shared" si="9"/>
        <v>4</v>
      </c>
      <c r="Q113" s="14">
        <f t="shared" si="10"/>
        <v>3</v>
      </c>
      <c r="R113" s="14">
        <f t="shared" si="11"/>
        <v>0</v>
      </c>
      <c r="S113" s="9" t="s">
        <v>707</v>
      </c>
    </row>
    <row r="114" spans="1:19" ht="14.25" customHeight="1">
      <c r="A114" s="9" t="s">
        <v>711</v>
      </c>
      <c r="B114" s="9">
        <v>2026</v>
      </c>
      <c r="C114" s="9" t="s">
        <v>61</v>
      </c>
      <c r="D114" s="9" t="s">
        <v>359</v>
      </c>
      <c r="E114" s="9">
        <v>1</v>
      </c>
      <c r="F114" s="13">
        <v>46188</v>
      </c>
      <c r="G114" s="9" t="s">
        <v>118</v>
      </c>
      <c r="H114" s="9" t="s">
        <v>159</v>
      </c>
      <c r="I114" s="9">
        <v>1</v>
      </c>
      <c r="J114" s="9">
        <v>1</v>
      </c>
      <c r="K114" s="14" t="str">
        <f t="shared" si="6"/>
        <v>1-1</v>
      </c>
      <c r="L114" s="14" t="str">
        <f t="shared" si="7"/>
        <v>Empata</v>
      </c>
      <c r="M114" s="10" t="b">
        <f>FALSE()</f>
        <v>0</v>
      </c>
      <c r="N114" s="10" t="b">
        <f>FALSE()</f>
        <v>0</v>
      </c>
      <c r="O114" s="14">
        <f t="shared" si="8"/>
        <v>2</v>
      </c>
      <c r="P114" s="14">
        <f t="shared" si="9"/>
        <v>0</v>
      </c>
      <c r="Q114" s="14">
        <f t="shared" si="10"/>
        <v>1</v>
      </c>
      <c r="R114" s="14">
        <f t="shared" si="11"/>
        <v>1</v>
      </c>
      <c r="S114" s="9" t="s">
        <v>714</v>
      </c>
    </row>
    <row r="115" spans="1:19" ht="14.25" customHeight="1">
      <c r="A115" s="9" t="s">
        <v>715</v>
      </c>
      <c r="B115" s="9">
        <v>2026</v>
      </c>
      <c r="C115" s="9" t="s">
        <v>61</v>
      </c>
      <c r="D115" s="9" t="s">
        <v>359</v>
      </c>
      <c r="E115" s="9">
        <v>1</v>
      </c>
      <c r="F115" s="13">
        <v>46188</v>
      </c>
      <c r="G115" s="9" t="s">
        <v>175</v>
      </c>
      <c r="H115" s="9" t="s">
        <v>197</v>
      </c>
      <c r="I115" s="9">
        <v>2</v>
      </c>
      <c r="J115" s="9">
        <v>2</v>
      </c>
      <c r="K115" s="14" t="str">
        <f t="shared" si="6"/>
        <v>2-2</v>
      </c>
      <c r="L115" s="14" t="str">
        <f t="shared" si="7"/>
        <v>Empata</v>
      </c>
      <c r="M115" s="10" t="b">
        <f>FALSE()</f>
        <v>0</v>
      </c>
      <c r="N115" s="10" t="b">
        <f>FALSE()</f>
        <v>0</v>
      </c>
      <c r="O115" s="14">
        <f t="shared" si="8"/>
        <v>4</v>
      </c>
      <c r="P115" s="14">
        <f t="shared" si="9"/>
        <v>0</v>
      </c>
      <c r="Q115" s="14">
        <f t="shared" si="10"/>
        <v>1</v>
      </c>
      <c r="R115" s="14">
        <f t="shared" si="11"/>
        <v>1</v>
      </c>
      <c r="S115" s="9" t="s">
        <v>714</v>
      </c>
    </row>
    <row r="116" spans="1:19" ht="14.25" customHeight="1">
      <c r="A116" s="9" t="s">
        <v>717</v>
      </c>
      <c r="B116" s="9">
        <v>2026</v>
      </c>
      <c r="C116" s="9" t="s">
        <v>61</v>
      </c>
      <c r="D116" s="9" t="s">
        <v>556</v>
      </c>
      <c r="E116" s="9">
        <v>1</v>
      </c>
      <c r="F116" s="13">
        <v>46188</v>
      </c>
      <c r="G116" s="9" t="s">
        <v>234</v>
      </c>
      <c r="H116" s="9" t="s">
        <v>133</v>
      </c>
      <c r="I116" s="9">
        <v>0</v>
      </c>
      <c r="J116" s="9">
        <v>0</v>
      </c>
      <c r="K116" s="14" t="str">
        <f t="shared" si="6"/>
        <v>0-0</v>
      </c>
      <c r="L116" s="14" t="str">
        <f t="shared" si="7"/>
        <v>Empata</v>
      </c>
      <c r="M116" s="10" t="b">
        <f>FALSE()</f>
        <v>0</v>
      </c>
      <c r="N116" s="10" t="b">
        <f>FALSE()</f>
        <v>0</v>
      </c>
      <c r="O116" s="14">
        <f t="shared" si="8"/>
        <v>0</v>
      </c>
      <c r="P116" s="14">
        <f t="shared" si="9"/>
        <v>0</v>
      </c>
      <c r="Q116" s="14">
        <f t="shared" si="10"/>
        <v>1</v>
      </c>
      <c r="R116" s="14">
        <f t="shared" si="11"/>
        <v>1</v>
      </c>
      <c r="S116" s="9" t="s">
        <v>719</v>
      </c>
    </row>
    <row r="117" spans="1:19" ht="14.25" customHeight="1">
      <c r="A117" s="9" t="s">
        <v>720</v>
      </c>
      <c r="B117" s="9">
        <v>2026</v>
      </c>
      <c r="C117" s="9" t="s">
        <v>61</v>
      </c>
      <c r="D117" s="9" t="s">
        <v>556</v>
      </c>
      <c r="E117" s="9">
        <v>1</v>
      </c>
      <c r="F117" s="13">
        <v>46188</v>
      </c>
      <c r="G117" s="9" t="s">
        <v>76</v>
      </c>
      <c r="H117" s="9" t="s">
        <v>252</v>
      </c>
      <c r="I117" s="9">
        <v>1</v>
      </c>
      <c r="J117" s="9">
        <v>1</v>
      </c>
      <c r="K117" s="14" t="str">
        <f t="shared" si="6"/>
        <v>1-1</v>
      </c>
      <c r="L117" s="14" t="str">
        <f t="shared" si="7"/>
        <v>Empata</v>
      </c>
      <c r="M117" s="10" t="b">
        <f>FALSE()</f>
        <v>0</v>
      </c>
      <c r="N117" s="10" t="b">
        <f>FALSE()</f>
        <v>0</v>
      </c>
      <c r="O117" s="14">
        <f t="shared" si="8"/>
        <v>2</v>
      </c>
      <c r="P117" s="14">
        <f t="shared" si="9"/>
        <v>0</v>
      </c>
      <c r="Q117" s="14">
        <f t="shared" si="10"/>
        <v>1</v>
      </c>
      <c r="R117" s="14">
        <f t="shared" si="11"/>
        <v>1</v>
      </c>
      <c r="S117" s="9" t="s">
        <v>719</v>
      </c>
    </row>
    <row r="118" spans="1:19" ht="14.25" customHeight="1">
      <c r="A118" s="9" t="s">
        <v>723</v>
      </c>
      <c r="B118" s="9">
        <v>2026</v>
      </c>
      <c r="C118" s="9" t="s">
        <v>61</v>
      </c>
      <c r="D118" s="9" t="s">
        <v>724</v>
      </c>
      <c r="E118" s="9">
        <v>1</v>
      </c>
      <c r="F118" s="13">
        <v>46189</v>
      </c>
      <c r="G118" s="9" t="s">
        <v>163</v>
      </c>
      <c r="H118" s="9" t="s">
        <v>222</v>
      </c>
      <c r="I118" s="9">
        <v>3</v>
      </c>
      <c r="J118" s="9">
        <v>1</v>
      </c>
      <c r="K118" s="14" t="str">
        <f t="shared" si="6"/>
        <v>3-1</v>
      </c>
      <c r="L118" s="14" t="str">
        <f t="shared" si="7"/>
        <v>Gana</v>
      </c>
      <c r="M118" s="10" t="b">
        <f>FALSE()</f>
        <v>0</v>
      </c>
      <c r="N118" s="10" t="b">
        <f>FALSE()</f>
        <v>0</v>
      </c>
      <c r="O118" s="14">
        <f t="shared" si="8"/>
        <v>4</v>
      </c>
      <c r="P118" s="14">
        <f t="shared" si="9"/>
        <v>2</v>
      </c>
      <c r="Q118" s="14">
        <f t="shared" si="10"/>
        <v>3</v>
      </c>
      <c r="R118" s="14">
        <f t="shared" si="11"/>
        <v>0</v>
      </c>
      <c r="S118" s="9" t="s">
        <v>727</v>
      </c>
    </row>
    <row r="119" spans="1:19" ht="14.25" customHeight="1">
      <c r="A119" s="9" t="s">
        <v>728</v>
      </c>
      <c r="B119" s="9">
        <v>2026</v>
      </c>
      <c r="C119" s="9" t="s">
        <v>61</v>
      </c>
      <c r="D119" s="9" t="s">
        <v>724</v>
      </c>
      <c r="E119" s="9">
        <v>1</v>
      </c>
      <c r="F119" s="13">
        <v>46189</v>
      </c>
      <c r="G119" s="9" t="s">
        <v>178</v>
      </c>
      <c r="H119" s="9" t="s">
        <v>202</v>
      </c>
      <c r="I119" s="9">
        <v>1</v>
      </c>
      <c r="J119" s="9">
        <v>4</v>
      </c>
      <c r="K119" s="14" t="str">
        <f t="shared" si="6"/>
        <v>1-4</v>
      </c>
      <c r="L119" s="14" t="str">
        <f t="shared" si="7"/>
        <v>Pierde</v>
      </c>
      <c r="M119" s="10" t="b">
        <f>FALSE()</f>
        <v>0</v>
      </c>
      <c r="N119" s="10" t="b">
        <f>FALSE()</f>
        <v>0</v>
      </c>
      <c r="O119" s="14">
        <f t="shared" si="8"/>
        <v>5</v>
      </c>
      <c r="P119" s="14">
        <f t="shared" si="9"/>
        <v>-3</v>
      </c>
      <c r="Q119" s="14">
        <f t="shared" si="10"/>
        <v>0</v>
      </c>
      <c r="R119" s="14">
        <f t="shared" si="11"/>
        <v>3</v>
      </c>
      <c r="S119" s="9" t="s">
        <v>727</v>
      </c>
    </row>
    <row r="120" spans="1:19" ht="14.25" customHeight="1">
      <c r="A120" s="9" t="s">
        <v>732</v>
      </c>
      <c r="B120" s="9">
        <v>2026</v>
      </c>
      <c r="C120" s="9" t="s">
        <v>61</v>
      </c>
      <c r="D120" s="9" t="s">
        <v>738</v>
      </c>
      <c r="E120" s="9">
        <v>1</v>
      </c>
      <c r="F120" s="13">
        <v>46189</v>
      </c>
      <c r="G120" s="9" t="s">
        <v>112</v>
      </c>
      <c r="H120" s="9" t="s">
        <v>110</v>
      </c>
      <c r="I120" s="9">
        <v>3</v>
      </c>
      <c r="J120" s="9">
        <v>0</v>
      </c>
      <c r="K120" s="14" t="str">
        <f t="shared" si="6"/>
        <v>3-0</v>
      </c>
      <c r="L120" s="14" t="str">
        <f t="shared" si="7"/>
        <v>Gana</v>
      </c>
      <c r="M120" s="10" t="b">
        <f>FALSE()</f>
        <v>0</v>
      </c>
      <c r="N120" s="10" t="b">
        <f>FALSE()</f>
        <v>0</v>
      </c>
      <c r="O120" s="14">
        <f t="shared" si="8"/>
        <v>3</v>
      </c>
      <c r="P120" s="14">
        <f t="shared" si="9"/>
        <v>3</v>
      </c>
      <c r="Q120" s="14">
        <f t="shared" si="10"/>
        <v>3</v>
      </c>
      <c r="R120" s="14">
        <f t="shared" si="11"/>
        <v>0</v>
      </c>
      <c r="S120" s="9" t="s">
        <v>736</v>
      </c>
    </row>
    <row r="121" spans="1:19" ht="14.25" customHeight="1">
      <c r="A121" s="9" t="s">
        <v>737</v>
      </c>
      <c r="B121" s="9">
        <v>2026</v>
      </c>
      <c r="C121" s="9" t="s">
        <v>61</v>
      </c>
      <c r="D121" s="9" t="s">
        <v>738</v>
      </c>
      <c r="E121" s="9">
        <v>1</v>
      </c>
      <c r="F121" s="13">
        <v>46190</v>
      </c>
      <c r="G121" s="9" t="s">
        <v>116</v>
      </c>
      <c r="H121" s="9" t="s">
        <v>187</v>
      </c>
      <c r="I121" s="9">
        <v>3</v>
      </c>
      <c r="J121" s="9">
        <v>1</v>
      </c>
      <c r="K121" s="14" t="str">
        <f t="shared" si="6"/>
        <v>3-1</v>
      </c>
      <c r="L121" s="14" t="str">
        <f t="shared" si="7"/>
        <v>Gana</v>
      </c>
      <c r="M121" s="10" t="b">
        <f>FALSE()</f>
        <v>0</v>
      </c>
      <c r="N121" s="10" t="b">
        <f>FALSE()</f>
        <v>0</v>
      </c>
      <c r="O121" s="14">
        <f t="shared" si="8"/>
        <v>4</v>
      </c>
      <c r="P121" s="14">
        <f t="shared" si="9"/>
        <v>2</v>
      </c>
      <c r="Q121" s="14">
        <f t="shared" si="10"/>
        <v>3</v>
      </c>
      <c r="R121" s="14">
        <f t="shared" si="11"/>
        <v>0</v>
      </c>
      <c r="S121" s="9" t="s">
        <v>736</v>
      </c>
    </row>
    <row r="122" spans="1:19" ht="14.25" customHeight="1">
      <c r="A122" s="9" t="s">
        <v>742</v>
      </c>
      <c r="B122" s="9">
        <v>2026</v>
      </c>
      <c r="C122" s="9" t="s">
        <v>61</v>
      </c>
      <c r="D122" s="9" t="s">
        <v>743</v>
      </c>
      <c r="E122" s="9">
        <v>1</v>
      </c>
      <c r="F122" s="13">
        <v>46190</v>
      </c>
      <c r="G122" s="9" t="s">
        <v>212</v>
      </c>
      <c r="H122" s="9" t="s">
        <v>151</v>
      </c>
      <c r="I122" s="9">
        <v>1</v>
      </c>
      <c r="J122" s="9">
        <v>1</v>
      </c>
      <c r="K122" s="14" t="str">
        <f t="shared" si="6"/>
        <v>1-1</v>
      </c>
      <c r="L122" s="14" t="str">
        <f t="shared" si="7"/>
        <v>Empata</v>
      </c>
      <c r="M122" s="10" t="b">
        <f>FALSE()</f>
        <v>0</v>
      </c>
      <c r="N122" s="10" t="b">
        <f>FALSE()</f>
        <v>0</v>
      </c>
      <c r="O122" s="14">
        <f t="shared" si="8"/>
        <v>2</v>
      </c>
      <c r="P122" s="14">
        <f t="shared" si="9"/>
        <v>0</v>
      </c>
      <c r="Q122" s="14">
        <f t="shared" si="10"/>
        <v>1</v>
      </c>
      <c r="R122" s="14">
        <f t="shared" si="11"/>
        <v>1</v>
      </c>
      <c r="S122" s="9" t="s">
        <v>745</v>
      </c>
    </row>
    <row r="123" spans="1:19" ht="14.25" customHeight="1">
      <c r="A123" s="9" t="s">
        <v>746</v>
      </c>
      <c r="B123" s="9">
        <v>2026</v>
      </c>
      <c r="C123" s="9" t="s">
        <v>61</v>
      </c>
      <c r="D123" s="9" t="s">
        <v>743</v>
      </c>
      <c r="E123" s="9">
        <v>1</v>
      </c>
      <c r="F123" s="13">
        <v>46190</v>
      </c>
      <c r="G123" s="9" t="s">
        <v>254</v>
      </c>
      <c r="H123" s="9" t="s">
        <v>136</v>
      </c>
      <c r="I123" s="9">
        <v>1</v>
      </c>
      <c r="J123" s="9">
        <v>3</v>
      </c>
      <c r="K123" s="14" t="str">
        <f t="shared" si="6"/>
        <v>1-3</v>
      </c>
      <c r="L123" s="14" t="str">
        <f t="shared" si="7"/>
        <v>Pierde</v>
      </c>
      <c r="M123" s="10" t="b">
        <f>FALSE()</f>
        <v>0</v>
      </c>
      <c r="N123" s="10" t="b">
        <f>FALSE()</f>
        <v>0</v>
      </c>
      <c r="O123" s="14">
        <f t="shared" si="8"/>
        <v>4</v>
      </c>
      <c r="P123" s="14">
        <f t="shared" si="9"/>
        <v>-2</v>
      </c>
      <c r="Q123" s="14">
        <f t="shared" si="10"/>
        <v>0</v>
      </c>
      <c r="R123" s="14">
        <f t="shared" si="11"/>
        <v>3</v>
      </c>
      <c r="S123" s="9" t="s">
        <v>745</v>
      </c>
    </row>
    <row r="124" spans="1:19" ht="14.25" customHeight="1">
      <c r="A124" s="9" t="s">
        <v>749</v>
      </c>
      <c r="B124" s="9">
        <v>2026</v>
      </c>
      <c r="C124" s="9" t="s">
        <v>61</v>
      </c>
      <c r="D124" s="9" t="s">
        <v>766</v>
      </c>
      <c r="E124" s="9">
        <v>1</v>
      </c>
      <c r="F124" s="13">
        <v>46190</v>
      </c>
      <c r="G124" s="9" t="s">
        <v>161</v>
      </c>
      <c r="H124" s="9" t="s">
        <v>140</v>
      </c>
      <c r="I124" s="9">
        <v>4</v>
      </c>
      <c r="J124" s="9">
        <v>2</v>
      </c>
      <c r="K124" s="14" t="str">
        <f t="shared" si="6"/>
        <v>4-2</v>
      </c>
      <c r="L124" s="14" t="str">
        <f t="shared" si="7"/>
        <v>Gana</v>
      </c>
      <c r="M124" s="10" t="b">
        <f>FALSE()</f>
        <v>0</v>
      </c>
      <c r="N124" s="10" t="b">
        <f>FALSE()</f>
        <v>0</v>
      </c>
      <c r="O124" s="14">
        <f t="shared" si="8"/>
        <v>6</v>
      </c>
      <c r="P124" s="14">
        <f t="shared" si="9"/>
        <v>2</v>
      </c>
      <c r="Q124" s="14">
        <f t="shared" si="10"/>
        <v>3</v>
      </c>
      <c r="R124" s="14">
        <f t="shared" si="11"/>
        <v>0</v>
      </c>
      <c r="S124" s="9" t="s">
        <v>753</v>
      </c>
    </row>
    <row r="125" spans="1:19" ht="14.25" customHeight="1">
      <c r="A125" s="9" t="s">
        <v>765</v>
      </c>
      <c r="B125" s="9">
        <v>2026</v>
      </c>
      <c r="C125" s="9" t="s">
        <v>61</v>
      </c>
      <c r="D125" s="9" t="s">
        <v>766</v>
      </c>
      <c r="E125" s="9">
        <v>1</v>
      </c>
      <c r="F125" s="13">
        <v>46191</v>
      </c>
      <c r="G125" s="9" t="s">
        <v>168</v>
      </c>
      <c r="H125" s="9" t="s">
        <v>204</v>
      </c>
      <c r="I125" s="9">
        <v>1</v>
      </c>
      <c r="J125" s="9">
        <v>0</v>
      </c>
      <c r="K125" s="14" t="str">
        <f t="shared" si="6"/>
        <v>1-0</v>
      </c>
      <c r="L125" s="14" t="str">
        <f t="shared" si="7"/>
        <v>Gana</v>
      </c>
      <c r="M125" s="10" t="b">
        <f>FALSE()</f>
        <v>0</v>
      </c>
      <c r="N125" s="10" t="b">
        <f>FALSE()</f>
        <v>0</v>
      </c>
      <c r="O125" s="14">
        <f t="shared" si="8"/>
        <v>1</v>
      </c>
      <c r="P125" s="14">
        <f t="shared" si="9"/>
        <v>1</v>
      </c>
      <c r="Q125" s="14">
        <f t="shared" si="10"/>
        <v>3</v>
      </c>
      <c r="R125" s="14">
        <f t="shared" si="11"/>
        <v>0</v>
      </c>
      <c r="S125" s="9" t="s">
        <v>753</v>
      </c>
    </row>
    <row r="126" spans="1:19" ht="14.25" customHeight="1">
      <c r="A126" s="9" t="s">
        <v>754</v>
      </c>
      <c r="B126" s="9">
        <v>2026</v>
      </c>
      <c r="C126" s="9" t="s">
        <v>61</v>
      </c>
      <c r="D126" s="9" t="s">
        <v>64</v>
      </c>
      <c r="E126" s="9">
        <v>2</v>
      </c>
      <c r="F126" s="13">
        <v>46191</v>
      </c>
      <c r="G126" s="9" t="s">
        <v>147</v>
      </c>
      <c r="H126" s="9" t="s">
        <v>226</v>
      </c>
      <c r="I126" s="9">
        <v>1</v>
      </c>
      <c r="J126" s="9">
        <v>1</v>
      </c>
      <c r="K126" s="14" t="str">
        <f t="shared" si="6"/>
        <v>1-1</v>
      </c>
      <c r="L126" s="14" t="str">
        <f t="shared" si="7"/>
        <v>Empata</v>
      </c>
      <c r="M126" s="10" t="b">
        <f>FALSE()</f>
        <v>0</v>
      </c>
      <c r="N126" s="10" t="b">
        <f>FALSE()</f>
        <v>0</v>
      </c>
      <c r="O126" s="14">
        <f t="shared" si="8"/>
        <v>2</v>
      </c>
      <c r="P126" s="14">
        <f t="shared" si="9"/>
        <v>0</v>
      </c>
      <c r="Q126" s="14">
        <f t="shared" si="10"/>
        <v>1</v>
      </c>
      <c r="R126" s="14">
        <f t="shared" si="11"/>
        <v>1</v>
      </c>
      <c r="S126" s="9" t="s">
        <v>673</v>
      </c>
    </row>
    <row r="127" spans="1:19" ht="14.25" customHeight="1">
      <c r="A127" s="9" t="s">
        <v>757</v>
      </c>
      <c r="B127" s="9">
        <v>2026</v>
      </c>
      <c r="C127" s="9" t="s">
        <v>61</v>
      </c>
      <c r="D127" s="9" t="s">
        <v>64</v>
      </c>
      <c r="E127" s="9">
        <v>2</v>
      </c>
      <c r="F127" s="13">
        <v>46191</v>
      </c>
      <c r="G127" s="9" t="s">
        <v>188</v>
      </c>
      <c r="H127" s="9" t="s">
        <v>229</v>
      </c>
      <c r="I127" s="9">
        <v>1</v>
      </c>
      <c r="J127" s="9">
        <v>0</v>
      </c>
      <c r="K127" s="14" t="str">
        <f t="shared" si="6"/>
        <v>1-0</v>
      </c>
      <c r="L127" s="14" t="str">
        <f t="shared" si="7"/>
        <v>Gana</v>
      </c>
      <c r="M127" s="10" t="b">
        <f>TRUE()</f>
        <v>1</v>
      </c>
      <c r="N127" s="10" t="b">
        <f>FALSE()</f>
        <v>0</v>
      </c>
      <c r="O127" s="14">
        <f t="shared" si="8"/>
        <v>1</v>
      </c>
      <c r="P127" s="14">
        <f t="shared" si="9"/>
        <v>1</v>
      </c>
      <c r="Q127" s="14">
        <f t="shared" si="10"/>
        <v>3</v>
      </c>
      <c r="R127" s="14">
        <f t="shared" si="11"/>
        <v>0</v>
      </c>
      <c r="S127" s="9" t="s">
        <v>673</v>
      </c>
    </row>
    <row r="128" spans="1:19" ht="14.25" customHeight="1">
      <c r="A128" s="9" t="s">
        <v>759</v>
      </c>
      <c r="B128" s="9">
        <v>2026</v>
      </c>
      <c r="C128" s="9" t="s">
        <v>61</v>
      </c>
      <c r="D128" s="9" t="s">
        <v>384</v>
      </c>
      <c r="E128" s="9">
        <v>2</v>
      </c>
      <c r="F128" s="13">
        <v>46191</v>
      </c>
      <c r="G128" s="9" t="s">
        <v>239</v>
      </c>
      <c r="H128" s="9" t="s">
        <v>121</v>
      </c>
      <c r="I128" s="9">
        <v>4</v>
      </c>
      <c r="J128" s="9">
        <v>1</v>
      </c>
      <c r="K128" s="14" t="str">
        <f t="shared" si="6"/>
        <v>4-1</v>
      </c>
      <c r="L128" s="14" t="str">
        <f t="shared" si="7"/>
        <v>Gana</v>
      </c>
      <c r="M128" s="10" t="b">
        <f>FALSE()</f>
        <v>0</v>
      </c>
      <c r="N128" s="10" t="b">
        <f>FALSE()</f>
        <v>0</v>
      </c>
      <c r="O128" s="14">
        <f t="shared" si="8"/>
        <v>5</v>
      </c>
      <c r="P128" s="14">
        <f t="shared" si="9"/>
        <v>3</v>
      </c>
      <c r="Q128" s="14">
        <f t="shared" si="10"/>
        <v>3</v>
      </c>
      <c r="R128" s="14">
        <f t="shared" si="11"/>
        <v>0</v>
      </c>
      <c r="S128" s="9" t="s">
        <v>682</v>
      </c>
    </row>
    <row r="129" spans="1:19" ht="14.25" customHeight="1">
      <c r="A129" s="9" t="s">
        <v>762</v>
      </c>
      <c r="B129" s="9">
        <v>2026</v>
      </c>
      <c r="C129" s="9" t="s">
        <v>61</v>
      </c>
      <c r="D129" s="9" t="s">
        <v>384</v>
      </c>
      <c r="E129" s="9">
        <v>2</v>
      </c>
      <c r="F129" s="13">
        <v>46191</v>
      </c>
      <c r="G129" s="9" t="s">
        <v>130</v>
      </c>
      <c r="H129" s="9" t="s">
        <v>214</v>
      </c>
      <c r="I129" s="9">
        <v>6</v>
      </c>
      <c r="J129" s="9">
        <v>0</v>
      </c>
      <c r="K129" s="14" t="str">
        <f t="shared" si="6"/>
        <v>6-0</v>
      </c>
      <c r="L129" s="14" t="str">
        <f t="shared" si="7"/>
        <v>Gana</v>
      </c>
      <c r="M129" s="10" t="b">
        <f>TRUE()</f>
        <v>1</v>
      </c>
      <c r="N129" s="10" t="b">
        <f>FALSE()</f>
        <v>0</v>
      </c>
      <c r="O129" s="14">
        <f t="shared" si="8"/>
        <v>6</v>
      </c>
      <c r="P129" s="14">
        <f t="shared" si="9"/>
        <v>6</v>
      </c>
      <c r="Q129" s="14">
        <f t="shared" si="10"/>
        <v>3</v>
      </c>
      <c r="R129" s="14">
        <f t="shared" si="11"/>
        <v>0</v>
      </c>
      <c r="S129" s="9" t="s">
        <v>682</v>
      </c>
    </row>
    <row r="130" spans="1:19" ht="14.25" customHeight="1">
      <c r="A130" s="9" t="s">
        <v>768</v>
      </c>
      <c r="B130" s="9">
        <v>2026</v>
      </c>
      <c r="C130" s="9" t="s">
        <v>61</v>
      </c>
      <c r="D130" s="9" t="s">
        <v>309</v>
      </c>
      <c r="E130" s="9">
        <v>2</v>
      </c>
      <c r="F130" s="13">
        <v>46192</v>
      </c>
      <c r="G130" s="9" t="s">
        <v>220</v>
      </c>
      <c r="H130" s="9" t="s">
        <v>191</v>
      </c>
      <c r="I130" s="9">
        <v>0</v>
      </c>
      <c r="J130" s="9">
        <v>1</v>
      </c>
      <c r="K130" s="14" t="str">
        <f t="shared" si="6"/>
        <v>0-1</v>
      </c>
      <c r="L130" s="14" t="str">
        <f t="shared" si="7"/>
        <v>Pierde</v>
      </c>
      <c r="M130" s="10" t="b">
        <f>FALSE()</f>
        <v>0</v>
      </c>
      <c r="N130" s="10" t="b">
        <f>FALSE()</f>
        <v>0</v>
      </c>
      <c r="O130" s="14">
        <f t="shared" si="8"/>
        <v>1</v>
      </c>
      <c r="P130" s="14">
        <f t="shared" si="9"/>
        <v>-1</v>
      </c>
      <c r="Q130" s="14">
        <f t="shared" si="10"/>
        <v>0</v>
      </c>
      <c r="R130" s="14">
        <f t="shared" si="11"/>
        <v>3</v>
      </c>
      <c r="S130" s="9" t="s">
        <v>687</v>
      </c>
    </row>
    <row r="131" spans="1:19" ht="14.25" customHeight="1">
      <c r="A131" s="9" t="s">
        <v>770</v>
      </c>
      <c r="B131" s="9">
        <v>2026</v>
      </c>
      <c r="C131" s="9" t="s">
        <v>61</v>
      </c>
      <c r="D131" s="9" t="s">
        <v>309</v>
      </c>
      <c r="E131" s="9">
        <v>2</v>
      </c>
      <c r="F131" s="13">
        <v>46192</v>
      </c>
      <c r="G131" s="9" t="s">
        <v>126</v>
      </c>
      <c r="H131" s="9" t="s">
        <v>170</v>
      </c>
      <c r="I131" s="9">
        <v>3</v>
      </c>
      <c r="J131" s="9">
        <v>0</v>
      </c>
      <c r="K131" s="14" t="str">
        <f t="shared" si="6"/>
        <v>3-0</v>
      </c>
      <c r="L131" s="14" t="str">
        <f t="shared" si="7"/>
        <v>Gana</v>
      </c>
      <c r="M131" s="10" t="b">
        <f>FALSE()</f>
        <v>0</v>
      </c>
      <c r="N131" s="10" t="b">
        <f>FALSE()</f>
        <v>0</v>
      </c>
      <c r="O131" s="14">
        <f t="shared" si="8"/>
        <v>3</v>
      </c>
      <c r="P131" s="14">
        <f t="shared" si="9"/>
        <v>3</v>
      </c>
      <c r="Q131" s="14">
        <f t="shared" si="10"/>
        <v>3</v>
      </c>
      <c r="R131" s="14">
        <f t="shared" si="11"/>
        <v>0</v>
      </c>
      <c r="S131" s="9" t="s">
        <v>687</v>
      </c>
    </row>
    <row r="132" spans="1:19" ht="14.25" customHeight="1">
      <c r="A132" s="9" t="s">
        <v>773</v>
      </c>
      <c r="B132" s="9">
        <v>2026</v>
      </c>
      <c r="C132" s="9" t="s">
        <v>61</v>
      </c>
      <c r="D132" s="9" t="s">
        <v>328</v>
      </c>
      <c r="E132" s="9">
        <v>2</v>
      </c>
      <c r="F132" s="13">
        <v>46192</v>
      </c>
      <c r="G132" s="9" t="s">
        <v>248</v>
      </c>
      <c r="H132" s="9" t="s">
        <v>114</v>
      </c>
      <c r="I132" s="9">
        <v>2</v>
      </c>
      <c r="J132" s="9">
        <v>0</v>
      </c>
      <c r="K132" s="14" t="str">
        <f t="shared" si="6"/>
        <v>2-0</v>
      </c>
      <c r="L132" s="14" t="str">
        <f t="shared" si="7"/>
        <v>Gana</v>
      </c>
      <c r="M132" s="10" t="b">
        <f>TRUE()</f>
        <v>1</v>
      </c>
      <c r="N132" s="10" t="b">
        <f>FALSE()</f>
        <v>0</v>
      </c>
      <c r="O132" s="14">
        <f t="shared" si="8"/>
        <v>2</v>
      </c>
      <c r="P132" s="14">
        <f t="shared" si="9"/>
        <v>2</v>
      </c>
      <c r="Q132" s="14">
        <f t="shared" si="10"/>
        <v>3</v>
      </c>
      <c r="R132" s="14">
        <f t="shared" si="11"/>
        <v>0</v>
      </c>
      <c r="S132" s="9" t="s">
        <v>693</v>
      </c>
    </row>
    <row r="133" spans="1:19" ht="14.25" customHeight="1">
      <c r="A133" s="9" t="s">
        <v>775</v>
      </c>
      <c r="B133" s="9">
        <v>2026</v>
      </c>
      <c r="C133" s="9" t="s">
        <v>61</v>
      </c>
      <c r="D133" s="9" t="s">
        <v>328</v>
      </c>
      <c r="E133" s="9">
        <v>2</v>
      </c>
      <c r="F133" s="13">
        <v>46193</v>
      </c>
      <c r="G133" s="9" t="s">
        <v>243</v>
      </c>
      <c r="H133" s="9" t="s">
        <v>206</v>
      </c>
      <c r="I133" s="9">
        <v>0</v>
      </c>
      <c r="J133" s="9">
        <v>1</v>
      </c>
      <c r="K133" s="14" t="str">
        <f t="shared" si="6"/>
        <v>0-1</v>
      </c>
      <c r="L133" s="14" t="str">
        <f t="shared" si="7"/>
        <v>Pierde</v>
      </c>
      <c r="M133" s="10" t="b">
        <f>FALSE()</f>
        <v>0</v>
      </c>
      <c r="N133" s="10" t="b">
        <f>FALSE()</f>
        <v>0</v>
      </c>
      <c r="O133" s="14">
        <f t="shared" si="8"/>
        <v>1</v>
      </c>
      <c r="P133" s="14">
        <f t="shared" si="9"/>
        <v>-1</v>
      </c>
      <c r="Q133" s="14">
        <f t="shared" si="10"/>
        <v>0</v>
      </c>
      <c r="R133" s="14">
        <f t="shared" si="11"/>
        <v>3</v>
      </c>
      <c r="S133" s="9" t="s">
        <v>693</v>
      </c>
    </row>
    <row r="134" spans="1:19" ht="14.25" customHeight="1">
      <c r="A134" s="9" t="s">
        <v>778</v>
      </c>
      <c r="B134" s="9">
        <v>2026</v>
      </c>
      <c r="C134" s="9" t="s">
        <v>61</v>
      </c>
      <c r="D134" s="9" t="s">
        <v>343</v>
      </c>
      <c r="E134" s="9">
        <v>2</v>
      </c>
      <c r="F134" s="13">
        <v>46193</v>
      </c>
      <c r="G134" s="9" t="s">
        <v>166</v>
      </c>
      <c r="H134" s="9" t="s">
        <v>181</v>
      </c>
      <c r="I134" s="9">
        <v>2</v>
      </c>
      <c r="J134" s="9">
        <v>1</v>
      </c>
      <c r="K134" s="14" t="str">
        <f t="shared" ref="K134:K197" si="12">IF(OR(I134="",J134=""),"",I134&amp;"-"&amp;J134)</f>
        <v>2-1</v>
      </c>
      <c r="L134" s="14" t="str">
        <f t="shared" ref="L134:L197" si="13">IF(OR(I134="",J134=""),"",IF(I134&gt;J134,"Gana",IF(I134=J134,"Empata","Pierde")))</f>
        <v>Gana</v>
      </c>
      <c r="M134" s="10" t="b">
        <f>FALSE()</f>
        <v>0</v>
      </c>
      <c r="N134" s="10" t="b">
        <f>FALSE()</f>
        <v>0</v>
      </c>
      <c r="O134" s="14">
        <f t="shared" ref="O134:O197" si="14">IF(OR(I134="",J134=""),"",I134+J134)</f>
        <v>3</v>
      </c>
      <c r="P134" s="14">
        <f t="shared" ref="P134:P197" si="15">IF(OR(I134="",J134=""),"",I134-J134)</f>
        <v>1</v>
      </c>
      <c r="Q134" s="14">
        <f t="shared" ref="Q134:Q197" si="16">IF(L134="","",IF(L134="Gana",3,IF(L134="Empata",1,0)))</f>
        <v>3</v>
      </c>
      <c r="R134" s="14">
        <f t="shared" ref="R134:R197" si="17">IF(L134="","",IF(L134="Pierde",3,IF(L134="Empata",1,0)))</f>
        <v>0</v>
      </c>
      <c r="S134" s="9" t="s">
        <v>700</v>
      </c>
    </row>
    <row r="135" spans="1:19" ht="14.25" customHeight="1">
      <c r="A135" s="9" t="s">
        <v>780</v>
      </c>
      <c r="B135" s="9">
        <v>2026</v>
      </c>
      <c r="C135" s="9" t="s">
        <v>61</v>
      </c>
      <c r="D135" s="9" t="s">
        <v>343</v>
      </c>
      <c r="E135" s="9">
        <v>2</v>
      </c>
      <c r="F135" s="13">
        <v>46193</v>
      </c>
      <c r="G135" s="9" t="s">
        <v>157</v>
      </c>
      <c r="H135" s="9" t="s">
        <v>143</v>
      </c>
      <c r="I135" s="9">
        <v>0</v>
      </c>
      <c r="J135" s="9">
        <v>0</v>
      </c>
      <c r="K135" s="14" t="str">
        <f t="shared" si="12"/>
        <v>0-0</v>
      </c>
      <c r="L135" s="14" t="str">
        <f t="shared" si="13"/>
        <v>Empata</v>
      </c>
      <c r="M135" s="10" t="b">
        <f>FALSE()</f>
        <v>0</v>
      </c>
      <c r="N135" s="10" t="b">
        <f>FALSE()</f>
        <v>0</v>
      </c>
      <c r="O135" s="14">
        <f t="shared" si="14"/>
        <v>0</v>
      </c>
      <c r="P135" s="14">
        <f t="shared" si="15"/>
        <v>0</v>
      </c>
      <c r="Q135" s="14">
        <f t="shared" si="16"/>
        <v>1</v>
      </c>
      <c r="R135" s="14">
        <f t="shared" si="17"/>
        <v>1</v>
      </c>
      <c r="S135" s="9" t="s">
        <v>700</v>
      </c>
    </row>
    <row r="136" spans="1:19" ht="14.25" customHeight="1">
      <c r="A136" s="9" t="s">
        <v>783</v>
      </c>
      <c r="B136" s="9">
        <v>2026</v>
      </c>
      <c r="C136" s="9" t="s">
        <v>61</v>
      </c>
      <c r="D136" s="9" t="s">
        <v>417</v>
      </c>
      <c r="E136" s="9">
        <v>2</v>
      </c>
      <c r="F136" s="13">
        <v>46193</v>
      </c>
      <c r="G136" s="9" t="s">
        <v>194</v>
      </c>
      <c r="H136" s="9" t="s">
        <v>236</v>
      </c>
      <c r="I136" s="9">
        <v>5</v>
      </c>
      <c r="J136" s="9">
        <v>1</v>
      </c>
      <c r="K136" s="14" t="str">
        <f t="shared" si="12"/>
        <v>5-1</v>
      </c>
      <c r="L136" s="14" t="str">
        <f t="shared" si="13"/>
        <v>Gana</v>
      </c>
      <c r="M136" s="10" t="b">
        <f>FALSE()</f>
        <v>0</v>
      </c>
      <c r="N136" s="10" t="b">
        <f>FALSE()</f>
        <v>0</v>
      </c>
      <c r="O136" s="14">
        <f t="shared" si="14"/>
        <v>6</v>
      </c>
      <c r="P136" s="14">
        <f t="shared" si="15"/>
        <v>4</v>
      </c>
      <c r="Q136" s="14">
        <f t="shared" si="16"/>
        <v>3</v>
      </c>
      <c r="R136" s="14">
        <f t="shared" si="17"/>
        <v>0</v>
      </c>
      <c r="S136" s="9" t="s">
        <v>707</v>
      </c>
    </row>
    <row r="137" spans="1:19" ht="14.25" customHeight="1">
      <c r="A137" s="9" t="s">
        <v>786</v>
      </c>
      <c r="B137" s="9">
        <v>2026</v>
      </c>
      <c r="C137" s="9" t="s">
        <v>61</v>
      </c>
      <c r="D137" s="9" t="s">
        <v>417</v>
      </c>
      <c r="E137" s="9">
        <v>2</v>
      </c>
      <c r="F137" s="13">
        <v>46193</v>
      </c>
      <c r="G137" s="9" t="s">
        <v>241</v>
      </c>
      <c r="H137" s="9" t="s">
        <v>185</v>
      </c>
      <c r="I137" s="9">
        <v>0</v>
      </c>
      <c r="J137" s="9">
        <v>4</v>
      </c>
      <c r="K137" s="14" t="str">
        <f t="shared" si="12"/>
        <v>0-4</v>
      </c>
      <c r="L137" s="14" t="str">
        <f t="shared" si="13"/>
        <v>Pierde</v>
      </c>
      <c r="M137" s="10" t="b">
        <f>FALSE()</f>
        <v>0</v>
      </c>
      <c r="N137" s="10" t="b">
        <f>FALSE()</f>
        <v>0</v>
      </c>
      <c r="O137" s="14">
        <f t="shared" si="14"/>
        <v>4</v>
      </c>
      <c r="P137" s="14">
        <f t="shared" si="15"/>
        <v>-4</v>
      </c>
      <c r="Q137" s="14">
        <f t="shared" si="16"/>
        <v>0</v>
      </c>
      <c r="R137" s="14">
        <f t="shared" si="17"/>
        <v>3</v>
      </c>
      <c r="S137" s="9" t="s">
        <v>707</v>
      </c>
    </row>
    <row r="138" spans="1:19" ht="14.25" customHeight="1">
      <c r="A138" s="9" t="s">
        <v>790</v>
      </c>
      <c r="B138" s="9">
        <v>2026</v>
      </c>
      <c r="C138" s="9" t="s">
        <v>61</v>
      </c>
      <c r="D138" s="9" t="s">
        <v>359</v>
      </c>
      <c r="E138" s="9">
        <v>2</v>
      </c>
      <c r="F138" s="13">
        <v>46194</v>
      </c>
      <c r="G138" s="9" t="s">
        <v>118</v>
      </c>
      <c r="H138" s="9" t="s">
        <v>175</v>
      </c>
      <c r="I138" s="9">
        <v>0</v>
      </c>
      <c r="J138" s="9">
        <v>0</v>
      </c>
      <c r="K138" s="14" t="str">
        <f t="shared" si="12"/>
        <v>0-0</v>
      </c>
      <c r="L138" s="14" t="str">
        <f t="shared" si="13"/>
        <v>Empata</v>
      </c>
      <c r="M138" s="10" t="b">
        <f>FALSE()</f>
        <v>0</v>
      </c>
      <c r="N138" s="10" t="b">
        <f>FALSE()</f>
        <v>0</v>
      </c>
      <c r="O138" s="14">
        <f t="shared" si="14"/>
        <v>0</v>
      </c>
      <c r="P138" s="14">
        <f t="shared" si="15"/>
        <v>0</v>
      </c>
      <c r="Q138" s="14">
        <f t="shared" si="16"/>
        <v>1</v>
      </c>
      <c r="R138" s="14">
        <f t="shared" si="17"/>
        <v>1</v>
      </c>
      <c r="S138" s="9" t="s">
        <v>714</v>
      </c>
    </row>
    <row r="139" spans="1:19" ht="14.25" customHeight="1">
      <c r="A139" s="9" t="s">
        <v>793</v>
      </c>
      <c r="B139" s="9">
        <v>2026</v>
      </c>
      <c r="C139" s="9" t="s">
        <v>61</v>
      </c>
      <c r="D139" s="9" t="s">
        <v>359</v>
      </c>
      <c r="E139" s="9">
        <v>2</v>
      </c>
      <c r="F139" s="13">
        <v>46194</v>
      </c>
      <c r="G139" s="9" t="s">
        <v>197</v>
      </c>
      <c r="H139" s="9" t="s">
        <v>159</v>
      </c>
      <c r="I139" s="9">
        <v>1</v>
      </c>
      <c r="J139" s="9">
        <v>3</v>
      </c>
      <c r="K139" s="14" t="str">
        <f t="shared" si="12"/>
        <v>1-3</v>
      </c>
      <c r="L139" s="14" t="str">
        <f t="shared" si="13"/>
        <v>Pierde</v>
      </c>
      <c r="M139" s="10" t="b">
        <f>FALSE()</f>
        <v>0</v>
      </c>
      <c r="N139" s="10" t="b">
        <f>FALSE()</f>
        <v>0</v>
      </c>
      <c r="O139" s="14">
        <f t="shared" si="14"/>
        <v>4</v>
      </c>
      <c r="P139" s="14">
        <f t="shared" si="15"/>
        <v>-2</v>
      </c>
      <c r="Q139" s="14">
        <f t="shared" si="16"/>
        <v>0</v>
      </c>
      <c r="R139" s="14">
        <f t="shared" si="17"/>
        <v>3</v>
      </c>
      <c r="S139" s="9" t="s">
        <v>714</v>
      </c>
    </row>
    <row r="140" spans="1:19" ht="14.25" customHeight="1">
      <c r="A140" s="9" t="s">
        <v>796</v>
      </c>
      <c r="B140" s="9">
        <v>2026</v>
      </c>
      <c r="C140" s="9" t="s">
        <v>61</v>
      </c>
      <c r="D140" s="9" t="s">
        <v>556</v>
      </c>
      <c r="E140" s="9">
        <v>2</v>
      </c>
      <c r="F140" s="13">
        <v>46194</v>
      </c>
      <c r="G140" s="9" t="s">
        <v>234</v>
      </c>
      <c r="H140" s="9" t="s">
        <v>76</v>
      </c>
      <c r="I140" s="9">
        <v>4</v>
      </c>
      <c r="J140" s="9">
        <v>0</v>
      </c>
      <c r="K140" s="14" t="str">
        <f t="shared" si="12"/>
        <v>4-0</v>
      </c>
      <c r="L140" s="14" t="str">
        <f t="shared" si="13"/>
        <v>Gana</v>
      </c>
      <c r="M140" s="10" t="b">
        <f>FALSE()</f>
        <v>0</v>
      </c>
      <c r="N140" s="10" t="b">
        <f>FALSE()</f>
        <v>0</v>
      </c>
      <c r="O140" s="14">
        <f t="shared" si="14"/>
        <v>4</v>
      </c>
      <c r="P140" s="14">
        <f t="shared" si="15"/>
        <v>4</v>
      </c>
      <c r="Q140" s="14">
        <f t="shared" si="16"/>
        <v>3</v>
      </c>
      <c r="R140" s="14">
        <f t="shared" si="17"/>
        <v>0</v>
      </c>
      <c r="S140" s="9" t="s">
        <v>719</v>
      </c>
    </row>
    <row r="141" spans="1:19" ht="14.25" customHeight="1">
      <c r="A141" s="9" t="s">
        <v>799</v>
      </c>
      <c r="B141" s="9">
        <v>2026</v>
      </c>
      <c r="C141" s="9" t="s">
        <v>61</v>
      </c>
      <c r="D141" s="9" t="s">
        <v>556</v>
      </c>
      <c r="E141" s="9">
        <v>2</v>
      </c>
      <c r="F141" s="13">
        <v>46194</v>
      </c>
      <c r="G141" s="9" t="s">
        <v>252</v>
      </c>
      <c r="H141" s="9" t="s">
        <v>133</v>
      </c>
      <c r="I141" s="9">
        <v>2</v>
      </c>
      <c r="J141" s="9">
        <v>2</v>
      </c>
      <c r="K141" s="14" t="str">
        <f t="shared" si="12"/>
        <v>2-2</v>
      </c>
      <c r="L141" s="14" t="str">
        <f t="shared" si="13"/>
        <v>Empata</v>
      </c>
      <c r="M141" s="10" t="b">
        <f>FALSE()</f>
        <v>0</v>
      </c>
      <c r="N141" s="10" t="b">
        <f>FALSE()</f>
        <v>0</v>
      </c>
      <c r="O141" s="14">
        <f t="shared" si="14"/>
        <v>4</v>
      </c>
      <c r="P141" s="14">
        <f t="shared" si="15"/>
        <v>0</v>
      </c>
      <c r="Q141" s="14">
        <f t="shared" si="16"/>
        <v>1</v>
      </c>
      <c r="R141" s="14">
        <f t="shared" si="17"/>
        <v>1</v>
      </c>
      <c r="S141" s="9" t="s">
        <v>719</v>
      </c>
    </row>
    <row r="142" spans="1:19" ht="14.25" customHeight="1">
      <c r="A142" s="9" t="s">
        <v>801</v>
      </c>
      <c r="B142" s="9">
        <v>2026</v>
      </c>
      <c r="C142" s="9" t="s">
        <v>61</v>
      </c>
      <c r="D142" s="9" t="s">
        <v>724</v>
      </c>
      <c r="E142" s="9">
        <v>2</v>
      </c>
      <c r="F142" s="13">
        <v>46195</v>
      </c>
      <c r="G142" s="9" t="s">
        <v>163</v>
      </c>
      <c r="H142" s="9" t="s">
        <v>178</v>
      </c>
      <c r="I142" s="9">
        <v>3</v>
      </c>
      <c r="J142" s="9">
        <v>0</v>
      </c>
      <c r="K142" s="14" t="str">
        <f t="shared" si="12"/>
        <v>3-0</v>
      </c>
      <c r="L142" s="14" t="str">
        <f t="shared" si="13"/>
        <v>Gana</v>
      </c>
      <c r="M142" s="10" t="b">
        <f>FALSE()</f>
        <v>0</v>
      </c>
      <c r="N142" s="10" t="b">
        <f>FALSE()</f>
        <v>0</v>
      </c>
      <c r="O142" s="14">
        <f t="shared" si="14"/>
        <v>3</v>
      </c>
      <c r="P142" s="14">
        <f t="shared" si="15"/>
        <v>3</v>
      </c>
      <c r="Q142" s="14">
        <f t="shared" si="16"/>
        <v>3</v>
      </c>
      <c r="R142" s="14">
        <f t="shared" si="17"/>
        <v>0</v>
      </c>
      <c r="S142" s="9" t="s">
        <v>727</v>
      </c>
    </row>
    <row r="143" spans="1:19" ht="14.25" customHeight="1">
      <c r="A143" s="9" t="s">
        <v>805</v>
      </c>
      <c r="B143" s="9">
        <v>2026</v>
      </c>
      <c r="C143" s="9" t="s">
        <v>61</v>
      </c>
      <c r="D143" s="9" t="s">
        <v>724</v>
      </c>
      <c r="E143" s="9">
        <v>2</v>
      </c>
      <c r="F143" s="13">
        <v>46195</v>
      </c>
      <c r="G143" s="9" t="s">
        <v>202</v>
      </c>
      <c r="H143" s="9" t="s">
        <v>222</v>
      </c>
      <c r="I143" s="9">
        <v>3</v>
      </c>
      <c r="J143" s="9">
        <v>2</v>
      </c>
      <c r="K143" s="14" t="str">
        <f t="shared" si="12"/>
        <v>3-2</v>
      </c>
      <c r="L143" s="14" t="str">
        <f t="shared" si="13"/>
        <v>Gana</v>
      </c>
      <c r="M143" s="10" t="b">
        <f>FALSE()</f>
        <v>0</v>
      </c>
      <c r="N143" s="10" t="b">
        <f>FALSE()</f>
        <v>0</v>
      </c>
      <c r="O143" s="14">
        <f t="shared" si="14"/>
        <v>5</v>
      </c>
      <c r="P143" s="14">
        <f t="shared" si="15"/>
        <v>1</v>
      </c>
      <c r="Q143" s="14">
        <f t="shared" si="16"/>
        <v>3</v>
      </c>
      <c r="R143" s="14">
        <f t="shared" si="17"/>
        <v>0</v>
      </c>
      <c r="S143" s="9" t="s">
        <v>727</v>
      </c>
    </row>
    <row r="144" spans="1:19" ht="14.25" customHeight="1">
      <c r="A144" s="9" t="s">
        <v>808</v>
      </c>
      <c r="B144" s="9">
        <v>2026</v>
      </c>
      <c r="C144" s="9" t="s">
        <v>61</v>
      </c>
      <c r="D144" s="9" t="s">
        <v>738</v>
      </c>
      <c r="E144" s="9">
        <v>2</v>
      </c>
      <c r="F144" s="13">
        <v>46195</v>
      </c>
      <c r="G144" s="9" t="s">
        <v>112</v>
      </c>
      <c r="H144" s="9" t="s">
        <v>116</v>
      </c>
      <c r="I144" s="9">
        <v>2</v>
      </c>
      <c r="J144" s="9">
        <v>0</v>
      </c>
      <c r="K144" s="14" t="str">
        <f t="shared" si="12"/>
        <v>2-0</v>
      </c>
      <c r="L144" s="14" t="str">
        <f t="shared" si="13"/>
        <v>Gana</v>
      </c>
      <c r="M144" s="10" t="b">
        <f>FALSE()</f>
        <v>0</v>
      </c>
      <c r="N144" s="10" t="b">
        <f>FALSE()</f>
        <v>0</v>
      </c>
      <c r="O144" s="14">
        <f t="shared" si="14"/>
        <v>2</v>
      </c>
      <c r="P144" s="14">
        <f t="shared" si="15"/>
        <v>2</v>
      </c>
      <c r="Q144" s="14">
        <f t="shared" si="16"/>
        <v>3</v>
      </c>
      <c r="R144" s="14">
        <f t="shared" si="17"/>
        <v>0</v>
      </c>
      <c r="S144" s="9" t="s">
        <v>736</v>
      </c>
    </row>
    <row r="145" spans="1:19" ht="14.25" customHeight="1">
      <c r="A145" s="9" t="s">
        <v>810</v>
      </c>
      <c r="B145" s="9">
        <v>2026</v>
      </c>
      <c r="C145" s="9" t="s">
        <v>61</v>
      </c>
      <c r="D145" s="9" t="s">
        <v>738</v>
      </c>
      <c r="E145" s="9">
        <v>2</v>
      </c>
      <c r="F145" s="13">
        <v>46195</v>
      </c>
      <c r="G145" s="9" t="s">
        <v>187</v>
      </c>
      <c r="H145" s="9" t="s">
        <v>110</v>
      </c>
      <c r="I145" s="9">
        <v>1</v>
      </c>
      <c r="J145" s="9">
        <v>2</v>
      </c>
      <c r="K145" s="14" t="str">
        <f t="shared" si="12"/>
        <v>1-2</v>
      </c>
      <c r="L145" s="14" t="str">
        <f t="shared" si="13"/>
        <v>Pierde</v>
      </c>
      <c r="M145" s="10" t="b">
        <f>FALSE()</f>
        <v>0</v>
      </c>
      <c r="N145" s="10" t="b">
        <f>FALSE()</f>
        <v>0</v>
      </c>
      <c r="O145" s="14">
        <f t="shared" si="14"/>
        <v>3</v>
      </c>
      <c r="P145" s="14">
        <f t="shared" si="15"/>
        <v>-1</v>
      </c>
      <c r="Q145" s="14">
        <f t="shared" si="16"/>
        <v>0</v>
      </c>
      <c r="R145" s="14">
        <f t="shared" si="17"/>
        <v>3</v>
      </c>
      <c r="S145" s="9" t="s">
        <v>736</v>
      </c>
    </row>
    <row r="146" spans="1:19" ht="14.25" customHeight="1">
      <c r="A146" s="9" t="s">
        <v>812</v>
      </c>
      <c r="B146" s="9">
        <v>2026</v>
      </c>
      <c r="C146" s="9" t="s">
        <v>61</v>
      </c>
      <c r="D146" s="9" t="s">
        <v>743</v>
      </c>
      <c r="E146" s="9">
        <v>2</v>
      </c>
      <c r="F146" s="13">
        <v>46196</v>
      </c>
      <c r="G146" s="9" t="s">
        <v>212</v>
      </c>
      <c r="H146" s="9" t="s">
        <v>254</v>
      </c>
      <c r="I146" s="9">
        <v>5</v>
      </c>
      <c r="J146" s="9">
        <v>0</v>
      </c>
      <c r="K146" s="14" t="str">
        <f t="shared" si="12"/>
        <v>5-0</v>
      </c>
      <c r="L146" s="14" t="str">
        <f t="shared" si="13"/>
        <v>Gana</v>
      </c>
      <c r="M146" s="10" t="b">
        <f>FALSE()</f>
        <v>0</v>
      </c>
      <c r="N146" s="10" t="b">
        <f>FALSE()</f>
        <v>0</v>
      </c>
      <c r="O146" s="14">
        <f t="shared" si="14"/>
        <v>5</v>
      </c>
      <c r="P146" s="14">
        <f t="shared" si="15"/>
        <v>5</v>
      </c>
      <c r="Q146" s="14">
        <f t="shared" si="16"/>
        <v>3</v>
      </c>
      <c r="R146" s="14">
        <f t="shared" si="17"/>
        <v>0</v>
      </c>
      <c r="S146" s="9" t="s">
        <v>745</v>
      </c>
    </row>
    <row r="147" spans="1:19" ht="14.25" customHeight="1">
      <c r="A147" s="9" t="s">
        <v>814</v>
      </c>
      <c r="B147" s="9">
        <v>2026</v>
      </c>
      <c r="C147" s="9" t="s">
        <v>61</v>
      </c>
      <c r="D147" s="9" t="s">
        <v>743</v>
      </c>
      <c r="E147" s="9">
        <v>2</v>
      </c>
      <c r="F147" s="13">
        <v>46196</v>
      </c>
      <c r="G147" s="9" t="s">
        <v>136</v>
      </c>
      <c r="H147" s="9" t="s">
        <v>151</v>
      </c>
      <c r="I147" s="9">
        <v>1</v>
      </c>
      <c r="J147" s="9">
        <v>0</v>
      </c>
      <c r="K147" s="14" t="str">
        <f t="shared" si="12"/>
        <v>1-0</v>
      </c>
      <c r="L147" s="14" t="str">
        <f t="shared" si="13"/>
        <v>Gana</v>
      </c>
      <c r="M147" s="10" t="b">
        <f>FALSE()</f>
        <v>0</v>
      </c>
      <c r="N147" s="10" t="b">
        <f>FALSE()</f>
        <v>0</v>
      </c>
      <c r="O147" s="14">
        <f t="shared" si="14"/>
        <v>1</v>
      </c>
      <c r="P147" s="14">
        <f t="shared" si="15"/>
        <v>1</v>
      </c>
      <c r="Q147" s="14">
        <f t="shared" si="16"/>
        <v>3</v>
      </c>
      <c r="R147" s="14">
        <f t="shared" si="17"/>
        <v>0</v>
      </c>
      <c r="S147" s="9" t="s">
        <v>745</v>
      </c>
    </row>
    <row r="148" spans="1:19" ht="14.25" customHeight="1">
      <c r="A148" s="9" t="s">
        <v>816</v>
      </c>
      <c r="B148" s="9">
        <v>2026</v>
      </c>
      <c r="C148" s="9" t="s">
        <v>61</v>
      </c>
      <c r="D148" s="9" t="s">
        <v>766</v>
      </c>
      <c r="E148" s="9">
        <v>2</v>
      </c>
      <c r="F148" s="13">
        <v>46196</v>
      </c>
      <c r="G148" s="9" t="s">
        <v>161</v>
      </c>
      <c r="H148" s="9" t="s">
        <v>168</v>
      </c>
      <c r="I148" s="9">
        <v>0</v>
      </c>
      <c r="J148" s="9">
        <v>0</v>
      </c>
      <c r="K148" s="14" t="str">
        <f t="shared" si="12"/>
        <v>0-0</v>
      </c>
      <c r="L148" s="14" t="str">
        <f t="shared" si="13"/>
        <v>Empata</v>
      </c>
      <c r="M148" s="10" t="b">
        <f>FALSE()</f>
        <v>0</v>
      </c>
      <c r="N148" s="10" t="b">
        <f>FALSE()</f>
        <v>0</v>
      </c>
      <c r="O148" s="14">
        <f t="shared" si="14"/>
        <v>0</v>
      </c>
      <c r="P148" s="14">
        <f t="shared" si="15"/>
        <v>0</v>
      </c>
      <c r="Q148" s="14">
        <f t="shared" si="16"/>
        <v>1</v>
      </c>
      <c r="R148" s="14">
        <f t="shared" si="17"/>
        <v>1</v>
      </c>
      <c r="S148" s="9" t="s">
        <v>753</v>
      </c>
    </row>
    <row r="149" spans="1:19" ht="14.25" customHeight="1">
      <c r="A149" s="9" t="s">
        <v>818</v>
      </c>
      <c r="B149" s="9">
        <v>2026</v>
      </c>
      <c r="C149" s="9" t="s">
        <v>61</v>
      </c>
      <c r="D149" s="9" t="s">
        <v>766</v>
      </c>
      <c r="E149" s="9">
        <v>2</v>
      </c>
      <c r="F149" s="13">
        <v>46196</v>
      </c>
      <c r="G149" s="9" t="s">
        <v>204</v>
      </c>
      <c r="H149" s="9" t="s">
        <v>140</v>
      </c>
      <c r="I149" s="9">
        <v>0</v>
      </c>
      <c r="J149" s="9">
        <v>1</v>
      </c>
      <c r="K149" s="14" t="str">
        <f t="shared" si="12"/>
        <v>0-1</v>
      </c>
      <c r="L149" s="14" t="str">
        <f t="shared" si="13"/>
        <v>Pierde</v>
      </c>
      <c r="M149" s="10" t="b">
        <f>FALSE()</f>
        <v>0</v>
      </c>
      <c r="N149" s="10" t="b">
        <f>FALSE()</f>
        <v>0</v>
      </c>
      <c r="O149" s="14">
        <f t="shared" si="14"/>
        <v>1</v>
      </c>
      <c r="P149" s="14">
        <f t="shared" si="15"/>
        <v>-1</v>
      </c>
      <c r="Q149" s="14">
        <f t="shared" si="16"/>
        <v>0</v>
      </c>
      <c r="R149" s="14">
        <f t="shared" si="17"/>
        <v>3</v>
      </c>
      <c r="S149" s="9" t="s">
        <v>753</v>
      </c>
    </row>
    <row r="150" spans="1:19" ht="14.25" customHeight="1">
      <c r="A150" s="9" t="s">
        <v>820</v>
      </c>
      <c r="B150" s="9">
        <v>2026</v>
      </c>
      <c r="C150" s="9" t="s">
        <v>61</v>
      </c>
      <c r="D150" s="9" t="s">
        <v>64</v>
      </c>
      <c r="E150" s="9">
        <v>3</v>
      </c>
      <c r="F150" s="13">
        <v>46197</v>
      </c>
      <c r="G150" s="9" t="s">
        <v>147</v>
      </c>
      <c r="H150" s="9" t="s">
        <v>188</v>
      </c>
      <c r="I150" s="9">
        <v>0</v>
      </c>
      <c r="J150" s="9">
        <v>3</v>
      </c>
      <c r="K150" s="14" t="str">
        <f t="shared" si="12"/>
        <v>0-3</v>
      </c>
      <c r="L150" s="14" t="str">
        <f t="shared" si="13"/>
        <v>Pierde</v>
      </c>
      <c r="M150" s="10" t="b">
        <f>FALSE()</f>
        <v>0</v>
      </c>
      <c r="N150" s="10" t="b">
        <f>TRUE()</f>
        <v>1</v>
      </c>
      <c r="O150" s="14">
        <f t="shared" si="14"/>
        <v>3</v>
      </c>
      <c r="P150" s="14">
        <f t="shared" si="15"/>
        <v>-3</v>
      </c>
      <c r="Q150" s="14">
        <f t="shared" si="16"/>
        <v>0</v>
      </c>
      <c r="R150" s="14">
        <f t="shared" si="17"/>
        <v>3</v>
      </c>
      <c r="S150" s="9" t="s">
        <v>673</v>
      </c>
    </row>
    <row r="151" spans="1:19" ht="14.25" customHeight="1">
      <c r="A151" s="9" t="s">
        <v>824</v>
      </c>
      <c r="B151" s="9">
        <v>2026</v>
      </c>
      <c r="C151" s="9" t="s">
        <v>61</v>
      </c>
      <c r="D151" s="9" t="s">
        <v>64</v>
      </c>
      <c r="E151" s="9">
        <v>3</v>
      </c>
      <c r="F151" s="13">
        <v>46197</v>
      </c>
      <c r="G151" s="9" t="s">
        <v>226</v>
      </c>
      <c r="H151" s="9" t="s">
        <v>229</v>
      </c>
      <c r="I151" s="9">
        <v>1</v>
      </c>
      <c r="J151" s="9">
        <v>0</v>
      </c>
      <c r="K151" s="14" t="str">
        <f t="shared" si="12"/>
        <v>1-0</v>
      </c>
      <c r="L151" s="14" t="str">
        <f t="shared" si="13"/>
        <v>Gana</v>
      </c>
      <c r="M151" s="10" t="b">
        <f>FALSE()</f>
        <v>0</v>
      </c>
      <c r="N151" s="10" t="b">
        <f>FALSE()</f>
        <v>0</v>
      </c>
      <c r="O151" s="14">
        <f t="shared" si="14"/>
        <v>1</v>
      </c>
      <c r="P151" s="14">
        <f t="shared" si="15"/>
        <v>1</v>
      </c>
      <c r="Q151" s="14">
        <f t="shared" si="16"/>
        <v>3</v>
      </c>
      <c r="R151" s="14">
        <f t="shared" si="17"/>
        <v>0</v>
      </c>
      <c r="S151" s="9" t="s">
        <v>673</v>
      </c>
    </row>
    <row r="152" spans="1:19" ht="14.25" customHeight="1">
      <c r="A152" s="9" t="s">
        <v>826</v>
      </c>
      <c r="B152" s="9">
        <v>2026</v>
      </c>
      <c r="C152" s="9" t="s">
        <v>61</v>
      </c>
      <c r="D152" s="9" t="s">
        <v>384</v>
      </c>
      <c r="E152" s="9">
        <v>3</v>
      </c>
      <c r="F152" s="13">
        <v>46197</v>
      </c>
      <c r="G152" s="9" t="s">
        <v>239</v>
      </c>
      <c r="H152" s="9" t="s">
        <v>130</v>
      </c>
      <c r="I152" s="9">
        <v>2</v>
      </c>
      <c r="J152" s="9">
        <v>1</v>
      </c>
      <c r="K152" s="14" t="str">
        <f t="shared" si="12"/>
        <v>2-1</v>
      </c>
      <c r="L152" s="14" t="str">
        <f t="shared" si="13"/>
        <v>Gana</v>
      </c>
      <c r="M152" s="10" t="b">
        <f>FALSE()</f>
        <v>0</v>
      </c>
      <c r="N152" s="10" t="b">
        <f>TRUE()</f>
        <v>1</v>
      </c>
      <c r="O152" s="14">
        <f t="shared" si="14"/>
        <v>3</v>
      </c>
      <c r="P152" s="14">
        <f t="shared" si="15"/>
        <v>1</v>
      </c>
      <c r="Q152" s="14">
        <f t="shared" si="16"/>
        <v>3</v>
      </c>
      <c r="R152" s="14">
        <f t="shared" si="17"/>
        <v>0</v>
      </c>
      <c r="S152" s="9" t="s">
        <v>682</v>
      </c>
    </row>
    <row r="153" spans="1:19" ht="14.25" customHeight="1">
      <c r="A153" s="9" t="s">
        <v>829</v>
      </c>
      <c r="B153" s="9">
        <v>2026</v>
      </c>
      <c r="C153" s="9" t="s">
        <v>61</v>
      </c>
      <c r="D153" s="9" t="s">
        <v>384</v>
      </c>
      <c r="E153" s="9">
        <v>3</v>
      </c>
      <c r="F153" s="13">
        <v>46197</v>
      </c>
      <c r="G153" s="9" t="s">
        <v>121</v>
      </c>
      <c r="H153" s="9" t="s">
        <v>214</v>
      </c>
      <c r="I153" s="9">
        <v>3</v>
      </c>
      <c r="J153" s="9">
        <v>1</v>
      </c>
      <c r="K153" s="14" t="str">
        <f t="shared" si="12"/>
        <v>3-1</v>
      </c>
      <c r="L153" s="14" t="str">
        <f t="shared" si="13"/>
        <v>Gana</v>
      </c>
      <c r="M153" s="10" t="b">
        <f>FALSE()</f>
        <v>0</v>
      </c>
      <c r="N153" s="10" t="b">
        <f>FALSE()</f>
        <v>0</v>
      </c>
      <c r="O153" s="14">
        <f t="shared" si="14"/>
        <v>4</v>
      </c>
      <c r="P153" s="14">
        <f t="shared" si="15"/>
        <v>2</v>
      </c>
      <c r="Q153" s="14">
        <f t="shared" si="16"/>
        <v>3</v>
      </c>
      <c r="R153" s="14">
        <f t="shared" si="17"/>
        <v>0</v>
      </c>
      <c r="S153" s="9" t="s">
        <v>682</v>
      </c>
    </row>
    <row r="154" spans="1:19" ht="14.25" customHeight="1">
      <c r="A154" s="9" t="s">
        <v>831</v>
      </c>
      <c r="B154" s="9">
        <v>2026</v>
      </c>
      <c r="C154" s="9" t="s">
        <v>61</v>
      </c>
      <c r="D154" s="9" t="s">
        <v>309</v>
      </c>
      <c r="E154" s="9">
        <v>3</v>
      </c>
      <c r="F154" s="13">
        <v>46198</v>
      </c>
      <c r="G154" s="9" t="s">
        <v>220</v>
      </c>
      <c r="H154" s="9" t="s">
        <v>126</v>
      </c>
      <c r="I154" s="9">
        <v>0</v>
      </c>
      <c r="J154" s="9">
        <v>3</v>
      </c>
      <c r="K154" s="14" t="str">
        <f t="shared" si="12"/>
        <v>0-3</v>
      </c>
      <c r="L154" s="14" t="str">
        <f t="shared" si="13"/>
        <v>Pierde</v>
      </c>
      <c r="M154" s="10" t="b">
        <f>FALSE()</f>
        <v>0</v>
      </c>
      <c r="N154" s="10" t="b">
        <f>FALSE()</f>
        <v>0</v>
      </c>
      <c r="O154" s="14">
        <f t="shared" si="14"/>
        <v>3</v>
      </c>
      <c r="P154" s="14">
        <f t="shared" si="15"/>
        <v>-3</v>
      </c>
      <c r="Q154" s="14">
        <f t="shared" si="16"/>
        <v>0</v>
      </c>
      <c r="R154" s="14">
        <f t="shared" si="17"/>
        <v>3</v>
      </c>
      <c r="S154" s="9" t="s">
        <v>687</v>
      </c>
    </row>
    <row r="155" spans="1:19" ht="14.25" customHeight="1">
      <c r="A155" s="9" t="s">
        <v>834</v>
      </c>
      <c r="B155" s="9">
        <v>2026</v>
      </c>
      <c r="C155" s="9" t="s">
        <v>61</v>
      </c>
      <c r="D155" s="9" t="s">
        <v>309</v>
      </c>
      <c r="E155" s="9">
        <v>3</v>
      </c>
      <c r="F155" s="13">
        <v>46198</v>
      </c>
      <c r="G155" s="9" t="s">
        <v>191</v>
      </c>
      <c r="H155" s="9" t="s">
        <v>170</v>
      </c>
      <c r="I155" s="9">
        <v>4</v>
      </c>
      <c r="J155" s="9">
        <v>2</v>
      </c>
      <c r="K155" s="14" t="str">
        <f t="shared" si="12"/>
        <v>4-2</v>
      </c>
      <c r="L155" s="14" t="str">
        <f t="shared" si="13"/>
        <v>Gana</v>
      </c>
      <c r="M155" s="10" t="b">
        <f>FALSE()</f>
        <v>0</v>
      </c>
      <c r="N155" s="10" t="b">
        <f>FALSE()</f>
        <v>0</v>
      </c>
      <c r="O155" s="14">
        <f t="shared" si="14"/>
        <v>6</v>
      </c>
      <c r="P155" s="14">
        <f t="shared" si="15"/>
        <v>2</v>
      </c>
      <c r="Q155" s="14">
        <f t="shared" si="16"/>
        <v>3</v>
      </c>
      <c r="R155" s="14">
        <f t="shared" si="17"/>
        <v>0</v>
      </c>
      <c r="S155" s="9" t="s">
        <v>687</v>
      </c>
    </row>
    <row r="156" spans="1:19" ht="14.25" customHeight="1">
      <c r="A156" s="9" t="s">
        <v>838</v>
      </c>
      <c r="B156" s="9">
        <v>2026</v>
      </c>
      <c r="C156" s="9" t="s">
        <v>61</v>
      </c>
      <c r="D156" s="9" t="s">
        <v>328</v>
      </c>
      <c r="E156" s="9">
        <v>3</v>
      </c>
      <c r="F156" s="13">
        <v>46198</v>
      </c>
      <c r="G156" s="9" t="s">
        <v>243</v>
      </c>
      <c r="H156" s="9" t="s">
        <v>248</v>
      </c>
      <c r="I156" s="9">
        <v>3</v>
      </c>
      <c r="J156" s="9">
        <v>2</v>
      </c>
      <c r="K156" s="14" t="str">
        <f t="shared" si="12"/>
        <v>3-2</v>
      </c>
      <c r="L156" s="14" t="str">
        <f t="shared" si="13"/>
        <v>Gana</v>
      </c>
      <c r="M156" s="10" t="b">
        <f>FALSE()</f>
        <v>0</v>
      </c>
      <c r="N156" s="10" t="b">
        <f>TRUE()</f>
        <v>1</v>
      </c>
      <c r="O156" s="14">
        <f t="shared" si="14"/>
        <v>5</v>
      </c>
      <c r="P156" s="14">
        <f t="shared" si="15"/>
        <v>1</v>
      </c>
      <c r="Q156" s="14">
        <f t="shared" si="16"/>
        <v>3</v>
      </c>
      <c r="R156" s="14">
        <f t="shared" si="17"/>
        <v>0</v>
      </c>
      <c r="S156" s="9" t="s">
        <v>693</v>
      </c>
    </row>
    <row r="157" spans="1:19" ht="14.25" customHeight="1">
      <c r="A157" s="9" t="s">
        <v>842</v>
      </c>
      <c r="B157" s="9">
        <v>2026</v>
      </c>
      <c r="C157" s="9" t="s">
        <v>61</v>
      </c>
      <c r="D157" s="9" t="s">
        <v>328</v>
      </c>
      <c r="E157" s="9">
        <v>3</v>
      </c>
      <c r="F157" s="13"/>
      <c r="G157" s="9" t="s">
        <v>206</v>
      </c>
      <c r="H157" s="9" t="s">
        <v>114</v>
      </c>
      <c r="I157" s="9">
        <v>0</v>
      </c>
      <c r="J157" s="9">
        <v>0</v>
      </c>
      <c r="K157" s="14" t="str">
        <f t="shared" si="12"/>
        <v>0-0</v>
      </c>
      <c r="L157" s="14" t="str">
        <f t="shared" si="13"/>
        <v>Empata</v>
      </c>
      <c r="M157" s="10" t="b">
        <f>FALSE()</f>
        <v>0</v>
      </c>
      <c r="N157" s="10" t="b">
        <f>FALSE()</f>
        <v>0</v>
      </c>
      <c r="O157" s="14">
        <f t="shared" si="14"/>
        <v>0</v>
      </c>
      <c r="P157" s="14">
        <f t="shared" si="15"/>
        <v>0</v>
      </c>
      <c r="Q157" s="14">
        <f t="shared" si="16"/>
        <v>1</v>
      </c>
      <c r="R157" s="14">
        <f t="shared" si="17"/>
        <v>1</v>
      </c>
      <c r="S157" s="9" t="s">
        <v>693</v>
      </c>
    </row>
    <row r="158" spans="1:19" ht="14.25" customHeight="1">
      <c r="A158" s="9" t="s">
        <v>844</v>
      </c>
      <c r="B158" s="9">
        <v>2026</v>
      </c>
      <c r="C158" s="9" t="s">
        <v>61</v>
      </c>
      <c r="D158" s="9" t="s">
        <v>343</v>
      </c>
      <c r="E158" s="9">
        <v>3</v>
      </c>
      <c r="F158" s="13">
        <v>46198</v>
      </c>
      <c r="G158" s="9" t="s">
        <v>143</v>
      </c>
      <c r="H158" s="9" t="s">
        <v>181</v>
      </c>
      <c r="I158" s="9">
        <v>0</v>
      </c>
      <c r="J158" s="9">
        <v>2</v>
      </c>
      <c r="K158" s="14" t="str">
        <f t="shared" si="12"/>
        <v>0-2</v>
      </c>
      <c r="L158" s="14" t="str">
        <f t="shared" si="13"/>
        <v>Pierde</v>
      </c>
      <c r="M158" s="10" t="b">
        <f>FALSE()</f>
        <v>0</v>
      </c>
      <c r="N158" s="10" t="b">
        <f>FALSE()</f>
        <v>0</v>
      </c>
      <c r="O158" s="14">
        <f t="shared" si="14"/>
        <v>2</v>
      </c>
      <c r="P158" s="14">
        <f t="shared" si="15"/>
        <v>-2</v>
      </c>
      <c r="Q158" s="14">
        <f t="shared" si="16"/>
        <v>0</v>
      </c>
      <c r="R158" s="14">
        <f t="shared" si="17"/>
        <v>3</v>
      </c>
      <c r="S158" s="9" t="s">
        <v>700</v>
      </c>
    </row>
    <row r="159" spans="1:19" ht="14.25" customHeight="1">
      <c r="A159" s="9" t="s">
        <v>846</v>
      </c>
      <c r="B159" s="9">
        <v>2026</v>
      </c>
      <c r="C159" s="9" t="s">
        <v>61</v>
      </c>
      <c r="D159" s="9" t="s">
        <v>343</v>
      </c>
      <c r="E159" s="9">
        <v>3</v>
      </c>
      <c r="F159" s="13">
        <v>46198</v>
      </c>
      <c r="G159" s="9" t="s">
        <v>157</v>
      </c>
      <c r="H159" s="9" t="s">
        <v>166</v>
      </c>
      <c r="I159" s="9">
        <v>2</v>
      </c>
      <c r="J159" s="9">
        <v>1</v>
      </c>
      <c r="K159" s="14" t="str">
        <f t="shared" si="12"/>
        <v>2-1</v>
      </c>
      <c r="L159" s="14" t="str">
        <f t="shared" si="13"/>
        <v>Gana</v>
      </c>
      <c r="M159" s="10" t="b">
        <f>FALSE()</f>
        <v>0</v>
      </c>
      <c r="N159" s="10" t="b">
        <f>FALSE()</f>
        <v>0</v>
      </c>
      <c r="O159" s="14">
        <f t="shared" si="14"/>
        <v>3</v>
      </c>
      <c r="P159" s="14">
        <f t="shared" si="15"/>
        <v>1</v>
      </c>
      <c r="Q159" s="14">
        <f t="shared" si="16"/>
        <v>3</v>
      </c>
      <c r="R159" s="14">
        <f t="shared" si="17"/>
        <v>0</v>
      </c>
      <c r="S159" s="9" t="s">
        <v>700</v>
      </c>
    </row>
    <row r="160" spans="1:19" ht="14.25" customHeight="1">
      <c r="A160" s="9" t="s">
        <v>848</v>
      </c>
      <c r="B160" s="9">
        <v>2026</v>
      </c>
      <c r="C160" s="9" t="s">
        <v>61</v>
      </c>
      <c r="D160" s="9" t="s">
        <v>417</v>
      </c>
      <c r="E160" s="9">
        <v>3</v>
      </c>
      <c r="F160" s="13">
        <v>46199</v>
      </c>
      <c r="G160" s="9" t="s">
        <v>185</v>
      </c>
      <c r="H160" s="9" t="s">
        <v>236</v>
      </c>
      <c r="I160" s="9">
        <v>1</v>
      </c>
      <c r="J160" s="9">
        <v>1</v>
      </c>
      <c r="K160" s="14" t="str">
        <f t="shared" si="12"/>
        <v>1-1</v>
      </c>
      <c r="L160" s="14" t="str">
        <f t="shared" si="13"/>
        <v>Empata</v>
      </c>
      <c r="M160" s="10" t="b">
        <f>FALSE()</f>
        <v>0</v>
      </c>
      <c r="N160" s="10" t="b">
        <f>FALSE()</f>
        <v>0</v>
      </c>
      <c r="O160" s="14">
        <f t="shared" si="14"/>
        <v>2</v>
      </c>
      <c r="P160" s="14">
        <f t="shared" si="15"/>
        <v>0</v>
      </c>
      <c r="Q160" s="14">
        <f t="shared" si="16"/>
        <v>1</v>
      </c>
      <c r="R160" s="14">
        <f t="shared" si="17"/>
        <v>1</v>
      </c>
      <c r="S160" s="9" t="s">
        <v>707</v>
      </c>
    </row>
    <row r="161" spans="1:19" ht="14.25" customHeight="1">
      <c r="A161" s="9" t="s">
        <v>851</v>
      </c>
      <c r="B161" s="9">
        <v>2026</v>
      </c>
      <c r="C161" s="9" t="s">
        <v>61</v>
      </c>
      <c r="D161" s="9" t="s">
        <v>417</v>
      </c>
      <c r="E161" s="9">
        <v>3</v>
      </c>
      <c r="F161" s="13">
        <v>46199</v>
      </c>
      <c r="G161" s="9" t="s">
        <v>241</v>
      </c>
      <c r="H161" s="9" t="s">
        <v>194</v>
      </c>
      <c r="I161" s="9">
        <v>1</v>
      </c>
      <c r="J161" s="9">
        <v>3</v>
      </c>
      <c r="K161" s="14" t="str">
        <f t="shared" si="12"/>
        <v>1-3</v>
      </c>
      <c r="L161" s="14" t="str">
        <f t="shared" si="13"/>
        <v>Pierde</v>
      </c>
      <c r="M161" s="10" t="b">
        <f>FALSE()</f>
        <v>0</v>
      </c>
      <c r="N161" s="10" t="b">
        <f>FALSE()</f>
        <v>0</v>
      </c>
      <c r="O161" s="14">
        <f t="shared" si="14"/>
        <v>4</v>
      </c>
      <c r="P161" s="14">
        <f t="shared" si="15"/>
        <v>-2</v>
      </c>
      <c r="Q161" s="14">
        <f t="shared" si="16"/>
        <v>0</v>
      </c>
      <c r="R161" s="14">
        <f t="shared" si="17"/>
        <v>3</v>
      </c>
      <c r="S161" s="9" t="s">
        <v>707</v>
      </c>
    </row>
    <row r="162" spans="1:19" ht="14.25" customHeight="1">
      <c r="A162" s="9" t="s">
        <v>854</v>
      </c>
      <c r="B162" s="9">
        <v>2026</v>
      </c>
      <c r="C162" s="9" t="s">
        <v>61</v>
      </c>
      <c r="D162" s="9" t="s">
        <v>359</v>
      </c>
      <c r="E162" s="9">
        <v>3</v>
      </c>
      <c r="F162" s="13">
        <v>46199</v>
      </c>
      <c r="G162" s="9" t="s">
        <v>159</v>
      </c>
      <c r="H162" s="9" t="s">
        <v>175</v>
      </c>
      <c r="I162" s="9">
        <v>1</v>
      </c>
      <c r="J162" s="9">
        <v>1</v>
      </c>
      <c r="K162" s="14" t="str">
        <f t="shared" si="12"/>
        <v>1-1</v>
      </c>
      <c r="L162" s="14" t="str">
        <f t="shared" si="13"/>
        <v>Empata</v>
      </c>
      <c r="M162" s="10" t="b">
        <f>FALSE()</f>
        <v>0</v>
      </c>
      <c r="N162" s="10" t="b">
        <f>FALSE()</f>
        <v>0</v>
      </c>
      <c r="O162" s="14">
        <f t="shared" si="14"/>
        <v>2</v>
      </c>
      <c r="P162" s="14">
        <f t="shared" si="15"/>
        <v>0</v>
      </c>
      <c r="Q162" s="14">
        <f t="shared" si="16"/>
        <v>1</v>
      </c>
      <c r="R162" s="14">
        <f t="shared" si="17"/>
        <v>1</v>
      </c>
      <c r="S162" s="9" t="s">
        <v>714</v>
      </c>
    </row>
    <row r="163" spans="1:19" ht="14.25" customHeight="1">
      <c r="A163" s="9" t="s">
        <v>856</v>
      </c>
      <c r="B163" s="9">
        <v>2026</v>
      </c>
      <c r="C163" s="9" t="s">
        <v>61</v>
      </c>
      <c r="D163" s="9" t="s">
        <v>359</v>
      </c>
      <c r="E163" s="9">
        <v>3</v>
      </c>
      <c r="F163" s="13">
        <v>46199</v>
      </c>
      <c r="G163" s="9" t="s">
        <v>197</v>
      </c>
      <c r="H163" s="9" t="s">
        <v>118</v>
      </c>
      <c r="I163" s="9">
        <v>1</v>
      </c>
      <c r="J163" s="9">
        <v>5</v>
      </c>
      <c r="K163" s="14" t="str">
        <f t="shared" si="12"/>
        <v>1-5</v>
      </c>
      <c r="L163" s="14" t="str">
        <f t="shared" si="13"/>
        <v>Pierde</v>
      </c>
      <c r="M163" s="10" t="b">
        <f>FALSE()</f>
        <v>0</v>
      </c>
      <c r="N163" s="10" t="b">
        <f>FALSE()</f>
        <v>0</v>
      </c>
      <c r="O163" s="14">
        <f t="shared" si="14"/>
        <v>6</v>
      </c>
      <c r="P163" s="14">
        <f t="shared" si="15"/>
        <v>-4</v>
      </c>
      <c r="Q163" s="14">
        <f t="shared" si="16"/>
        <v>0</v>
      </c>
      <c r="R163" s="14">
        <f t="shared" si="17"/>
        <v>3</v>
      </c>
      <c r="S163" s="9" t="s">
        <v>714</v>
      </c>
    </row>
    <row r="164" spans="1:19" ht="14.25" customHeight="1">
      <c r="A164" s="9" t="s">
        <v>859</v>
      </c>
      <c r="B164" s="9">
        <v>2026</v>
      </c>
      <c r="C164" s="9" t="s">
        <v>61</v>
      </c>
      <c r="D164" s="9" t="s">
        <v>556</v>
      </c>
      <c r="E164" s="9">
        <v>3</v>
      </c>
      <c r="F164" s="13">
        <v>46199</v>
      </c>
      <c r="G164" s="9" t="s">
        <v>133</v>
      </c>
      <c r="H164" s="9" t="s">
        <v>76</v>
      </c>
      <c r="I164" s="9">
        <v>0</v>
      </c>
      <c r="J164" s="9">
        <v>0</v>
      </c>
      <c r="K164" s="14" t="str">
        <f t="shared" si="12"/>
        <v>0-0</v>
      </c>
      <c r="L164" s="14" t="str">
        <f t="shared" si="13"/>
        <v>Empata</v>
      </c>
      <c r="M164" s="10" t="b">
        <f>FALSE()</f>
        <v>0</v>
      </c>
      <c r="N164" s="10" t="b">
        <f>FALSE()</f>
        <v>0</v>
      </c>
      <c r="O164" s="14">
        <f t="shared" si="14"/>
        <v>0</v>
      </c>
      <c r="P164" s="14">
        <f t="shared" si="15"/>
        <v>0</v>
      </c>
      <c r="Q164" s="14">
        <f t="shared" si="16"/>
        <v>1</v>
      </c>
      <c r="R164" s="14">
        <f t="shared" si="17"/>
        <v>1</v>
      </c>
      <c r="S164" s="9" t="s">
        <v>719</v>
      </c>
    </row>
    <row r="165" spans="1:19" ht="14.25" customHeight="1">
      <c r="A165" s="9" t="s">
        <v>861</v>
      </c>
      <c r="B165" s="9">
        <v>2026</v>
      </c>
      <c r="C165" s="9" t="s">
        <v>61</v>
      </c>
      <c r="D165" s="9" t="s">
        <v>556</v>
      </c>
      <c r="E165" s="9">
        <v>3</v>
      </c>
      <c r="F165" s="13">
        <v>46199</v>
      </c>
      <c r="G165" s="9" t="s">
        <v>252</v>
      </c>
      <c r="H165" s="9" t="s">
        <v>234</v>
      </c>
      <c r="I165" s="9">
        <v>0</v>
      </c>
      <c r="J165" s="9">
        <v>1</v>
      </c>
      <c r="K165" s="14" t="str">
        <f t="shared" si="12"/>
        <v>0-1</v>
      </c>
      <c r="L165" s="14" t="str">
        <f t="shared" si="13"/>
        <v>Pierde</v>
      </c>
      <c r="M165" s="10" t="b">
        <f>FALSE()</f>
        <v>0</v>
      </c>
      <c r="N165" s="10" t="b">
        <f>FALSE()</f>
        <v>0</v>
      </c>
      <c r="O165" s="14">
        <f t="shared" si="14"/>
        <v>1</v>
      </c>
      <c r="P165" s="14">
        <f t="shared" si="15"/>
        <v>-1</v>
      </c>
      <c r="Q165" s="14">
        <f t="shared" si="16"/>
        <v>0</v>
      </c>
      <c r="R165" s="14">
        <f t="shared" si="17"/>
        <v>3</v>
      </c>
      <c r="S165" s="9" t="s">
        <v>719</v>
      </c>
    </row>
    <row r="166" spans="1:19" ht="14.25" customHeight="1">
      <c r="A166" s="9" t="s">
        <v>862</v>
      </c>
      <c r="B166" s="9">
        <v>2026</v>
      </c>
      <c r="C166" s="9" t="s">
        <v>61</v>
      </c>
      <c r="D166" s="9" t="s">
        <v>724</v>
      </c>
      <c r="E166" s="9">
        <v>3</v>
      </c>
      <c r="F166" s="13">
        <v>46199</v>
      </c>
      <c r="G166" s="9" t="s">
        <v>202</v>
      </c>
      <c r="H166" s="9" t="s">
        <v>163</v>
      </c>
      <c r="I166" s="9">
        <v>1</v>
      </c>
      <c r="J166" s="9">
        <v>4</v>
      </c>
      <c r="K166" s="14" t="str">
        <f t="shared" si="12"/>
        <v>1-4</v>
      </c>
      <c r="L166" s="14" t="str">
        <f t="shared" si="13"/>
        <v>Pierde</v>
      </c>
      <c r="M166" s="10" t="b">
        <f>FALSE()</f>
        <v>0</v>
      </c>
      <c r="N166" s="10" t="b">
        <f>FALSE()</f>
        <v>0</v>
      </c>
      <c r="O166" s="14">
        <f t="shared" si="14"/>
        <v>5</v>
      </c>
      <c r="P166" s="14">
        <f t="shared" si="15"/>
        <v>-3</v>
      </c>
      <c r="Q166" s="14">
        <f t="shared" si="16"/>
        <v>0</v>
      </c>
      <c r="R166" s="14">
        <f t="shared" si="17"/>
        <v>3</v>
      </c>
      <c r="S166" s="9" t="s">
        <v>727</v>
      </c>
    </row>
    <row r="167" spans="1:19" ht="14.25" customHeight="1">
      <c r="A167" s="9" t="s">
        <v>864</v>
      </c>
      <c r="B167" s="9">
        <v>2026</v>
      </c>
      <c r="C167" s="9" t="s">
        <v>61</v>
      </c>
      <c r="D167" s="9" t="s">
        <v>724</v>
      </c>
      <c r="E167" s="9">
        <v>3</v>
      </c>
      <c r="F167" s="13">
        <v>46199</v>
      </c>
      <c r="G167" s="9" t="s">
        <v>222</v>
      </c>
      <c r="H167" s="9" t="s">
        <v>178</v>
      </c>
      <c r="I167" s="9">
        <v>5</v>
      </c>
      <c r="J167" s="9">
        <v>0</v>
      </c>
      <c r="K167" s="14" t="str">
        <f t="shared" si="12"/>
        <v>5-0</v>
      </c>
      <c r="L167" s="14" t="str">
        <f t="shared" si="13"/>
        <v>Gana</v>
      </c>
      <c r="M167" s="10" t="b">
        <f>FALSE()</f>
        <v>0</v>
      </c>
      <c r="N167" s="10" t="b">
        <f>FALSE()</f>
        <v>0</v>
      </c>
      <c r="O167" s="14">
        <f t="shared" si="14"/>
        <v>5</v>
      </c>
      <c r="P167" s="14">
        <f t="shared" si="15"/>
        <v>5</v>
      </c>
      <c r="Q167" s="14">
        <f t="shared" si="16"/>
        <v>3</v>
      </c>
      <c r="R167" s="14">
        <f t="shared" si="17"/>
        <v>0</v>
      </c>
      <c r="S167" s="9" t="s">
        <v>727</v>
      </c>
    </row>
    <row r="168" spans="1:19" ht="14.25" customHeight="1">
      <c r="A168" s="9" t="s">
        <v>866</v>
      </c>
      <c r="B168" s="9">
        <v>2026</v>
      </c>
      <c r="C168" s="9" t="s">
        <v>61</v>
      </c>
      <c r="D168" s="9" t="s">
        <v>738</v>
      </c>
      <c r="E168" s="9">
        <v>3</v>
      </c>
      <c r="F168" s="13">
        <v>46200</v>
      </c>
      <c r="G168" s="9" t="s">
        <v>110</v>
      </c>
      <c r="H168" s="9" t="s">
        <v>116</v>
      </c>
      <c r="I168" s="9">
        <v>3</v>
      </c>
      <c r="J168" s="9">
        <v>3</v>
      </c>
      <c r="K168" s="14" t="str">
        <f t="shared" si="12"/>
        <v>3-3</v>
      </c>
      <c r="L168" s="14" t="str">
        <f t="shared" si="13"/>
        <v>Empata</v>
      </c>
      <c r="M168" s="10" t="b">
        <f>FALSE()</f>
        <v>0</v>
      </c>
      <c r="N168" s="10" t="b">
        <f>FALSE()</f>
        <v>0</v>
      </c>
      <c r="O168" s="14">
        <f t="shared" si="14"/>
        <v>6</v>
      </c>
      <c r="P168" s="14">
        <f t="shared" si="15"/>
        <v>0</v>
      </c>
      <c r="Q168" s="14">
        <f t="shared" si="16"/>
        <v>1</v>
      </c>
      <c r="R168" s="14">
        <f t="shared" si="17"/>
        <v>1</v>
      </c>
      <c r="S168" s="9" t="s">
        <v>736</v>
      </c>
    </row>
    <row r="169" spans="1:19" ht="14.25" customHeight="1">
      <c r="A169" s="9" t="s">
        <v>869</v>
      </c>
      <c r="B169" s="9">
        <v>2026</v>
      </c>
      <c r="C169" s="9" t="s">
        <v>61</v>
      </c>
      <c r="D169" s="9" t="s">
        <v>738</v>
      </c>
      <c r="E169" s="9">
        <v>3</v>
      </c>
      <c r="F169" s="13">
        <v>46200</v>
      </c>
      <c r="G169" s="9" t="s">
        <v>187</v>
      </c>
      <c r="H169" s="9" t="s">
        <v>112</v>
      </c>
      <c r="I169" s="9">
        <v>1</v>
      </c>
      <c r="J169" s="9">
        <v>3</v>
      </c>
      <c r="K169" s="14" t="str">
        <f t="shared" si="12"/>
        <v>1-3</v>
      </c>
      <c r="L169" s="14" t="str">
        <f t="shared" si="13"/>
        <v>Pierde</v>
      </c>
      <c r="M169" s="10" t="b">
        <f>FALSE()</f>
        <v>0</v>
      </c>
      <c r="N169" s="10" t="b">
        <f>FALSE()</f>
        <v>0</v>
      </c>
      <c r="O169" s="14">
        <f t="shared" si="14"/>
        <v>4</v>
      </c>
      <c r="P169" s="14">
        <f t="shared" si="15"/>
        <v>-2</v>
      </c>
      <c r="Q169" s="14">
        <f t="shared" si="16"/>
        <v>0</v>
      </c>
      <c r="R169" s="14">
        <f t="shared" si="17"/>
        <v>3</v>
      </c>
      <c r="S169" s="9" t="s">
        <v>736</v>
      </c>
    </row>
    <row r="170" spans="1:19" ht="14.25" customHeight="1">
      <c r="A170" s="9" t="s">
        <v>871</v>
      </c>
      <c r="B170" s="9">
        <v>2026</v>
      </c>
      <c r="C170" s="9" t="s">
        <v>61</v>
      </c>
      <c r="D170" s="9" t="s">
        <v>743</v>
      </c>
      <c r="E170" s="9">
        <v>3</v>
      </c>
      <c r="F170" s="13">
        <v>46200</v>
      </c>
      <c r="G170" s="9" t="s">
        <v>136</v>
      </c>
      <c r="H170" s="9" t="s">
        <v>212</v>
      </c>
      <c r="I170" s="9">
        <v>0</v>
      </c>
      <c r="J170" s="9">
        <v>0</v>
      </c>
      <c r="K170" s="14" t="str">
        <f t="shared" si="12"/>
        <v>0-0</v>
      </c>
      <c r="L170" s="14" t="str">
        <f t="shared" si="13"/>
        <v>Empata</v>
      </c>
      <c r="M170" s="10" t="b">
        <f>FALSE()</f>
        <v>0</v>
      </c>
      <c r="N170" s="10" t="b">
        <f>FALSE()</f>
        <v>0</v>
      </c>
      <c r="O170" s="14">
        <f t="shared" si="14"/>
        <v>0</v>
      </c>
      <c r="P170" s="14">
        <f t="shared" si="15"/>
        <v>0</v>
      </c>
      <c r="Q170" s="14">
        <f t="shared" si="16"/>
        <v>1</v>
      </c>
      <c r="R170" s="14">
        <f t="shared" si="17"/>
        <v>1</v>
      </c>
      <c r="S170" s="9" t="s">
        <v>745</v>
      </c>
    </row>
    <row r="171" spans="1:19" ht="14.25" customHeight="1">
      <c r="A171" s="9" t="s">
        <v>873</v>
      </c>
      <c r="B171" s="9">
        <v>2026</v>
      </c>
      <c r="C171" s="9" t="s">
        <v>61</v>
      </c>
      <c r="D171" s="9" t="s">
        <v>743</v>
      </c>
      <c r="E171" s="9">
        <v>3</v>
      </c>
      <c r="F171" s="13">
        <v>46200</v>
      </c>
      <c r="G171" s="9" t="s">
        <v>151</v>
      </c>
      <c r="H171" s="9" t="s">
        <v>254</v>
      </c>
      <c r="I171" s="9">
        <v>3</v>
      </c>
      <c r="J171" s="9">
        <v>1</v>
      </c>
      <c r="K171" s="14" t="str">
        <f t="shared" si="12"/>
        <v>3-1</v>
      </c>
      <c r="L171" s="14" t="str">
        <f t="shared" si="13"/>
        <v>Gana</v>
      </c>
      <c r="M171" s="10" t="b">
        <f>FALSE()</f>
        <v>0</v>
      </c>
      <c r="N171" s="10" t="b">
        <f>FALSE()</f>
        <v>0</v>
      </c>
      <c r="O171" s="14">
        <f t="shared" si="14"/>
        <v>4</v>
      </c>
      <c r="P171" s="14">
        <f t="shared" si="15"/>
        <v>2</v>
      </c>
      <c r="Q171" s="14">
        <f t="shared" si="16"/>
        <v>3</v>
      </c>
      <c r="R171" s="14">
        <f t="shared" si="17"/>
        <v>0</v>
      </c>
      <c r="S171" s="9" t="s">
        <v>745</v>
      </c>
    </row>
    <row r="172" spans="1:19" ht="14.25" customHeight="1">
      <c r="A172" s="9" t="s">
        <v>875</v>
      </c>
      <c r="B172" s="9">
        <v>2026</v>
      </c>
      <c r="C172" s="9" t="s">
        <v>61</v>
      </c>
      <c r="D172" s="9" t="s">
        <v>766</v>
      </c>
      <c r="E172" s="9">
        <v>3</v>
      </c>
      <c r="F172" s="13">
        <v>46200</v>
      </c>
      <c r="G172" s="9" t="s">
        <v>204</v>
      </c>
      <c r="H172" s="9" t="s">
        <v>161</v>
      </c>
      <c r="I172" s="9">
        <v>0</v>
      </c>
      <c r="J172" s="9">
        <v>2</v>
      </c>
      <c r="K172" s="14" t="str">
        <f t="shared" si="12"/>
        <v>0-2</v>
      </c>
      <c r="L172" s="14" t="str">
        <f t="shared" si="13"/>
        <v>Pierde</v>
      </c>
      <c r="M172" s="10" t="b">
        <f>FALSE()</f>
        <v>0</v>
      </c>
      <c r="N172" s="10" t="b">
        <f>FALSE()</f>
        <v>0</v>
      </c>
      <c r="O172" s="14">
        <f t="shared" si="14"/>
        <v>2</v>
      </c>
      <c r="P172" s="14">
        <f t="shared" si="15"/>
        <v>-2</v>
      </c>
      <c r="Q172" s="14">
        <f t="shared" si="16"/>
        <v>0</v>
      </c>
      <c r="R172" s="14">
        <f t="shared" si="17"/>
        <v>3</v>
      </c>
      <c r="S172" s="9" t="s">
        <v>753</v>
      </c>
    </row>
    <row r="173" spans="1:19" ht="14.25" customHeight="1">
      <c r="A173" s="9" t="s">
        <v>878</v>
      </c>
      <c r="B173" s="9">
        <v>2026</v>
      </c>
      <c r="C173" s="9" t="s">
        <v>61</v>
      </c>
      <c r="D173" s="9" t="s">
        <v>766</v>
      </c>
      <c r="E173" s="9">
        <v>3</v>
      </c>
      <c r="F173" s="13">
        <v>46200</v>
      </c>
      <c r="G173" s="9" t="s">
        <v>140</v>
      </c>
      <c r="H173" s="9" t="s">
        <v>168</v>
      </c>
      <c r="I173" s="9">
        <v>2</v>
      </c>
      <c r="J173" s="9">
        <v>1</v>
      </c>
      <c r="K173" s="14" t="str">
        <f t="shared" si="12"/>
        <v>2-1</v>
      </c>
      <c r="L173" s="14" t="str">
        <f t="shared" si="13"/>
        <v>Gana</v>
      </c>
      <c r="M173" s="10" t="b">
        <f>FALSE()</f>
        <v>0</v>
      </c>
      <c r="N173" s="10" t="b">
        <f>FALSE()</f>
        <v>0</v>
      </c>
      <c r="O173" s="14">
        <f t="shared" si="14"/>
        <v>3</v>
      </c>
      <c r="P173" s="14">
        <f t="shared" si="15"/>
        <v>1</v>
      </c>
      <c r="Q173" s="14">
        <f t="shared" si="16"/>
        <v>3</v>
      </c>
      <c r="R173" s="14">
        <f t="shared" si="17"/>
        <v>0</v>
      </c>
      <c r="S173" s="9" t="s">
        <v>753</v>
      </c>
    </row>
    <row r="174" spans="1:19" ht="14.25" customHeight="1">
      <c r="A174" s="9"/>
      <c r="B174" s="9"/>
      <c r="C174" s="9"/>
      <c r="D174" s="9"/>
      <c r="E174" s="9"/>
      <c r="F174" s="13"/>
      <c r="G174" s="9"/>
      <c r="H174" s="9"/>
      <c r="I174" s="9"/>
      <c r="J174" s="9"/>
      <c r="K174" s="14" t="str">
        <f t="shared" si="12"/>
        <v/>
      </c>
      <c r="L174" s="14" t="str">
        <f t="shared" si="13"/>
        <v/>
      </c>
      <c r="M174" s="9"/>
      <c r="N174" s="9"/>
      <c r="O174" s="14" t="str">
        <f t="shared" si="14"/>
        <v/>
      </c>
      <c r="P174" s="14" t="str">
        <f t="shared" si="15"/>
        <v/>
      </c>
      <c r="Q174" s="14" t="str">
        <f t="shared" si="16"/>
        <v/>
      </c>
      <c r="R174" s="14" t="str">
        <f t="shared" si="17"/>
        <v/>
      </c>
      <c r="S174" s="9"/>
    </row>
    <row r="175" spans="1:19" ht="14.25" customHeight="1">
      <c r="A175" s="9"/>
      <c r="B175" s="9"/>
      <c r="C175" s="9"/>
      <c r="D175" s="9"/>
      <c r="E175" s="9"/>
      <c r="F175" s="13"/>
      <c r="G175" s="9"/>
      <c r="H175" s="9"/>
      <c r="I175" s="9"/>
      <c r="J175" s="9"/>
      <c r="K175" s="14" t="str">
        <f t="shared" si="12"/>
        <v/>
      </c>
      <c r="L175" s="14" t="str">
        <f t="shared" si="13"/>
        <v/>
      </c>
      <c r="M175" s="9"/>
      <c r="N175" s="9"/>
      <c r="O175" s="14" t="str">
        <f t="shared" si="14"/>
        <v/>
      </c>
      <c r="P175" s="14" t="str">
        <f t="shared" si="15"/>
        <v/>
      </c>
      <c r="Q175" s="14" t="str">
        <f t="shared" si="16"/>
        <v/>
      </c>
      <c r="R175" s="14" t="str">
        <f t="shared" si="17"/>
        <v/>
      </c>
      <c r="S175" s="9"/>
    </row>
    <row r="176" spans="1:19" ht="14.25" customHeight="1">
      <c r="A176" s="9"/>
      <c r="B176" s="9"/>
      <c r="C176" s="9"/>
      <c r="D176" s="9"/>
      <c r="E176" s="9"/>
      <c r="F176" s="13"/>
      <c r="G176" s="9"/>
      <c r="H176" s="9"/>
      <c r="I176" s="9"/>
      <c r="J176" s="9"/>
      <c r="K176" s="14" t="str">
        <f t="shared" si="12"/>
        <v/>
      </c>
      <c r="L176" s="14" t="str">
        <f t="shared" si="13"/>
        <v/>
      </c>
      <c r="M176" s="9"/>
      <c r="N176" s="9"/>
      <c r="O176" s="14" t="str">
        <f t="shared" si="14"/>
        <v/>
      </c>
      <c r="P176" s="14" t="str">
        <f t="shared" si="15"/>
        <v/>
      </c>
      <c r="Q176" s="14" t="str">
        <f t="shared" si="16"/>
        <v/>
      </c>
      <c r="R176" s="14" t="str">
        <f t="shared" si="17"/>
        <v/>
      </c>
      <c r="S176" s="9"/>
    </row>
    <row r="177" spans="1:19" ht="14.25" customHeight="1">
      <c r="A177" s="9"/>
      <c r="B177" s="9"/>
      <c r="C177" s="9"/>
      <c r="D177" s="9"/>
      <c r="E177" s="9"/>
      <c r="F177" s="13"/>
      <c r="G177" s="9"/>
      <c r="H177" s="9"/>
      <c r="I177" s="9"/>
      <c r="J177" s="9"/>
      <c r="K177" s="14" t="str">
        <f t="shared" si="12"/>
        <v/>
      </c>
      <c r="L177" s="14" t="str">
        <f t="shared" si="13"/>
        <v/>
      </c>
      <c r="M177" s="9"/>
      <c r="N177" s="9"/>
      <c r="O177" s="14" t="str">
        <f t="shared" si="14"/>
        <v/>
      </c>
      <c r="P177" s="14" t="str">
        <f t="shared" si="15"/>
        <v/>
      </c>
      <c r="Q177" s="14" t="str">
        <f t="shared" si="16"/>
        <v/>
      </c>
      <c r="R177" s="14" t="str">
        <f t="shared" si="17"/>
        <v/>
      </c>
      <c r="S177" s="9"/>
    </row>
    <row r="178" spans="1:19" ht="14.25" customHeight="1">
      <c r="A178" s="9"/>
      <c r="B178" s="9"/>
      <c r="C178" s="9"/>
      <c r="D178" s="9"/>
      <c r="E178" s="9"/>
      <c r="F178" s="13"/>
      <c r="G178" s="9"/>
      <c r="H178" s="9"/>
      <c r="I178" s="9"/>
      <c r="J178" s="9"/>
      <c r="K178" s="14" t="str">
        <f t="shared" si="12"/>
        <v/>
      </c>
      <c r="L178" s="14" t="str">
        <f t="shared" si="13"/>
        <v/>
      </c>
      <c r="M178" s="9"/>
      <c r="N178" s="9"/>
      <c r="O178" s="14" t="str">
        <f t="shared" si="14"/>
        <v/>
      </c>
      <c r="P178" s="14" t="str">
        <f t="shared" si="15"/>
        <v/>
      </c>
      <c r="Q178" s="14" t="str">
        <f t="shared" si="16"/>
        <v/>
      </c>
      <c r="R178" s="14" t="str">
        <f t="shared" si="17"/>
        <v/>
      </c>
      <c r="S178" s="9"/>
    </row>
    <row r="179" spans="1:19" ht="14.25" customHeight="1">
      <c r="A179" s="9"/>
      <c r="B179" s="9"/>
      <c r="C179" s="9"/>
      <c r="D179" s="9"/>
      <c r="E179" s="9"/>
      <c r="F179" s="13"/>
      <c r="G179" s="9"/>
      <c r="H179" s="9"/>
      <c r="I179" s="9"/>
      <c r="J179" s="9"/>
      <c r="K179" s="14" t="str">
        <f t="shared" si="12"/>
        <v/>
      </c>
      <c r="L179" s="14" t="str">
        <f t="shared" si="13"/>
        <v/>
      </c>
      <c r="M179" s="9"/>
      <c r="N179" s="9"/>
      <c r="O179" s="14" t="str">
        <f t="shared" si="14"/>
        <v/>
      </c>
      <c r="P179" s="14" t="str">
        <f t="shared" si="15"/>
        <v/>
      </c>
      <c r="Q179" s="14" t="str">
        <f t="shared" si="16"/>
        <v/>
      </c>
      <c r="R179" s="14" t="str">
        <f t="shared" si="17"/>
        <v/>
      </c>
      <c r="S179" s="9"/>
    </row>
    <row r="180" spans="1:19" ht="14.25" customHeight="1">
      <c r="A180" s="9"/>
      <c r="B180" s="9"/>
      <c r="C180" s="9"/>
      <c r="D180" s="9"/>
      <c r="E180" s="9"/>
      <c r="F180" s="13"/>
      <c r="G180" s="9"/>
      <c r="H180" s="9"/>
      <c r="I180" s="9"/>
      <c r="J180" s="9"/>
      <c r="K180" s="14" t="str">
        <f t="shared" si="12"/>
        <v/>
      </c>
      <c r="L180" s="14" t="str">
        <f t="shared" si="13"/>
        <v/>
      </c>
      <c r="M180" s="9"/>
      <c r="N180" s="9"/>
      <c r="O180" s="14" t="str">
        <f t="shared" si="14"/>
        <v/>
      </c>
      <c r="P180" s="14" t="str">
        <f t="shared" si="15"/>
        <v/>
      </c>
      <c r="Q180" s="14" t="str">
        <f t="shared" si="16"/>
        <v/>
      </c>
      <c r="R180" s="14" t="str">
        <f t="shared" si="17"/>
        <v/>
      </c>
      <c r="S180" s="9"/>
    </row>
    <row r="181" spans="1:19" ht="14.25" customHeight="1">
      <c r="A181" s="9"/>
      <c r="B181" s="9"/>
      <c r="C181" s="9"/>
      <c r="D181" s="9"/>
      <c r="E181" s="9"/>
      <c r="F181" s="13"/>
      <c r="G181" s="9"/>
      <c r="H181" s="9"/>
      <c r="I181" s="9"/>
      <c r="J181" s="9"/>
      <c r="K181" s="14" t="str">
        <f t="shared" si="12"/>
        <v/>
      </c>
      <c r="L181" s="14" t="str">
        <f t="shared" si="13"/>
        <v/>
      </c>
      <c r="M181" s="9"/>
      <c r="N181" s="9"/>
      <c r="O181" s="14" t="str">
        <f t="shared" si="14"/>
        <v/>
      </c>
      <c r="P181" s="14" t="str">
        <f t="shared" si="15"/>
        <v/>
      </c>
      <c r="Q181" s="14" t="str">
        <f t="shared" si="16"/>
        <v/>
      </c>
      <c r="R181" s="14" t="str">
        <f t="shared" si="17"/>
        <v/>
      </c>
      <c r="S181" s="9"/>
    </row>
    <row r="182" spans="1:19" ht="14.25" customHeight="1">
      <c r="A182" s="9"/>
      <c r="B182" s="9"/>
      <c r="C182" s="9"/>
      <c r="D182" s="9"/>
      <c r="E182" s="9"/>
      <c r="F182" s="13"/>
      <c r="G182" s="9"/>
      <c r="H182" s="9"/>
      <c r="I182" s="9"/>
      <c r="J182" s="9"/>
      <c r="K182" s="14" t="str">
        <f t="shared" si="12"/>
        <v/>
      </c>
      <c r="L182" s="14" t="str">
        <f t="shared" si="13"/>
        <v/>
      </c>
      <c r="M182" s="9"/>
      <c r="N182" s="9"/>
      <c r="O182" s="14" t="str">
        <f t="shared" si="14"/>
        <v/>
      </c>
      <c r="P182" s="14" t="str">
        <f t="shared" si="15"/>
        <v/>
      </c>
      <c r="Q182" s="14" t="str">
        <f t="shared" si="16"/>
        <v/>
      </c>
      <c r="R182" s="14" t="str">
        <f t="shared" si="17"/>
        <v/>
      </c>
      <c r="S182" s="9"/>
    </row>
    <row r="183" spans="1:19" ht="14.25" customHeight="1">
      <c r="A183" s="9"/>
      <c r="B183" s="9"/>
      <c r="C183" s="9"/>
      <c r="D183" s="9"/>
      <c r="E183" s="9"/>
      <c r="F183" s="13"/>
      <c r="G183" s="9"/>
      <c r="H183" s="9"/>
      <c r="I183" s="9"/>
      <c r="J183" s="9"/>
      <c r="K183" s="14" t="str">
        <f t="shared" si="12"/>
        <v/>
      </c>
      <c r="L183" s="14" t="str">
        <f t="shared" si="13"/>
        <v/>
      </c>
      <c r="M183" s="9"/>
      <c r="N183" s="9"/>
      <c r="O183" s="14" t="str">
        <f t="shared" si="14"/>
        <v/>
      </c>
      <c r="P183" s="14" t="str">
        <f t="shared" si="15"/>
        <v/>
      </c>
      <c r="Q183" s="14" t="str">
        <f t="shared" si="16"/>
        <v/>
      </c>
      <c r="R183" s="14" t="str">
        <f t="shared" si="17"/>
        <v/>
      </c>
      <c r="S183" s="9"/>
    </row>
    <row r="184" spans="1:19" ht="14.25" customHeight="1">
      <c r="A184" s="9"/>
      <c r="B184" s="9"/>
      <c r="C184" s="9"/>
      <c r="D184" s="9"/>
      <c r="E184" s="9"/>
      <c r="F184" s="13"/>
      <c r="G184" s="9"/>
      <c r="H184" s="9"/>
      <c r="I184" s="9"/>
      <c r="J184" s="9"/>
      <c r="K184" s="14" t="str">
        <f t="shared" si="12"/>
        <v/>
      </c>
      <c r="L184" s="14" t="str">
        <f t="shared" si="13"/>
        <v/>
      </c>
      <c r="M184" s="9"/>
      <c r="N184" s="9"/>
      <c r="O184" s="14" t="str">
        <f t="shared" si="14"/>
        <v/>
      </c>
      <c r="P184" s="14" t="str">
        <f t="shared" si="15"/>
        <v/>
      </c>
      <c r="Q184" s="14" t="str">
        <f t="shared" si="16"/>
        <v/>
      </c>
      <c r="R184" s="14" t="str">
        <f t="shared" si="17"/>
        <v/>
      </c>
      <c r="S184" s="9"/>
    </row>
    <row r="185" spans="1:19" ht="14.25" customHeight="1">
      <c r="A185" s="9"/>
      <c r="B185" s="9"/>
      <c r="C185" s="9"/>
      <c r="D185" s="9"/>
      <c r="E185" s="9"/>
      <c r="F185" s="13"/>
      <c r="G185" s="9"/>
      <c r="H185" s="9"/>
      <c r="I185" s="9"/>
      <c r="J185" s="9"/>
      <c r="K185" s="14" t="str">
        <f t="shared" si="12"/>
        <v/>
      </c>
      <c r="L185" s="14" t="str">
        <f t="shared" si="13"/>
        <v/>
      </c>
      <c r="M185" s="9"/>
      <c r="N185" s="9"/>
      <c r="O185" s="14" t="str">
        <f t="shared" si="14"/>
        <v/>
      </c>
      <c r="P185" s="14" t="str">
        <f t="shared" si="15"/>
        <v/>
      </c>
      <c r="Q185" s="14" t="str">
        <f t="shared" si="16"/>
        <v/>
      </c>
      <c r="R185" s="14" t="str">
        <f t="shared" si="17"/>
        <v/>
      </c>
      <c r="S185" s="9"/>
    </row>
    <row r="186" spans="1:19" ht="14.25" customHeight="1">
      <c r="A186" s="9"/>
      <c r="B186" s="9"/>
      <c r="C186" s="9"/>
      <c r="D186" s="9"/>
      <c r="E186" s="9"/>
      <c r="F186" s="13"/>
      <c r="G186" s="9"/>
      <c r="H186" s="9"/>
      <c r="I186" s="9"/>
      <c r="J186" s="9"/>
      <c r="K186" s="14" t="str">
        <f t="shared" si="12"/>
        <v/>
      </c>
      <c r="L186" s="14" t="str">
        <f t="shared" si="13"/>
        <v/>
      </c>
      <c r="M186" s="9"/>
      <c r="N186" s="9"/>
      <c r="O186" s="14" t="str">
        <f t="shared" si="14"/>
        <v/>
      </c>
      <c r="P186" s="14" t="str">
        <f t="shared" si="15"/>
        <v/>
      </c>
      <c r="Q186" s="14" t="str">
        <f t="shared" si="16"/>
        <v/>
      </c>
      <c r="R186" s="14" t="str">
        <f t="shared" si="17"/>
        <v/>
      </c>
      <c r="S186" s="9"/>
    </row>
    <row r="187" spans="1:19" ht="14.25" customHeight="1">
      <c r="A187" s="9"/>
      <c r="B187" s="9"/>
      <c r="C187" s="9"/>
      <c r="D187" s="9"/>
      <c r="E187" s="9"/>
      <c r="F187" s="13"/>
      <c r="G187" s="9"/>
      <c r="H187" s="9"/>
      <c r="I187" s="9"/>
      <c r="J187" s="9"/>
      <c r="K187" s="14" t="str">
        <f t="shared" si="12"/>
        <v/>
      </c>
      <c r="L187" s="14" t="str">
        <f t="shared" si="13"/>
        <v/>
      </c>
      <c r="M187" s="9"/>
      <c r="N187" s="9"/>
      <c r="O187" s="14" t="str">
        <f t="shared" si="14"/>
        <v/>
      </c>
      <c r="P187" s="14" t="str">
        <f t="shared" si="15"/>
        <v/>
      </c>
      <c r="Q187" s="14" t="str">
        <f t="shared" si="16"/>
        <v/>
      </c>
      <c r="R187" s="14" t="str">
        <f t="shared" si="17"/>
        <v/>
      </c>
      <c r="S187" s="9"/>
    </row>
    <row r="188" spans="1:19" ht="14.25" customHeight="1">
      <c r="A188" s="9"/>
      <c r="B188" s="9"/>
      <c r="C188" s="9"/>
      <c r="D188" s="9"/>
      <c r="E188" s="9"/>
      <c r="F188" s="13"/>
      <c r="G188" s="9"/>
      <c r="H188" s="9"/>
      <c r="I188" s="9"/>
      <c r="J188" s="9"/>
      <c r="K188" s="14" t="str">
        <f t="shared" si="12"/>
        <v/>
      </c>
      <c r="L188" s="14" t="str">
        <f t="shared" si="13"/>
        <v/>
      </c>
      <c r="M188" s="9"/>
      <c r="N188" s="9"/>
      <c r="O188" s="14" t="str">
        <f t="shared" si="14"/>
        <v/>
      </c>
      <c r="P188" s="14" t="str">
        <f t="shared" si="15"/>
        <v/>
      </c>
      <c r="Q188" s="14" t="str">
        <f t="shared" si="16"/>
        <v/>
      </c>
      <c r="R188" s="14" t="str">
        <f t="shared" si="17"/>
        <v/>
      </c>
      <c r="S188" s="9"/>
    </row>
    <row r="189" spans="1:19" ht="14.25" customHeight="1">
      <c r="A189" s="9"/>
      <c r="B189" s="9"/>
      <c r="C189" s="9"/>
      <c r="D189" s="9"/>
      <c r="E189" s="9"/>
      <c r="F189" s="13"/>
      <c r="G189" s="9"/>
      <c r="H189" s="9"/>
      <c r="I189" s="9"/>
      <c r="J189" s="9"/>
      <c r="K189" s="14" t="str">
        <f t="shared" si="12"/>
        <v/>
      </c>
      <c r="L189" s="14" t="str">
        <f t="shared" si="13"/>
        <v/>
      </c>
      <c r="M189" s="9"/>
      <c r="N189" s="9"/>
      <c r="O189" s="14" t="str">
        <f t="shared" si="14"/>
        <v/>
      </c>
      <c r="P189" s="14" t="str">
        <f t="shared" si="15"/>
        <v/>
      </c>
      <c r="Q189" s="14" t="str">
        <f t="shared" si="16"/>
        <v/>
      </c>
      <c r="R189" s="14" t="str">
        <f t="shared" si="17"/>
        <v/>
      </c>
      <c r="S189" s="9"/>
    </row>
    <row r="190" spans="1:19" ht="14.25" customHeight="1">
      <c r="A190" s="9"/>
      <c r="B190" s="9"/>
      <c r="C190" s="9"/>
      <c r="D190" s="9"/>
      <c r="E190" s="9"/>
      <c r="F190" s="13"/>
      <c r="G190" s="9"/>
      <c r="H190" s="9"/>
      <c r="I190" s="9"/>
      <c r="J190" s="9"/>
      <c r="K190" s="14" t="str">
        <f t="shared" si="12"/>
        <v/>
      </c>
      <c r="L190" s="14" t="str">
        <f t="shared" si="13"/>
        <v/>
      </c>
      <c r="M190" s="9"/>
      <c r="N190" s="9"/>
      <c r="O190" s="14" t="str">
        <f t="shared" si="14"/>
        <v/>
      </c>
      <c r="P190" s="14" t="str">
        <f t="shared" si="15"/>
        <v/>
      </c>
      <c r="Q190" s="14" t="str">
        <f t="shared" si="16"/>
        <v/>
      </c>
      <c r="R190" s="14" t="str">
        <f t="shared" si="17"/>
        <v/>
      </c>
      <c r="S190" s="9"/>
    </row>
    <row r="191" spans="1:19" ht="14.25" customHeight="1">
      <c r="A191" s="9"/>
      <c r="B191" s="9"/>
      <c r="C191" s="9"/>
      <c r="D191" s="9"/>
      <c r="E191" s="9"/>
      <c r="F191" s="13"/>
      <c r="G191" s="9"/>
      <c r="H191" s="9"/>
      <c r="I191" s="9"/>
      <c r="J191" s="9"/>
      <c r="K191" s="14" t="str">
        <f t="shared" si="12"/>
        <v/>
      </c>
      <c r="L191" s="14" t="str">
        <f t="shared" si="13"/>
        <v/>
      </c>
      <c r="M191" s="9"/>
      <c r="N191" s="9"/>
      <c r="O191" s="14" t="str">
        <f t="shared" si="14"/>
        <v/>
      </c>
      <c r="P191" s="14" t="str">
        <f t="shared" si="15"/>
        <v/>
      </c>
      <c r="Q191" s="14" t="str">
        <f t="shared" si="16"/>
        <v/>
      </c>
      <c r="R191" s="14" t="str">
        <f t="shared" si="17"/>
        <v/>
      </c>
      <c r="S191" s="9"/>
    </row>
    <row r="192" spans="1:19" ht="14.25" customHeight="1">
      <c r="A192" s="9"/>
      <c r="B192" s="9"/>
      <c r="C192" s="9"/>
      <c r="D192" s="9"/>
      <c r="E192" s="9"/>
      <c r="F192" s="13"/>
      <c r="G192" s="9"/>
      <c r="H192" s="9"/>
      <c r="I192" s="9"/>
      <c r="J192" s="9"/>
      <c r="K192" s="14" t="str">
        <f t="shared" si="12"/>
        <v/>
      </c>
      <c r="L192" s="14" t="str">
        <f t="shared" si="13"/>
        <v/>
      </c>
      <c r="M192" s="9"/>
      <c r="N192" s="9"/>
      <c r="O192" s="14" t="str">
        <f t="shared" si="14"/>
        <v/>
      </c>
      <c r="P192" s="14" t="str">
        <f t="shared" si="15"/>
        <v/>
      </c>
      <c r="Q192" s="14" t="str">
        <f t="shared" si="16"/>
        <v/>
      </c>
      <c r="R192" s="14" t="str">
        <f t="shared" si="17"/>
        <v/>
      </c>
      <c r="S192" s="9"/>
    </row>
    <row r="193" spans="1:19" ht="14.25" customHeight="1">
      <c r="A193" s="9"/>
      <c r="B193" s="9"/>
      <c r="C193" s="9"/>
      <c r="D193" s="9"/>
      <c r="E193" s="9"/>
      <c r="F193" s="13"/>
      <c r="G193" s="9"/>
      <c r="H193" s="9"/>
      <c r="I193" s="9"/>
      <c r="J193" s="9"/>
      <c r="K193" s="14" t="str">
        <f t="shared" si="12"/>
        <v/>
      </c>
      <c r="L193" s="14" t="str">
        <f t="shared" si="13"/>
        <v/>
      </c>
      <c r="M193" s="9"/>
      <c r="N193" s="9"/>
      <c r="O193" s="14" t="str">
        <f t="shared" si="14"/>
        <v/>
      </c>
      <c r="P193" s="14" t="str">
        <f t="shared" si="15"/>
        <v/>
      </c>
      <c r="Q193" s="14" t="str">
        <f t="shared" si="16"/>
        <v/>
      </c>
      <c r="R193" s="14" t="str">
        <f t="shared" si="17"/>
        <v/>
      </c>
      <c r="S193" s="9"/>
    </row>
    <row r="194" spans="1:19" ht="14.25" customHeight="1">
      <c r="A194" s="9"/>
      <c r="B194" s="9"/>
      <c r="C194" s="9"/>
      <c r="D194" s="9"/>
      <c r="E194" s="9"/>
      <c r="F194" s="13"/>
      <c r="G194" s="9"/>
      <c r="H194" s="9"/>
      <c r="I194" s="9"/>
      <c r="J194" s="9"/>
      <c r="K194" s="14" t="str">
        <f t="shared" si="12"/>
        <v/>
      </c>
      <c r="L194" s="14" t="str">
        <f t="shared" si="13"/>
        <v/>
      </c>
      <c r="M194" s="9"/>
      <c r="N194" s="9"/>
      <c r="O194" s="14" t="str">
        <f t="shared" si="14"/>
        <v/>
      </c>
      <c r="P194" s="14" t="str">
        <f t="shared" si="15"/>
        <v/>
      </c>
      <c r="Q194" s="14" t="str">
        <f t="shared" si="16"/>
        <v/>
      </c>
      <c r="R194" s="14" t="str">
        <f t="shared" si="17"/>
        <v/>
      </c>
      <c r="S194" s="9"/>
    </row>
    <row r="195" spans="1:19" ht="14.25" customHeight="1">
      <c r="A195" s="9"/>
      <c r="B195" s="9"/>
      <c r="C195" s="9"/>
      <c r="D195" s="9"/>
      <c r="E195" s="9"/>
      <c r="F195" s="13"/>
      <c r="G195" s="9"/>
      <c r="H195" s="9"/>
      <c r="I195" s="9"/>
      <c r="J195" s="9"/>
      <c r="K195" s="14" t="str">
        <f t="shared" si="12"/>
        <v/>
      </c>
      <c r="L195" s="14" t="str">
        <f t="shared" si="13"/>
        <v/>
      </c>
      <c r="M195" s="9"/>
      <c r="N195" s="9"/>
      <c r="O195" s="14" t="str">
        <f t="shared" si="14"/>
        <v/>
      </c>
      <c r="P195" s="14" t="str">
        <f t="shared" si="15"/>
        <v/>
      </c>
      <c r="Q195" s="14" t="str">
        <f t="shared" si="16"/>
        <v/>
      </c>
      <c r="R195" s="14" t="str">
        <f t="shared" si="17"/>
        <v/>
      </c>
      <c r="S195" s="9"/>
    </row>
    <row r="196" spans="1:19" ht="14.25" customHeight="1">
      <c r="A196" s="9"/>
      <c r="B196" s="9"/>
      <c r="C196" s="9"/>
      <c r="D196" s="9"/>
      <c r="E196" s="9"/>
      <c r="F196" s="13"/>
      <c r="G196" s="9"/>
      <c r="H196" s="9"/>
      <c r="I196" s="9"/>
      <c r="J196" s="9"/>
      <c r="K196" s="14" t="str">
        <f t="shared" si="12"/>
        <v/>
      </c>
      <c r="L196" s="14" t="str">
        <f t="shared" si="13"/>
        <v/>
      </c>
      <c r="M196" s="9"/>
      <c r="N196" s="9"/>
      <c r="O196" s="14" t="str">
        <f t="shared" si="14"/>
        <v/>
      </c>
      <c r="P196" s="14" t="str">
        <f t="shared" si="15"/>
        <v/>
      </c>
      <c r="Q196" s="14" t="str">
        <f t="shared" si="16"/>
        <v/>
      </c>
      <c r="R196" s="14" t="str">
        <f t="shared" si="17"/>
        <v/>
      </c>
      <c r="S196" s="9"/>
    </row>
    <row r="197" spans="1:19" ht="14.25" customHeight="1">
      <c r="A197" s="9"/>
      <c r="B197" s="9"/>
      <c r="C197" s="9"/>
      <c r="D197" s="9"/>
      <c r="E197" s="9"/>
      <c r="F197" s="13"/>
      <c r="G197" s="9"/>
      <c r="H197" s="9"/>
      <c r="I197" s="9"/>
      <c r="J197" s="9"/>
      <c r="K197" s="14" t="str">
        <f t="shared" si="12"/>
        <v/>
      </c>
      <c r="L197" s="14" t="str">
        <f t="shared" si="13"/>
        <v/>
      </c>
      <c r="M197" s="9"/>
      <c r="N197" s="9"/>
      <c r="O197" s="14" t="str">
        <f t="shared" si="14"/>
        <v/>
      </c>
      <c r="P197" s="14" t="str">
        <f t="shared" si="15"/>
        <v/>
      </c>
      <c r="Q197" s="14" t="str">
        <f t="shared" si="16"/>
        <v/>
      </c>
      <c r="R197" s="14" t="str">
        <f t="shared" si="17"/>
        <v/>
      </c>
      <c r="S197" s="9"/>
    </row>
    <row r="198" spans="1:19" ht="14.25" customHeight="1">
      <c r="A198" s="9"/>
      <c r="B198" s="9"/>
      <c r="C198" s="9"/>
      <c r="D198" s="9"/>
      <c r="E198" s="9"/>
      <c r="F198" s="13"/>
      <c r="G198" s="9"/>
      <c r="H198" s="9"/>
      <c r="I198" s="9"/>
      <c r="J198" s="9"/>
      <c r="K198" s="14" t="str">
        <f t="shared" ref="K198:K261" si="18">IF(OR(I198="",J198=""),"",I198&amp;"-"&amp;J198)</f>
        <v/>
      </c>
      <c r="L198" s="14" t="str">
        <f t="shared" ref="L198:L261" si="19">IF(OR(I198="",J198=""),"",IF(I198&gt;J198,"Gana",IF(I198=J198,"Empata","Pierde")))</f>
        <v/>
      </c>
      <c r="M198" s="9"/>
      <c r="N198" s="9"/>
      <c r="O198" s="14" t="str">
        <f t="shared" ref="O198:O261" si="20">IF(OR(I198="",J198=""),"",I198+J198)</f>
        <v/>
      </c>
      <c r="P198" s="14" t="str">
        <f t="shared" ref="P198:P261" si="21">IF(OR(I198="",J198=""),"",I198-J198)</f>
        <v/>
      </c>
      <c r="Q198" s="14" t="str">
        <f t="shared" ref="Q198:Q261" si="22">IF(L198="","",IF(L198="Gana",3,IF(L198="Empata",1,0)))</f>
        <v/>
      </c>
      <c r="R198" s="14" t="str">
        <f t="shared" ref="R198:R261" si="23">IF(L198="","",IF(L198="Pierde",3,IF(L198="Empata",1,0)))</f>
        <v/>
      </c>
      <c r="S198" s="9"/>
    </row>
    <row r="199" spans="1:19" ht="14.25" customHeight="1">
      <c r="A199" s="9"/>
      <c r="B199" s="9"/>
      <c r="C199" s="9"/>
      <c r="D199" s="9"/>
      <c r="E199" s="9"/>
      <c r="F199" s="13"/>
      <c r="G199" s="9"/>
      <c r="H199" s="9"/>
      <c r="I199" s="9"/>
      <c r="J199" s="9"/>
      <c r="K199" s="14" t="str">
        <f t="shared" si="18"/>
        <v/>
      </c>
      <c r="L199" s="14" t="str">
        <f t="shared" si="19"/>
        <v/>
      </c>
      <c r="M199" s="9"/>
      <c r="N199" s="9"/>
      <c r="O199" s="14" t="str">
        <f t="shared" si="20"/>
        <v/>
      </c>
      <c r="P199" s="14" t="str">
        <f t="shared" si="21"/>
        <v/>
      </c>
      <c r="Q199" s="14" t="str">
        <f t="shared" si="22"/>
        <v/>
      </c>
      <c r="R199" s="14" t="str">
        <f t="shared" si="23"/>
        <v/>
      </c>
      <c r="S199" s="9"/>
    </row>
    <row r="200" spans="1:19" ht="14.25" customHeight="1">
      <c r="A200" s="9"/>
      <c r="B200" s="9"/>
      <c r="C200" s="9"/>
      <c r="D200" s="9"/>
      <c r="E200" s="9"/>
      <c r="F200" s="13"/>
      <c r="G200" s="9"/>
      <c r="H200" s="9"/>
      <c r="I200" s="9"/>
      <c r="J200" s="9"/>
      <c r="K200" s="14" t="str">
        <f t="shared" si="18"/>
        <v/>
      </c>
      <c r="L200" s="14" t="str">
        <f t="shared" si="19"/>
        <v/>
      </c>
      <c r="M200" s="9"/>
      <c r="N200" s="9"/>
      <c r="O200" s="14" t="str">
        <f t="shared" si="20"/>
        <v/>
      </c>
      <c r="P200" s="14" t="str">
        <f t="shared" si="21"/>
        <v/>
      </c>
      <c r="Q200" s="14" t="str">
        <f t="shared" si="22"/>
        <v/>
      </c>
      <c r="R200" s="14" t="str">
        <f t="shared" si="23"/>
        <v/>
      </c>
      <c r="S200" s="9"/>
    </row>
    <row r="201" spans="1:19" ht="14.25" customHeight="1">
      <c r="A201" s="9"/>
      <c r="B201" s="9"/>
      <c r="C201" s="9"/>
      <c r="D201" s="9"/>
      <c r="E201" s="9"/>
      <c r="F201" s="13"/>
      <c r="G201" s="9"/>
      <c r="H201" s="9"/>
      <c r="I201" s="9"/>
      <c r="J201" s="9"/>
      <c r="K201" s="14" t="str">
        <f t="shared" si="18"/>
        <v/>
      </c>
      <c r="L201" s="14" t="str">
        <f t="shared" si="19"/>
        <v/>
      </c>
      <c r="M201" s="9"/>
      <c r="N201" s="9"/>
      <c r="O201" s="14" t="str">
        <f t="shared" si="20"/>
        <v/>
      </c>
      <c r="P201" s="14" t="str">
        <f t="shared" si="21"/>
        <v/>
      </c>
      <c r="Q201" s="14" t="str">
        <f t="shared" si="22"/>
        <v/>
      </c>
      <c r="R201" s="14" t="str">
        <f t="shared" si="23"/>
        <v/>
      </c>
      <c r="S201" s="9"/>
    </row>
    <row r="202" spans="1:19" ht="14.25" customHeight="1">
      <c r="A202" s="9"/>
      <c r="B202" s="9"/>
      <c r="C202" s="9"/>
      <c r="D202" s="9"/>
      <c r="E202" s="9"/>
      <c r="F202" s="13"/>
      <c r="G202" s="9"/>
      <c r="H202" s="9"/>
      <c r="I202" s="9"/>
      <c r="J202" s="9"/>
      <c r="K202" s="14" t="str">
        <f t="shared" si="18"/>
        <v/>
      </c>
      <c r="L202" s="14" t="str">
        <f t="shared" si="19"/>
        <v/>
      </c>
      <c r="M202" s="9"/>
      <c r="N202" s="9"/>
      <c r="O202" s="14" t="str">
        <f t="shared" si="20"/>
        <v/>
      </c>
      <c r="P202" s="14" t="str">
        <f t="shared" si="21"/>
        <v/>
      </c>
      <c r="Q202" s="14" t="str">
        <f t="shared" si="22"/>
        <v/>
      </c>
      <c r="R202" s="14" t="str">
        <f t="shared" si="23"/>
        <v/>
      </c>
      <c r="S202" s="9"/>
    </row>
    <row r="203" spans="1:19" ht="14.25" customHeight="1">
      <c r="A203" s="9"/>
      <c r="B203" s="9"/>
      <c r="C203" s="9"/>
      <c r="D203" s="9"/>
      <c r="E203" s="9"/>
      <c r="F203" s="13"/>
      <c r="G203" s="9"/>
      <c r="H203" s="9"/>
      <c r="I203" s="9"/>
      <c r="J203" s="9"/>
      <c r="K203" s="14" t="str">
        <f t="shared" si="18"/>
        <v/>
      </c>
      <c r="L203" s="14" t="str">
        <f t="shared" si="19"/>
        <v/>
      </c>
      <c r="M203" s="9"/>
      <c r="N203" s="9"/>
      <c r="O203" s="14" t="str">
        <f t="shared" si="20"/>
        <v/>
      </c>
      <c r="P203" s="14" t="str">
        <f t="shared" si="21"/>
        <v/>
      </c>
      <c r="Q203" s="14" t="str">
        <f t="shared" si="22"/>
        <v/>
      </c>
      <c r="R203" s="14" t="str">
        <f t="shared" si="23"/>
        <v/>
      </c>
      <c r="S203" s="9"/>
    </row>
    <row r="204" spans="1:19" ht="14.25" customHeight="1">
      <c r="A204" s="9"/>
      <c r="B204" s="9"/>
      <c r="C204" s="9"/>
      <c r="D204" s="9"/>
      <c r="E204" s="9"/>
      <c r="F204" s="13"/>
      <c r="G204" s="9"/>
      <c r="H204" s="9"/>
      <c r="I204" s="9"/>
      <c r="J204" s="9"/>
      <c r="K204" s="14" t="str">
        <f t="shared" si="18"/>
        <v/>
      </c>
      <c r="L204" s="14" t="str">
        <f t="shared" si="19"/>
        <v/>
      </c>
      <c r="M204" s="9"/>
      <c r="N204" s="9"/>
      <c r="O204" s="14" t="str">
        <f t="shared" si="20"/>
        <v/>
      </c>
      <c r="P204" s="14" t="str">
        <f t="shared" si="21"/>
        <v/>
      </c>
      <c r="Q204" s="14" t="str">
        <f t="shared" si="22"/>
        <v/>
      </c>
      <c r="R204" s="14" t="str">
        <f t="shared" si="23"/>
        <v/>
      </c>
      <c r="S204" s="9"/>
    </row>
    <row r="205" spans="1:19" ht="14.25" customHeight="1">
      <c r="A205" s="9"/>
      <c r="B205" s="9"/>
      <c r="C205" s="9"/>
      <c r="D205" s="9"/>
      <c r="E205" s="9"/>
      <c r="F205" s="13"/>
      <c r="G205" s="9"/>
      <c r="H205" s="9"/>
      <c r="I205" s="9"/>
      <c r="J205" s="9"/>
      <c r="K205" s="14" t="str">
        <f t="shared" si="18"/>
        <v/>
      </c>
      <c r="L205" s="14" t="str">
        <f t="shared" si="19"/>
        <v/>
      </c>
      <c r="M205" s="9"/>
      <c r="N205" s="9"/>
      <c r="O205" s="14" t="str">
        <f t="shared" si="20"/>
        <v/>
      </c>
      <c r="P205" s="14" t="str">
        <f t="shared" si="21"/>
        <v/>
      </c>
      <c r="Q205" s="14" t="str">
        <f t="shared" si="22"/>
        <v/>
      </c>
      <c r="R205" s="14" t="str">
        <f t="shared" si="23"/>
        <v/>
      </c>
      <c r="S205" s="9"/>
    </row>
    <row r="206" spans="1:19" ht="14.25" customHeight="1">
      <c r="A206" s="9"/>
      <c r="B206" s="9"/>
      <c r="C206" s="9"/>
      <c r="D206" s="9"/>
      <c r="E206" s="9"/>
      <c r="F206" s="13"/>
      <c r="G206" s="9"/>
      <c r="H206" s="9"/>
      <c r="I206" s="9"/>
      <c r="J206" s="9"/>
      <c r="K206" s="14" t="str">
        <f t="shared" si="18"/>
        <v/>
      </c>
      <c r="L206" s="14" t="str">
        <f t="shared" si="19"/>
        <v/>
      </c>
      <c r="M206" s="9"/>
      <c r="N206" s="9"/>
      <c r="O206" s="14" t="str">
        <f t="shared" si="20"/>
        <v/>
      </c>
      <c r="P206" s="14" t="str">
        <f t="shared" si="21"/>
        <v/>
      </c>
      <c r="Q206" s="14" t="str">
        <f t="shared" si="22"/>
        <v/>
      </c>
      <c r="R206" s="14" t="str">
        <f t="shared" si="23"/>
        <v/>
      </c>
      <c r="S206" s="9"/>
    </row>
    <row r="207" spans="1:19" ht="14.25" customHeight="1">
      <c r="A207" s="9"/>
      <c r="B207" s="9"/>
      <c r="C207" s="9"/>
      <c r="D207" s="9"/>
      <c r="E207" s="9"/>
      <c r="F207" s="13"/>
      <c r="G207" s="9"/>
      <c r="H207" s="9"/>
      <c r="I207" s="9"/>
      <c r="J207" s="9"/>
      <c r="K207" s="14" t="str">
        <f t="shared" si="18"/>
        <v/>
      </c>
      <c r="L207" s="14" t="str">
        <f t="shared" si="19"/>
        <v/>
      </c>
      <c r="M207" s="9"/>
      <c r="N207" s="9"/>
      <c r="O207" s="14" t="str">
        <f t="shared" si="20"/>
        <v/>
      </c>
      <c r="P207" s="14" t="str">
        <f t="shared" si="21"/>
        <v/>
      </c>
      <c r="Q207" s="14" t="str">
        <f t="shared" si="22"/>
        <v/>
      </c>
      <c r="R207" s="14" t="str">
        <f t="shared" si="23"/>
        <v/>
      </c>
      <c r="S207" s="9"/>
    </row>
    <row r="208" spans="1:19" ht="14.25" customHeight="1">
      <c r="A208" s="9"/>
      <c r="B208" s="9"/>
      <c r="C208" s="9"/>
      <c r="D208" s="9"/>
      <c r="E208" s="9"/>
      <c r="F208" s="13"/>
      <c r="G208" s="9"/>
      <c r="H208" s="9"/>
      <c r="I208" s="9"/>
      <c r="J208" s="9"/>
      <c r="K208" s="14" t="str">
        <f t="shared" si="18"/>
        <v/>
      </c>
      <c r="L208" s="14" t="str">
        <f t="shared" si="19"/>
        <v/>
      </c>
      <c r="M208" s="9"/>
      <c r="N208" s="9"/>
      <c r="O208" s="14" t="str">
        <f t="shared" si="20"/>
        <v/>
      </c>
      <c r="P208" s="14" t="str">
        <f t="shared" si="21"/>
        <v/>
      </c>
      <c r="Q208" s="14" t="str">
        <f t="shared" si="22"/>
        <v/>
      </c>
      <c r="R208" s="14" t="str">
        <f t="shared" si="23"/>
        <v/>
      </c>
      <c r="S208" s="9"/>
    </row>
    <row r="209" spans="1:19" ht="14.25" customHeight="1">
      <c r="A209" s="9"/>
      <c r="B209" s="9"/>
      <c r="C209" s="9"/>
      <c r="D209" s="9"/>
      <c r="E209" s="9"/>
      <c r="F209" s="13"/>
      <c r="G209" s="9"/>
      <c r="H209" s="9"/>
      <c r="I209" s="9"/>
      <c r="J209" s="9"/>
      <c r="K209" s="14" t="str">
        <f t="shared" si="18"/>
        <v/>
      </c>
      <c r="L209" s="14" t="str">
        <f t="shared" si="19"/>
        <v/>
      </c>
      <c r="M209" s="9"/>
      <c r="N209" s="9"/>
      <c r="O209" s="14" t="str">
        <f t="shared" si="20"/>
        <v/>
      </c>
      <c r="P209" s="14" t="str">
        <f t="shared" si="21"/>
        <v/>
      </c>
      <c r="Q209" s="14" t="str">
        <f t="shared" si="22"/>
        <v/>
      </c>
      <c r="R209" s="14" t="str">
        <f t="shared" si="23"/>
        <v/>
      </c>
      <c r="S209" s="9"/>
    </row>
    <row r="210" spans="1:19" ht="14.25" customHeight="1">
      <c r="A210" s="9"/>
      <c r="B210" s="9"/>
      <c r="C210" s="9"/>
      <c r="D210" s="9"/>
      <c r="E210" s="9"/>
      <c r="F210" s="13"/>
      <c r="G210" s="9"/>
      <c r="H210" s="9"/>
      <c r="I210" s="9"/>
      <c r="J210" s="9"/>
      <c r="K210" s="14" t="str">
        <f t="shared" si="18"/>
        <v/>
      </c>
      <c r="L210" s="14" t="str">
        <f t="shared" si="19"/>
        <v/>
      </c>
      <c r="M210" s="9"/>
      <c r="N210" s="9"/>
      <c r="O210" s="14" t="str">
        <f t="shared" si="20"/>
        <v/>
      </c>
      <c r="P210" s="14" t="str">
        <f t="shared" si="21"/>
        <v/>
      </c>
      <c r="Q210" s="14" t="str">
        <f t="shared" si="22"/>
        <v/>
      </c>
      <c r="R210" s="14" t="str">
        <f t="shared" si="23"/>
        <v/>
      </c>
      <c r="S210" s="9"/>
    </row>
    <row r="211" spans="1:19" ht="14.25" customHeight="1">
      <c r="A211" s="9"/>
      <c r="B211" s="9"/>
      <c r="C211" s="9"/>
      <c r="D211" s="9"/>
      <c r="E211" s="9"/>
      <c r="F211" s="13"/>
      <c r="G211" s="9"/>
      <c r="H211" s="9"/>
      <c r="I211" s="9"/>
      <c r="J211" s="9"/>
      <c r="K211" s="14" t="str">
        <f t="shared" si="18"/>
        <v/>
      </c>
      <c r="L211" s="14" t="str">
        <f t="shared" si="19"/>
        <v/>
      </c>
      <c r="M211" s="9"/>
      <c r="N211" s="9"/>
      <c r="O211" s="14" t="str">
        <f t="shared" si="20"/>
        <v/>
      </c>
      <c r="P211" s="14" t="str">
        <f t="shared" si="21"/>
        <v/>
      </c>
      <c r="Q211" s="14" t="str">
        <f t="shared" si="22"/>
        <v/>
      </c>
      <c r="R211" s="14" t="str">
        <f t="shared" si="23"/>
        <v/>
      </c>
      <c r="S211" s="9"/>
    </row>
    <row r="212" spans="1:19" ht="14.25" customHeight="1">
      <c r="A212" s="9"/>
      <c r="B212" s="9"/>
      <c r="C212" s="9"/>
      <c r="D212" s="9"/>
      <c r="E212" s="9"/>
      <c r="F212" s="13"/>
      <c r="G212" s="9"/>
      <c r="H212" s="9"/>
      <c r="I212" s="9"/>
      <c r="J212" s="9"/>
      <c r="K212" s="14" t="str">
        <f t="shared" si="18"/>
        <v/>
      </c>
      <c r="L212" s="14" t="str">
        <f t="shared" si="19"/>
        <v/>
      </c>
      <c r="M212" s="9"/>
      <c r="N212" s="9"/>
      <c r="O212" s="14" t="str">
        <f t="shared" si="20"/>
        <v/>
      </c>
      <c r="P212" s="14" t="str">
        <f t="shared" si="21"/>
        <v/>
      </c>
      <c r="Q212" s="14" t="str">
        <f t="shared" si="22"/>
        <v/>
      </c>
      <c r="R212" s="14" t="str">
        <f t="shared" si="23"/>
        <v/>
      </c>
      <c r="S212" s="9"/>
    </row>
    <row r="213" spans="1:19" ht="14.25" customHeight="1">
      <c r="A213" s="9"/>
      <c r="B213" s="9"/>
      <c r="C213" s="9"/>
      <c r="D213" s="9"/>
      <c r="E213" s="9"/>
      <c r="F213" s="13"/>
      <c r="G213" s="9"/>
      <c r="H213" s="9"/>
      <c r="I213" s="9"/>
      <c r="J213" s="9"/>
      <c r="K213" s="14" t="str">
        <f t="shared" si="18"/>
        <v/>
      </c>
      <c r="L213" s="14" t="str">
        <f t="shared" si="19"/>
        <v/>
      </c>
      <c r="M213" s="9"/>
      <c r="N213" s="9"/>
      <c r="O213" s="14" t="str">
        <f t="shared" si="20"/>
        <v/>
      </c>
      <c r="P213" s="14" t="str">
        <f t="shared" si="21"/>
        <v/>
      </c>
      <c r="Q213" s="14" t="str">
        <f t="shared" si="22"/>
        <v/>
      </c>
      <c r="R213" s="14" t="str">
        <f t="shared" si="23"/>
        <v/>
      </c>
      <c r="S213" s="9"/>
    </row>
    <row r="214" spans="1:19" ht="14.25" customHeight="1">
      <c r="A214" s="9"/>
      <c r="B214" s="9"/>
      <c r="C214" s="9"/>
      <c r="D214" s="9"/>
      <c r="E214" s="9"/>
      <c r="F214" s="13"/>
      <c r="G214" s="9"/>
      <c r="H214" s="9"/>
      <c r="I214" s="9"/>
      <c r="J214" s="9"/>
      <c r="K214" s="14" t="str">
        <f t="shared" si="18"/>
        <v/>
      </c>
      <c r="L214" s="14" t="str">
        <f t="shared" si="19"/>
        <v/>
      </c>
      <c r="M214" s="9"/>
      <c r="N214" s="9"/>
      <c r="O214" s="14" t="str">
        <f t="shared" si="20"/>
        <v/>
      </c>
      <c r="P214" s="14" t="str">
        <f t="shared" si="21"/>
        <v/>
      </c>
      <c r="Q214" s="14" t="str">
        <f t="shared" si="22"/>
        <v/>
      </c>
      <c r="R214" s="14" t="str">
        <f t="shared" si="23"/>
        <v/>
      </c>
      <c r="S214" s="9"/>
    </row>
    <row r="215" spans="1:19" ht="14.25" customHeight="1">
      <c r="A215" s="9"/>
      <c r="B215" s="9"/>
      <c r="C215" s="9"/>
      <c r="D215" s="9"/>
      <c r="E215" s="9"/>
      <c r="F215" s="13"/>
      <c r="G215" s="9"/>
      <c r="H215" s="9"/>
      <c r="I215" s="9"/>
      <c r="J215" s="9"/>
      <c r="K215" s="14" t="str">
        <f t="shared" si="18"/>
        <v/>
      </c>
      <c r="L215" s="14" t="str">
        <f t="shared" si="19"/>
        <v/>
      </c>
      <c r="M215" s="9"/>
      <c r="N215" s="9"/>
      <c r="O215" s="14" t="str">
        <f t="shared" si="20"/>
        <v/>
      </c>
      <c r="P215" s="14" t="str">
        <f t="shared" si="21"/>
        <v/>
      </c>
      <c r="Q215" s="14" t="str">
        <f t="shared" si="22"/>
        <v/>
      </c>
      <c r="R215" s="14" t="str">
        <f t="shared" si="23"/>
        <v/>
      </c>
      <c r="S215" s="9"/>
    </row>
    <row r="216" spans="1:19" ht="14.25" customHeight="1">
      <c r="A216" s="9"/>
      <c r="B216" s="9"/>
      <c r="C216" s="9"/>
      <c r="D216" s="9"/>
      <c r="E216" s="9"/>
      <c r="F216" s="13"/>
      <c r="G216" s="9"/>
      <c r="H216" s="9"/>
      <c r="I216" s="9"/>
      <c r="J216" s="9"/>
      <c r="K216" s="14" t="str">
        <f t="shared" si="18"/>
        <v/>
      </c>
      <c r="L216" s="14" t="str">
        <f t="shared" si="19"/>
        <v/>
      </c>
      <c r="M216" s="9"/>
      <c r="N216" s="9"/>
      <c r="O216" s="14" t="str">
        <f t="shared" si="20"/>
        <v/>
      </c>
      <c r="P216" s="14" t="str">
        <f t="shared" si="21"/>
        <v/>
      </c>
      <c r="Q216" s="14" t="str">
        <f t="shared" si="22"/>
        <v/>
      </c>
      <c r="R216" s="14" t="str">
        <f t="shared" si="23"/>
        <v/>
      </c>
      <c r="S216" s="9"/>
    </row>
    <row r="217" spans="1:19" ht="14.25" customHeight="1">
      <c r="A217" s="9"/>
      <c r="B217" s="9"/>
      <c r="C217" s="9"/>
      <c r="D217" s="9"/>
      <c r="E217" s="9"/>
      <c r="F217" s="13"/>
      <c r="G217" s="9"/>
      <c r="H217" s="9"/>
      <c r="I217" s="9"/>
      <c r="J217" s="9"/>
      <c r="K217" s="14" t="str">
        <f t="shared" si="18"/>
        <v/>
      </c>
      <c r="L217" s="14" t="str">
        <f t="shared" si="19"/>
        <v/>
      </c>
      <c r="M217" s="9"/>
      <c r="N217" s="9"/>
      <c r="O217" s="14" t="str">
        <f t="shared" si="20"/>
        <v/>
      </c>
      <c r="P217" s="14" t="str">
        <f t="shared" si="21"/>
        <v/>
      </c>
      <c r="Q217" s="14" t="str">
        <f t="shared" si="22"/>
        <v/>
      </c>
      <c r="R217" s="14" t="str">
        <f t="shared" si="23"/>
        <v/>
      </c>
      <c r="S217" s="9"/>
    </row>
    <row r="218" spans="1:19" ht="14.25" customHeight="1">
      <c r="A218" s="9"/>
      <c r="B218" s="9"/>
      <c r="C218" s="9"/>
      <c r="D218" s="9"/>
      <c r="E218" s="9"/>
      <c r="F218" s="13"/>
      <c r="G218" s="9"/>
      <c r="H218" s="9"/>
      <c r="I218" s="9"/>
      <c r="J218" s="9"/>
      <c r="K218" s="14" t="str">
        <f t="shared" si="18"/>
        <v/>
      </c>
      <c r="L218" s="14" t="str">
        <f t="shared" si="19"/>
        <v/>
      </c>
      <c r="M218" s="9"/>
      <c r="N218" s="9"/>
      <c r="O218" s="14" t="str">
        <f t="shared" si="20"/>
        <v/>
      </c>
      <c r="P218" s="14" t="str">
        <f t="shared" si="21"/>
        <v/>
      </c>
      <c r="Q218" s="14" t="str">
        <f t="shared" si="22"/>
        <v/>
      </c>
      <c r="R218" s="14" t="str">
        <f t="shared" si="23"/>
        <v/>
      </c>
      <c r="S218" s="9"/>
    </row>
    <row r="219" spans="1:19" ht="14.25" customHeight="1">
      <c r="A219" s="9"/>
      <c r="B219" s="9"/>
      <c r="C219" s="9"/>
      <c r="D219" s="9"/>
      <c r="E219" s="9"/>
      <c r="F219" s="13"/>
      <c r="G219" s="9"/>
      <c r="H219" s="9"/>
      <c r="I219" s="9"/>
      <c r="J219" s="9"/>
      <c r="K219" s="14" t="str">
        <f t="shared" si="18"/>
        <v/>
      </c>
      <c r="L219" s="14" t="str">
        <f t="shared" si="19"/>
        <v/>
      </c>
      <c r="M219" s="9"/>
      <c r="N219" s="9"/>
      <c r="O219" s="14" t="str">
        <f t="shared" si="20"/>
        <v/>
      </c>
      <c r="P219" s="14" t="str">
        <f t="shared" si="21"/>
        <v/>
      </c>
      <c r="Q219" s="14" t="str">
        <f t="shared" si="22"/>
        <v/>
      </c>
      <c r="R219" s="14" t="str">
        <f t="shared" si="23"/>
        <v/>
      </c>
      <c r="S219" s="9"/>
    </row>
    <row r="220" spans="1:19" ht="14.25" customHeight="1">
      <c r="A220" s="9"/>
      <c r="B220" s="9"/>
      <c r="C220" s="9"/>
      <c r="D220" s="9"/>
      <c r="E220" s="9"/>
      <c r="F220" s="13"/>
      <c r="G220" s="9"/>
      <c r="H220" s="9"/>
      <c r="I220" s="9"/>
      <c r="J220" s="9"/>
      <c r="K220" s="14" t="str">
        <f t="shared" si="18"/>
        <v/>
      </c>
      <c r="L220" s="14" t="str">
        <f t="shared" si="19"/>
        <v/>
      </c>
      <c r="M220" s="9"/>
      <c r="N220" s="9"/>
      <c r="O220" s="14" t="str">
        <f t="shared" si="20"/>
        <v/>
      </c>
      <c r="P220" s="14" t="str">
        <f t="shared" si="21"/>
        <v/>
      </c>
      <c r="Q220" s="14" t="str">
        <f t="shared" si="22"/>
        <v/>
      </c>
      <c r="R220" s="14" t="str">
        <f t="shared" si="23"/>
        <v/>
      </c>
      <c r="S220" s="9"/>
    </row>
    <row r="221" spans="1:19" ht="14.25" customHeight="1">
      <c r="A221" s="9"/>
      <c r="B221" s="9"/>
      <c r="C221" s="9"/>
      <c r="D221" s="9"/>
      <c r="E221" s="9"/>
      <c r="F221" s="13"/>
      <c r="G221" s="9"/>
      <c r="H221" s="9"/>
      <c r="I221" s="9"/>
      <c r="J221" s="9"/>
      <c r="K221" s="14" t="str">
        <f t="shared" si="18"/>
        <v/>
      </c>
      <c r="L221" s="14" t="str">
        <f t="shared" si="19"/>
        <v/>
      </c>
      <c r="M221" s="9"/>
      <c r="N221" s="9"/>
      <c r="O221" s="14" t="str">
        <f t="shared" si="20"/>
        <v/>
      </c>
      <c r="P221" s="14" t="str">
        <f t="shared" si="21"/>
        <v/>
      </c>
      <c r="Q221" s="14" t="str">
        <f t="shared" si="22"/>
        <v/>
      </c>
      <c r="R221" s="14" t="str">
        <f t="shared" si="23"/>
        <v/>
      </c>
      <c r="S221" s="9"/>
    </row>
    <row r="222" spans="1:19" ht="14.25" customHeight="1">
      <c r="A222" s="9"/>
      <c r="B222" s="9"/>
      <c r="C222" s="9"/>
      <c r="D222" s="9"/>
      <c r="E222" s="9"/>
      <c r="F222" s="13"/>
      <c r="G222" s="9"/>
      <c r="H222" s="9"/>
      <c r="I222" s="9"/>
      <c r="J222" s="9"/>
      <c r="K222" s="14" t="str">
        <f t="shared" si="18"/>
        <v/>
      </c>
      <c r="L222" s="14" t="str">
        <f t="shared" si="19"/>
        <v/>
      </c>
      <c r="M222" s="9"/>
      <c r="N222" s="9"/>
      <c r="O222" s="14" t="str">
        <f t="shared" si="20"/>
        <v/>
      </c>
      <c r="P222" s="14" t="str">
        <f t="shared" si="21"/>
        <v/>
      </c>
      <c r="Q222" s="14" t="str">
        <f t="shared" si="22"/>
        <v/>
      </c>
      <c r="R222" s="14" t="str">
        <f t="shared" si="23"/>
        <v/>
      </c>
      <c r="S222" s="9"/>
    </row>
    <row r="223" spans="1:19" ht="14.25" customHeight="1">
      <c r="A223" s="9"/>
      <c r="B223" s="9"/>
      <c r="C223" s="9"/>
      <c r="D223" s="9"/>
      <c r="E223" s="9"/>
      <c r="F223" s="13"/>
      <c r="G223" s="9"/>
      <c r="H223" s="9"/>
      <c r="I223" s="9"/>
      <c r="J223" s="9"/>
      <c r="K223" s="14" t="str">
        <f t="shared" si="18"/>
        <v/>
      </c>
      <c r="L223" s="14" t="str">
        <f t="shared" si="19"/>
        <v/>
      </c>
      <c r="M223" s="9"/>
      <c r="N223" s="9"/>
      <c r="O223" s="14" t="str">
        <f t="shared" si="20"/>
        <v/>
      </c>
      <c r="P223" s="14" t="str">
        <f t="shared" si="21"/>
        <v/>
      </c>
      <c r="Q223" s="14" t="str">
        <f t="shared" si="22"/>
        <v/>
      </c>
      <c r="R223" s="14" t="str">
        <f t="shared" si="23"/>
        <v/>
      </c>
      <c r="S223" s="9"/>
    </row>
    <row r="224" spans="1:19" ht="14.25" customHeight="1">
      <c r="A224" s="9"/>
      <c r="B224" s="9"/>
      <c r="C224" s="9"/>
      <c r="D224" s="9"/>
      <c r="E224" s="9"/>
      <c r="F224" s="13"/>
      <c r="G224" s="9"/>
      <c r="H224" s="9"/>
      <c r="I224" s="9"/>
      <c r="J224" s="9"/>
      <c r="K224" s="14" t="str">
        <f t="shared" si="18"/>
        <v/>
      </c>
      <c r="L224" s="14" t="str">
        <f t="shared" si="19"/>
        <v/>
      </c>
      <c r="M224" s="9"/>
      <c r="N224" s="9"/>
      <c r="O224" s="14" t="str">
        <f t="shared" si="20"/>
        <v/>
      </c>
      <c r="P224" s="14" t="str">
        <f t="shared" si="21"/>
        <v/>
      </c>
      <c r="Q224" s="14" t="str">
        <f t="shared" si="22"/>
        <v/>
      </c>
      <c r="R224" s="14" t="str">
        <f t="shared" si="23"/>
        <v/>
      </c>
      <c r="S224" s="9"/>
    </row>
    <row r="225" spans="1:19" ht="14.25" customHeight="1">
      <c r="A225" s="9"/>
      <c r="B225" s="9"/>
      <c r="C225" s="9"/>
      <c r="D225" s="9"/>
      <c r="E225" s="9"/>
      <c r="F225" s="13"/>
      <c r="G225" s="9"/>
      <c r="H225" s="9"/>
      <c r="I225" s="9"/>
      <c r="J225" s="9"/>
      <c r="K225" s="14" t="str">
        <f t="shared" si="18"/>
        <v/>
      </c>
      <c r="L225" s="14" t="str">
        <f t="shared" si="19"/>
        <v/>
      </c>
      <c r="M225" s="9"/>
      <c r="N225" s="9"/>
      <c r="O225" s="14" t="str">
        <f t="shared" si="20"/>
        <v/>
      </c>
      <c r="P225" s="14" t="str">
        <f t="shared" si="21"/>
        <v/>
      </c>
      <c r="Q225" s="14" t="str">
        <f t="shared" si="22"/>
        <v/>
      </c>
      <c r="R225" s="14" t="str">
        <f t="shared" si="23"/>
        <v/>
      </c>
      <c r="S225" s="9"/>
    </row>
    <row r="226" spans="1:19" ht="14.25" customHeight="1">
      <c r="A226" s="9"/>
      <c r="B226" s="9"/>
      <c r="C226" s="9"/>
      <c r="D226" s="9"/>
      <c r="E226" s="9"/>
      <c r="F226" s="13"/>
      <c r="G226" s="9"/>
      <c r="H226" s="9"/>
      <c r="I226" s="9"/>
      <c r="J226" s="9"/>
      <c r="K226" s="14" t="str">
        <f t="shared" si="18"/>
        <v/>
      </c>
      <c r="L226" s="14" t="str">
        <f t="shared" si="19"/>
        <v/>
      </c>
      <c r="M226" s="9"/>
      <c r="N226" s="9"/>
      <c r="O226" s="14" t="str">
        <f t="shared" si="20"/>
        <v/>
      </c>
      <c r="P226" s="14" t="str">
        <f t="shared" si="21"/>
        <v/>
      </c>
      <c r="Q226" s="14" t="str">
        <f t="shared" si="22"/>
        <v/>
      </c>
      <c r="R226" s="14" t="str">
        <f t="shared" si="23"/>
        <v/>
      </c>
      <c r="S226" s="9"/>
    </row>
    <row r="227" spans="1:19" ht="14.25" customHeight="1">
      <c r="A227" s="9"/>
      <c r="B227" s="9"/>
      <c r="C227" s="9"/>
      <c r="D227" s="9"/>
      <c r="E227" s="9"/>
      <c r="F227" s="13"/>
      <c r="G227" s="9"/>
      <c r="H227" s="9"/>
      <c r="I227" s="9"/>
      <c r="J227" s="9"/>
      <c r="K227" s="14" t="str">
        <f t="shared" si="18"/>
        <v/>
      </c>
      <c r="L227" s="14" t="str">
        <f t="shared" si="19"/>
        <v/>
      </c>
      <c r="M227" s="9"/>
      <c r="N227" s="9"/>
      <c r="O227" s="14" t="str">
        <f t="shared" si="20"/>
        <v/>
      </c>
      <c r="P227" s="14" t="str">
        <f t="shared" si="21"/>
        <v/>
      </c>
      <c r="Q227" s="14" t="str">
        <f t="shared" si="22"/>
        <v/>
      </c>
      <c r="R227" s="14" t="str">
        <f t="shared" si="23"/>
        <v/>
      </c>
      <c r="S227" s="9"/>
    </row>
    <row r="228" spans="1:19" ht="14.25" customHeight="1">
      <c r="A228" s="9"/>
      <c r="B228" s="9"/>
      <c r="C228" s="9"/>
      <c r="D228" s="9"/>
      <c r="E228" s="9"/>
      <c r="F228" s="13"/>
      <c r="G228" s="9"/>
      <c r="H228" s="9"/>
      <c r="I228" s="9"/>
      <c r="J228" s="9"/>
      <c r="K228" s="14" t="str">
        <f t="shared" si="18"/>
        <v/>
      </c>
      <c r="L228" s="14" t="str">
        <f t="shared" si="19"/>
        <v/>
      </c>
      <c r="M228" s="9"/>
      <c r="N228" s="9"/>
      <c r="O228" s="14" t="str">
        <f t="shared" si="20"/>
        <v/>
      </c>
      <c r="P228" s="14" t="str">
        <f t="shared" si="21"/>
        <v/>
      </c>
      <c r="Q228" s="14" t="str">
        <f t="shared" si="22"/>
        <v/>
      </c>
      <c r="R228" s="14" t="str">
        <f t="shared" si="23"/>
        <v/>
      </c>
      <c r="S228" s="9"/>
    </row>
    <row r="229" spans="1:19" ht="14.25" customHeight="1">
      <c r="A229" s="9"/>
      <c r="B229" s="9"/>
      <c r="C229" s="9"/>
      <c r="D229" s="9"/>
      <c r="E229" s="9"/>
      <c r="F229" s="13"/>
      <c r="G229" s="9"/>
      <c r="H229" s="9"/>
      <c r="I229" s="9"/>
      <c r="J229" s="9"/>
      <c r="K229" s="14" t="str">
        <f t="shared" si="18"/>
        <v/>
      </c>
      <c r="L229" s="14" t="str">
        <f t="shared" si="19"/>
        <v/>
      </c>
      <c r="M229" s="9"/>
      <c r="N229" s="9"/>
      <c r="O229" s="14" t="str">
        <f t="shared" si="20"/>
        <v/>
      </c>
      <c r="P229" s="14" t="str">
        <f t="shared" si="21"/>
        <v/>
      </c>
      <c r="Q229" s="14" t="str">
        <f t="shared" si="22"/>
        <v/>
      </c>
      <c r="R229" s="14" t="str">
        <f t="shared" si="23"/>
        <v/>
      </c>
      <c r="S229" s="9"/>
    </row>
    <row r="230" spans="1:19" ht="14.25" customHeight="1">
      <c r="A230" s="9"/>
      <c r="B230" s="9"/>
      <c r="C230" s="9"/>
      <c r="D230" s="9"/>
      <c r="E230" s="9"/>
      <c r="F230" s="13"/>
      <c r="G230" s="9"/>
      <c r="H230" s="9"/>
      <c r="I230" s="9"/>
      <c r="J230" s="9"/>
      <c r="K230" s="14" t="str">
        <f t="shared" si="18"/>
        <v/>
      </c>
      <c r="L230" s="14" t="str">
        <f t="shared" si="19"/>
        <v/>
      </c>
      <c r="M230" s="9"/>
      <c r="N230" s="9"/>
      <c r="O230" s="14" t="str">
        <f t="shared" si="20"/>
        <v/>
      </c>
      <c r="P230" s="14" t="str">
        <f t="shared" si="21"/>
        <v/>
      </c>
      <c r="Q230" s="14" t="str">
        <f t="shared" si="22"/>
        <v/>
      </c>
      <c r="R230" s="14" t="str">
        <f t="shared" si="23"/>
        <v/>
      </c>
      <c r="S230" s="9"/>
    </row>
    <row r="231" spans="1:19" ht="14.25" customHeight="1">
      <c r="A231" s="9"/>
      <c r="B231" s="9"/>
      <c r="C231" s="9"/>
      <c r="D231" s="9"/>
      <c r="E231" s="9"/>
      <c r="F231" s="13"/>
      <c r="G231" s="9"/>
      <c r="H231" s="9"/>
      <c r="I231" s="9"/>
      <c r="J231" s="9"/>
      <c r="K231" s="14" t="str">
        <f t="shared" si="18"/>
        <v/>
      </c>
      <c r="L231" s="14" t="str">
        <f t="shared" si="19"/>
        <v/>
      </c>
      <c r="M231" s="9"/>
      <c r="N231" s="9"/>
      <c r="O231" s="14" t="str">
        <f t="shared" si="20"/>
        <v/>
      </c>
      <c r="P231" s="14" t="str">
        <f t="shared" si="21"/>
        <v/>
      </c>
      <c r="Q231" s="14" t="str">
        <f t="shared" si="22"/>
        <v/>
      </c>
      <c r="R231" s="14" t="str">
        <f t="shared" si="23"/>
        <v/>
      </c>
      <c r="S231" s="9"/>
    </row>
    <row r="232" spans="1:19" ht="14.25" customHeight="1">
      <c r="A232" s="9"/>
      <c r="B232" s="9"/>
      <c r="C232" s="9"/>
      <c r="D232" s="9"/>
      <c r="E232" s="9"/>
      <c r="F232" s="13"/>
      <c r="G232" s="9"/>
      <c r="H232" s="9"/>
      <c r="I232" s="9"/>
      <c r="J232" s="9"/>
      <c r="K232" s="14" t="str">
        <f t="shared" si="18"/>
        <v/>
      </c>
      <c r="L232" s="14" t="str">
        <f t="shared" si="19"/>
        <v/>
      </c>
      <c r="M232" s="9"/>
      <c r="N232" s="9"/>
      <c r="O232" s="14" t="str">
        <f t="shared" si="20"/>
        <v/>
      </c>
      <c r="P232" s="14" t="str">
        <f t="shared" si="21"/>
        <v/>
      </c>
      <c r="Q232" s="14" t="str">
        <f t="shared" si="22"/>
        <v/>
      </c>
      <c r="R232" s="14" t="str">
        <f t="shared" si="23"/>
        <v/>
      </c>
      <c r="S232" s="9"/>
    </row>
    <row r="233" spans="1:19" ht="14.25" customHeight="1">
      <c r="A233" s="9"/>
      <c r="B233" s="9"/>
      <c r="C233" s="9"/>
      <c r="D233" s="9"/>
      <c r="E233" s="9"/>
      <c r="F233" s="13"/>
      <c r="G233" s="9"/>
      <c r="H233" s="9"/>
      <c r="I233" s="9"/>
      <c r="J233" s="9"/>
      <c r="K233" s="14" t="str">
        <f t="shared" si="18"/>
        <v/>
      </c>
      <c r="L233" s="14" t="str">
        <f t="shared" si="19"/>
        <v/>
      </c>
      <c r="M233" s="9"/>
      <c r="N233" s="9"/>
      <c r="O233" s="14" t="str">
        <f t="shared" si="20"/>
        <v/>
      </c>
      <c r="P233" s="14" t="str">
        <f t="shared" si="21"/>
        <v/>
      </c>
      <c r="Q233" s="14" t="str">
        <f t="shared" si="22"/>
        <v/>
      </c>
      <c r="R233" s="14" t="str">
        <f t="shared" si="23"/>
        <v/>
      </c>
      <c r="S233" s="9"/>
    </row>
    <row r="234" spans="1:19" ht="14.25" customHeight="1">
      <c r="A234" s="9"/>
      <c r="B234" s="9"/>
      <c r="C234" s="9"/>
      <c r="D234" s="9"/>
      <c r="E234" s="9"/>
      <c r="F234" s="13"/>
      <c r="G234" s="9"/>
      <c r="H234" s="9"/>
      <c r="I234" s="9"/>
      <c r="J234" s="9"/>
      <c r="K234" s="14" t="str">
        <f t="shared" si="18"/>
        <v/>
      </c>
      <c r="L234" s="14" t="str">
        <f t="shared" si="19"/>
        <v/>
      </c>
      <c r="M234" s="9"/>
      <c r="N234" s="9"/>
      <c r="O234" s="14" t="str">
        <f t="shared" si="20"/>
        <v/>
      </c>
      <c r="P234" s="14" t="str">
        <f t="shared" si="21"/>
        <v/>
      </c>
      <c r="Q234" s="14" t="str">
        <f t="shared" si="22"/>
        <v/>
      </c>
      <c r="R234" s="14" t="str">
        <f t="shared" si="23"/>
        <v/>
      </c>
      <c r="S234" s="9"/>
    </row>
    <row r="235" spans="1:19" ht="14.25" customHeight="1">
      <c r="A235" s="9"/>
      <c r="B235" s="9"/>
      <c r="C235" s="9"/>
      <c r="D235" s="9"/>
      <c r="E235" s="9"/>
      <c r="F235" s="13"/>
      <c r="G235" s="9"/>
      <c r="H235" s="9"/>
      <c r="I235" s="9"/>
      <c r="J235" s="9"/>
      <c r="K235" s="14" t="str">
        <f t="shared" si="18"/>
        <v/>
      </c>
      <c r="L235" s="14" t="str">
        <f t="shared" si="19"/>
        <v/>
      </c>
      <c r="M235" s="9"/>
      <c r="N235" s="9"/>
      <c r="O235" s="14" t="str">
        <f t="shared" si="20"/>
        <v/>
      </c>
      <c r="P235" s="14" t="str">
        <f t="shared" si="21"/>
        <v/>
      </c>
      <c r="Q235" s="14" t="str">
        <f t="shared" si="22"/>
        <v/>
      </c>
      <c r="R235" s="14" t="str">
        <f t="shared" si="23"/>
        <v/>
      </c>
      <c r="S235" s="9"/>
    </row>
    <row r="236" spans="1:19" ht="14.25" customHeight="1">
      <c r="A236" s="9"/>
      <c r="B236" s="9"/>
      <c r="C236" s="9"/>
      <c r="D236" s="9"/>
      <c r="E236" s="9"/>
      <c r="F236" s="13"/>
      <c r="G236" s="9"/>
      <c r="H236" s="9"/>
      <c r="I236" s="9"/>
      <c r="J236" s="9"/>
      <c r="K236" s="14" t="str">
        <f t="shared" si="18"/>
        <v/>
      </c>
      <c r="L236" s="14" t="str">
        <f t="shared" si="19"/>
        <v/>
      </c>
      <c r="M236" s="9"/>
      <c r="N236" s="9"/>
      <c r="O236" s="14" t="str">
        <f t="shared" si="20"/>
        <v/>
      </c>
      <c r="P236" s="14" t="str">
        <f t="shared" si="21"/>
        <v/>
      </c>
      <c r="Q236" s="14" t="str">
        <f t="shared" si="22"/>
        <v/>
      </c>
      <c r="R236" s="14" t="str">
        <f t="shared" si="23"/>
        <v/>
      </c>
      <c r="S236" s="9"/>
    </row>
    <row r="237" spans="1:19" ht="14.25" customHeight="1">
      <c r="A237" s="9"/>
      <c r="B237" s="9"/>
      <c r="C237" s="9"/>
      <c r="D237" s="9"/>
      <c r="E237" s="9"/>
      <c r="F237" s="13"/>
      <c r="G237" s="9"/>
      <c r="H237" s="9"/>
      <c r="I237" s="9"/>
      <c r="J237" s="9"/>
      <c r="K237" s="14" t="str">
        <f t="shared" si="18"/>
        <v/>
      </c>
      <c r="L237" s="14" t="str">
        <f t="shared" si="19"/>
        <v/>
      </c>
      <c r="M237" s="9"/>
      <c r="N237" s="9"/>
      <c r="O237" s="14" t="str">
        <f t="shared" si="20"/>
        <v/>
      </c>
      <c r="P237" s="14" t="str">
        <f t="shared" si="21"/>
        <v/>
      </c>
      <c r="Q237" s="14" t="str">
        <f t="shared" si="22"/>
        <v/>
      </c>
      <c r="R237" s="14" t="str">
        <f t="shared" si="23"/>
        <v/>
      </c>
      <c r="S237" s="9"/>
    </row>
    <row r="238" spans="1:19" ht="14.25" customHeight="1">
      <c r="A238" s="9"/>
      <c r="B238" s="9"/>
      <c r="C238" s="9"/>
      <c r="D238" s="9"/>
      <c r="E238" s="9"/>
      <c r="F238" s="13"/>
      <c r="G238" s="9"/>
      <c r="H238" s="9"/>
      <c r="I238" s="9"/>
      <c r="J238" s="9"/>
      <c r="K238" s="14" t="str">
        <f t="shared" si="18"/>
        <v/>
      </c>
      <c r="L238" s="14" t="str">
        <f t="shared" si="19"/>
        <v/>
      </c>
      <c r="M238" s="9"/>
      <c r="N238" s="9"/>
      <c r="O238" s="14" t="str">
        <f t="shared" si="20"/>
        <v/>
      </c>
      <c r="P238" s="14" t="str">
        <f t="shared" si="21"/>
        <v/>
      </c>
      <c r="Q238" s="14" t="str">
        <f t="shared" si="22"/>
        <v/>
      </c>
      <c r="R238" s="14" t="str">
        <f t="shared" si="23"/>
        <v/>
      </c>
      <c r="S238" s="9"/>
    </row>
    <row r="239" spans="1:19" ht="14.25" customHeight="1">
      <c r="A239" s="9"/>
      <c r="B239" s="9"/>
      <c r="C239" s="9"/>
      <c r="D239" s="9"/>
      <c r="E239" s="9"/>
      <c r="F239" s="13"/>
      <c r="G239" s="9"/>
      <c r="H239" s="9"/>
      <c r="I239" s="9"/>
      <c r="J239" s="9"/>
      <c r="K239" s="14" t="str">
        <f t="shared" si="18"/>
        <v/>
      </c>
      <c r="L239" s="14" t="str">
        <f t="shared" si="19"/>
        <v/>
      </c>
      <c r="M239" s="9"/>
      <c r="N239" s="9"/>
      <c r="O239" s="14" t="str">
        <f t="shared" si="20"/>
        <v/>
      </c>
      <c r="P239" s="14" t="str">
        <f t="shared" si="21"/>
        <v/>
      </c>
      <c r="Q239" s="14" t="str">
        <f t="shared" si="22"/>
        <v/>
      </c>
      <c r="R239" s="14" t="str">
        <f t="shared" si="23"/>
        <v/>
      </c>
      <c r="S239" s="9"/>
    </row>
    <row r="240" spans="1:19" ht="14.25" customHeight="1">
      <c r="A240" s="9"/>
      <c r="B240" s="9"/>
      <c r="C240" s="9"/>
      <c r="D240" s="9"/>
      <c r="E240" s="9"/>
      <c r="F240" s="13"/>
      <c r="G240" s="9"/>
      <c r="H240" s="9"/>
      <c r="I240" s="9"/>
      <c r="J240" s="9"/>
      <c r="K240" s="14" t="str">
        <f t="shared" si="18"/>
        <v/>
      </c>
      <c r="L240" s="14" t="str">
        <f t="shared" si="19"/>
        <v/>
      </c>
      <c r="M240" s="9"/>
      <c r="N240" s="9"/>
      <c r="O240" s="14" t="str">
        <f t="shared" si="20"/>
        <v/>
      </c>
      <c r="P240" s="14" t="str">
        <f t="shared" si="21"/>
        <v/>
      </c>
      <c r="Q240" s="14" t="str">
        <f t="shared" si="22"/>
        <v/>
      </c>
      <c r="R240" s="14" t="str">
        <f t="shared" si="23"/>
        <v/>
      </c>
      <c r="S240" s="9"/>
    </row>
    <row r="241" spans="1:19" ht="14.25" customHeight="1">
      <c r="A241" s="9"/>
      <c r="B241" s="9"/>
      <c r="C241" s="9"/>
      <c r="D241" s="9"/>
      <c r="E241" s="9"/>
      <c r="F241" s="13"/>
      <c r="G241" s="9"/>
      <c r="H241" s="9"/>
      <c r="I241" s="9"/>
      <c r="J241" s="9"/>
      <c r="K241" s="14" t="str">
        <f t="shared" si="18"/>
        <v/>
      </c>
      <c r="L241" s="14" t="str">
        <f t="shared" si="19"/>
        <v/>
      </c>
      <c r="M241" s="9"/>
      <c r="N241" s="9"/>
      <c r="O241" s="14" t="str">
        <f t="shared" si="20"/>
        <v/>
      </c>
      <c r="P241" s="14" t="str">
        <f t="shared" si="21"/>
        <v/>
      </c>
      <c r="Q241" s="14" t="str">
        <f t="shared" si="22"/>
        <v/>
      </c>
      <c r="R241" s="14" t="str">
        <f t="shared" si="23"/>
        <v/>
      </c>
      <c r="S241" s="9"/>
    </row>
    <row r="242" spans="1:19" ht="14.25" customHeight="1">
      <c r="A242" s="9"/>
      <c r="B242" s="9"/>
      <c r="C242" s="9"/>
      <c r="D242" s="9"/>
      <c r="E242" s="9"/>
      <c r="F242" s="13"/>
      <c r="G242" s="9"/>
      <c r="H242" s="9"/>
      <c r="I242" s="9"/>
      <c r="J242" s="9"/>
      <c r="K242" s="14" t="str">
        <f t="shared" si="18"/>
        <v/>
      </c>
      <c r="L242" s="14" t="str">
        <f t="shared" si="19"/>
        <v/>
      </c>
      <c r="M242" s="9"/>
      <c r="N242" s="9"/>
      <c r="O242" s="14" t="str">
        <f t="shared" si="20"/>
        <v/>
      </c>
      <c r="P242" s="14" t="str">
        <f t="shared" si="21"/>
        <v/>
      </c>
      <c r="Q242" s="14" t="str">
        <f t="shared" si="22"/>
        <v/>
      </c>
      <c r="R242" s="14" t="str">
        <f t="shared" si="23"/>
        <v/>
      </c>
      <c r="S242" s="9"/>
    </row>
    <row r="243" spans="1:19" ht="14.25" customHeight="1">
      <c r="A243" s="9"/>
      <c r="B243" s="9"/>
      <c r="C243" s="9"/>
      <c r="D243" s="9"/>
      <c r="E243" s="9"/>
      <c r="F243" s="13"/>
      <c r="G243" s="9"/>
      <c r="H243" s="9"/>
      <c r="I243" s="9"/>
      <c r="J243" s="9"/>
      <c r="K243" s="14" t="str">
        <f t="shared" si="18"/>
        <v/>
      </c>
      <c r="L243" s="14" t="str">
        <f t="shared" si="19"/>
        <v/>
      </c>
      <c r="M243" s="9"/>
      <c r="N243" s="9"/>
      <c r="O243" s="14" t="str">
        <f t="shared" si="20"/>
        <v/>
      </c>
      <c r="P243" s="14" t="str">
        <f t="shared" si="21"/>
        <v/>
      </c>
      <c r="Q243" s="14" t="str">
        <f t="shared" si="22"/>
        <v/>
      </c>
      <c r="R243" s="14" t="str">
        <f t="shared" si="23"/>
        <v/>
      </c>
      <c r="S243" s="9"/>
    </row>
    <row r="244" spans="1:19" ht="14.25" customHeight="1">
      <c r="A244" s="9"/>
      <c r="B244" s="9"/>
      <c r="C244" s="9"/>
      <c r="D244" s="9"/>
      <c r="E244" s="9"/>
      <c r="F244" s="13"/>
      <c r="G244" s="9"/>
      <c r="H244" s="9"/>
      <c r="I244" s="9"/>
      <c r="J244" s="9"/>
      <c r="K244" s="14" t="str">
        <f t="shared" si="18"/>
        <v/>
      </c>
      <c r="L244" s="14" t="str">
        <f t="shared" si="19"/>
        <v/>
      </c>
      <c r="M244" s="9"/>
      <c r="N244" s="9"/>
      <c r="O244" s="14" t="str">
        <f t="shared" si="20"/>
        <v/>
      </c>
      <c r="P244" s="14" t="str">
        <f t="shared" si="21"/>
        <v/>
      </c>
      <c r="Q244" s="14" t="str">
        <f t="shared" si="22"/>
        <v/>
      </c>
      <c r="R244" s="14" t="str">
        <f t="shared" si="23"/>
        <v/>
      </c>
      <c r="S244" s="9"/>
    </row>
    <row r="245" spans="1:19" ht="14.25" customHeight="1">
      <c r="A245" s="9"/>
      <c r="B245" s="9"/>
      <c r="C245" s="9"/>
      <c r="D245" s="9"/>
      <c r="E245" s="9"/>
      <c r="F245" s="13"/>
      <c r="G245" s="9"/>
      <c r="H245" s="9"/>
      <c r="I245" s="9"/>
      <c r="J245" s="9"/>
      <c r="K245" s="14" t="str">
        <f t="shared" si="18"/>
        <v/>
      </c>
      <c r="L245" s="14" t="str">
        <f t="shared" si="19"/>
        <v/>
      </c>
      <c r="M245" s="9"/>
      <c r="N245" s="9"/>
      <c r="O245" s="14" t="str">
        <f t="shared" si="20"/>
        <v/>
      </c>
      <c r="P245" s="14" t="str">
        <f t="shared" si="21"/>
        <v/>
      </c>
      <c r="Q245" s="14" t="str">
        <f t="shared" si="22"/>
        <v/>
      </c>
      <c r="R245" s="14" t="str">
        <f t="shared" si="23"/>
        <v/>
      </c>
      <c r="S245" s="9"/>
    </row>
    <row r="246" spans="1:19" ht="14.25" customHeight="1">
      <c r="A246" s="9"/>
      <c r="B246" s="9"/>
      <c r="C246" s="9"/>
      <c r="D246" s="9"/>
      <c r="E246" s="9"/>
      <c r="F246" s="13"/>
      <c r="G246" s="9"/>
      <c r="H246" s="9"/>
      <c r="I246" s="9"/>
      <c r="J246" s="9"/>
      <c r="K246" s="14" t="str">
        <f t="shared" si="18"/>
        <v/>
      </c>
      <c r="L246" s="14" t="str">
        <f t="shared" si="19"/>
        <v/>
      </c>
      <c r="M246" s="9"/>
      <c r="N246" s="9"/>
      <c r="O246" s="14" t="str">
        <f t="shared" si="20"/>
        <v/>
      </c>
      <c r="P246" s="14" t="str">
        <f t="shared" si="21"/>
        <v/>
      </c>
      <c r="Q246" s="14" t="str">
        <f t="shared" si="22"/>
        <v/>
      </c>
      <c r="R246" s="14" t="str">
        <f t="shared" si="23"/>
        <v/>
      </c>
      <c r="S246" s="9"/>
    </row>
    <row r="247" spans="1:19" ht="14.25" customHeight="1">
      <c r="A247" s="9"/>
      <c r="B247" s="9"/>
      <c r="C247" s="9"/>
      <c r="D247" s="9"/>
      <c r="E247" s="9"/>
      <c r="F247" s="13"/>
      <c r="G247" s="9"/>
      <c r="H247" s="9"/>
      <c r="I247" s="9"/>
      <c r="J247" s="9"/>
      <c r="K247" s="14" t="str">
        <f t="shared" si="18"/>
        <v/>
      </c>
      <c r="L247" s="14" t="str">
        <f t="shared" si="19"/>
        <v/>
      </c>
      <c r="M247" s="9"/>
      <c r="N247" s="9"/>
      <c r="O247" s="14" t="str">
        <f t="shared" si="20"/>
        <v/>
      </c>
      <c r="P247" s="14" t="str">
        <f t="shared" si="21"/>
        <v/>
      </c>
      <c r="Q247" s="14" t="str">
        <f t="shared" si="22"/>
        <v/>
      </c>
      <c r="R247" s="14" t="str">
        <f t="shared" si="23"/>
        <v/>
      </c>
      <c r="S247" s="9"/>
    </row>
    <row r="248" spans="1:19" ht="14.25" customHeight="1">
      <c r="A248" s="9"/>
      <c r="B248" s="9"/>
      <c r="C248" s="9"/>
      <c r="D248" s="9"/>
      <c r="E248" s="9"/>
      <c r="F248" s="13"/>
      <c r="G248" s="9"/>
      <c r="H248" s="9"/>
      <c r="I248" s="9"/>
      <c r="J248" s="9"/>
      <c r="K248" s="14" t="str">
        <f t="shared" si="18"/>
        <v/>
      </c>
      <c r="L248" s="14" t="str">
        <f t="shared" si="19"/>
        <v/>
      </c>
      <c r="M248" s="9"/>
      <c r="N248" s="9"/>
      <c r="O248" s="14" t="str">
        <f t="shared" si="20"/>
        <v/>
      </c>
      <c r="P248" s="14" t="str">
        <f t="shared" si="21"/>
        <v/>
      </c>
      <c r="Q248" s="14" t="str">
        <f t="shared" si="22"/>
        <v/>
      </c>
      <c r="R248" s="14" t="str">
        <f t="shared" si="23"/>
        <v/>
      </c>
      <c r="S248" s="9"/>
    </row>
    <row r="249" spans="1:19" ht="14.25" customHeight="1">
      <c r="A249" s="9"/>
      <c r="B249" s="9"/>
      <c r="C249" s="9"/>
      <c r="D249" s="9"/>
      <c r="E249" s="9"/>
      <c r="F249" s="13"/>
      <c r="G249" s="9"/>
      <c r="H249" s="9"/>
      <c r="I249" s="9"/>
      <c r="J249" s="9"/>
      <c r="K249" s="14" t="str">
        <f t="shared" si="18"/>
        <v/>
      </c>
      <c r="L249" s="14" t="str">
        <f t="shared" si="19"/>
        <v/>
      </c>
      <c r="M249" s="9"/>
      <c r="N249" s="9"/>
      <c r="O249" s="14" t="str">
        <f t="shared" si="20"/>
        <v/>
      </c>
      <c r="P249" s="14" t="str">
        <f t="shared" si="21"/>
        <v/>
      </c>
      <c r="Q249" s="14" t="str">
        <f t="shared" si="22"/>
        <v/>
      </c>
      <c r="R249" s="14" t="str">
        <f t="shared" si="23"/>
        <v/>
      </c>
      <c r="S249" s="9"/>
    </row>
    <row r="250" spans="1:19" ht="14.25" customHeight="1">
      <c r="A250" s="9"/>
      <c r="B250" s="9"/>
      <c r="C250" s="9"/>
      <c r="D250" s="9"/>
      <c r="E250" s="9"/>
      <c r="F250" s="13"/>
      <c r="G250" s="9"/>
      <c r="H250" s="9"/>
      <c r="I250" s="9"/>
      <c r="J250" s="9"/>
      <c r="K250" s="14" t="str">
        <f t="shared" si="18"/>
        <v/>
      </c>
      <c r="L250" s="14" t="str">
        <f t="shared" si="19"/>
        <v/>
      </c>
      <c r="M250" s="9"/>
      <c r="N250" s="9"/>
      <c r="O250" s="14" t="str">
        <f t="shared" si="20"/>
        <v/>
      </c>
      <c r="P250" s="14" t="str">
        <f t="shared" si="21"/>
        <v/>
      </c>
      <c r="Q250" s="14" t="str">
        <f t="shared" si="22"/>
        <v/>
      </c>
      <c r="R250" s="14" t="str">
        <f t="shared" si="23"/>
        <v/>
      </c>
      <c r="S250" s="9"/>
    </row>
    <row r="251" spans="1:19" ht="14.25" customHeight="1">
      <c r="A251" s="9"/>
      <c r="B251" s="9"/>
      <c r="C251" s="9"/>
      <c r="D251" s="9"/>
      <c r="E251" s="9"/>
      <c r="F251" s="13"/>
      <c r="G251" s="9"/>
      <c r="H251" s="9"/>
      <c r="I251" s="9"/>
      <c r="J251" s="9"/>
      <c r="K251" s="14" t="str">
        <f t="shared" si="18"/>
        <v/>
      </c>
      <c r="L251" s="14" t="str">
        <f t="shared" si="19"/>
        <v/>
      </c>
      <c r="M251" s="9"/>
      <c r="N251" s="9"/>
      <c r="O251" s="14" t="str">
        <f t="shared" si="20"/>
        <v/>
      </c>
      <c r="P251" s="14" t="str">
        <f t="shared" si="21"/>
        <v/>
      </c>
      <c r="Q251" s="14" t="str">
        <f t="shared" si="22"/>
        <v/>
      </c>
      <c r="R251" s="14" t="str">
        <f t="shared" si="23"/>
        <v/>
      </c>
      <c r="S251" s="9"/>
    </row>
    <row r="252" spans="1:19" ht="14.25" customHeight="1">
      <c r="A252" s="9"/>
      <c r="B252" s="9"/>
      <c r="C252" s="9"/>
      <c r="D252" s="9"/>
      <c r="E252" s="9"/>
      <c r="F252" s="13"/>
      <c r="G252" s="9"/>
      <c r="H252" s="9"/>
      <c r="I252" s="9"/>
      <c r="J252" s="9"/>
      <c r="K252" s="14" t="str">
        <f t="shared" si="18"/>
        <v/>
      </c>
      <c r="L252" s="14" t="str">
        <f t="shared" si="19"/>
        <v/>
      </c>
      <c r="M252" s="9"/>
      <c r="N252" s="9"/>
      <c r="O252" s="14" t="str">
        <f t="shared" si="20"/>
        <v/>
      </c>
      <c r="P252" s="14" t="str">
        <f t="shared" si="21"/>
        <v/>
      </c>
      <c r="Q252" s="14" t="str">
        <f t="shared" si="22"/>
        <v/>
      </c>
      <c r="R252" s="14" t="str">
        <f t="shared" si="23"/>
        <v/>
      </c>
      <c r="S252" s="9"/>
    </row>
    <row r="253" spans="1:19" ht="14.25" customHeight="1">
      <c r="A253" s="9"/>
      <c r="B253" s="9"/>
      <c r="C253" s="9"/>
      <c r="D253" s="9"/>
      <c r="E253" s="9"/>
      <c r="F253" s="13"/>
      <c r="G253" s="9"/>
      <c r="H253" s="9"/>
      <c r="I253" s="9"/>
      <c r="J253" s="9"/>
      <c r="K253" s="14" t="str">
        <f t="shared" si="18"/>
        <v/>
      </c>
      <c r="L253" s="14" t="str">
        <f t="shared" si="19"/>
        <v/>
      </c>
      <c r="M253" s="9"/>
      <c r="N253" s="9"/>
      <c r="O253" s="14" t="str">
        <f t="shared" si="20"/>
        <v/>
      </c>
      <c r="P253" s="14" t="str">
        <f t="shared" si="21"/>
        <v/>
      </c>
      <c r="Q253" s="14" t="str">
        <f t="shared" si="22"/>
        <v/>
      </c>
      <c r="R253" s="14" t="str">
        <f t="shared" si="23"/>
        <v/>
      </c>
      <c r="S253" s="9"/>
    </row>
    <row r="254" spans="1:19" ht="14.25" customHeight="1">
      <c r="A254" s="9"/>
      <c r="B254" s="9"/>
      <c r="C254" s="9"/>
      <c r="D254" s="9"/>
      <c r="E254" s="9"/>
      <c r="F254" s="13"/>
      <c r="G254" s="9"/>
      <c r="H254" s="9"/>
      <c r="I254" s="9"/>
      <c r="J254" s="9"/>
      <c r="K254" s="14" t="str">
        <f t="shared" si="18"/>
        <v/>
      </c>
      <c r="L254" s="14" t="str">
        <f t="shared" si="19"/>
        <v/>
      </c>
      <c r="M254" s="9"/>
      <c r="N254" s="9"/>
      <c r="O254" s="14" t="str">
        <f t="shared" si="20"/>
        <v/>
      </c>
      <c r="P254" s="14" t="str">
        <f t="shared" si="21"/>
        <v/>
      </c>
      <c r="Q254" s="14" t="str">
        <f t="shared" si="22"/>
        <v/>
      </c>
      <c r="R254" s="14" t="str">
        <f t="shared" si="23"/>
        <v/>
      </c>
      <c r="S254" s="9"/>
    </row>
    <row r="255" spans="1:19" ht="14.25" customHeight="1">
      <c r="A255" s="9"/>
      <c r="B255" s="9"/>
      <c r="C255" s="9"/>
      <c r="D255" s="9"/>
      <c r="E255" s="9"/>
      <c r="F255" s="13"/>
      <c r="G255" s="9"/>
      <c r="H255" s="9"/>
      <c r="I255" s="9"/>
      <c r="J255" s="9"/>
      <c r="K255" s="14" t="str">
        <f t="shared" si="18"/>
        <v/>
      </c>
      <c r="L255" s="14" t="str">
        <f t="shared" si="19"/>
        <v/>
      </c>
      <c r="M255" s="9"/>
      <c r="N255" s="9"/>
      <c r="O255" s="14" t="str">
        <f t="shared" si="20"/>
        <v/>
      </c>
      <c r="P255" s="14" t="str">
        <f t="shared" si="21"/>
        <v/>
      </c>
      <c r="Q255" s="14" t="str">
        <f t="shared" si="22"/>
        <v/>
      </c>
      <c r="R255" s="14" t="str">
        <f t="shared" si="23"/>
        <v/>
      </c>
      <c r="S255" s="9"/>
    </row>
    <row r="256" spans="1:19" ht="14.25" customHeight="1">
      <c r="A256" s="9"/>
      <c r="B256" s="9"/>
      <c r="C256" s="9"/>
      <c r="D256" s="9"/>
      <c r="E256" s="9"/>
      <c r="F256" s="13"/>
      <c r="G256" s="9"/>
      <c r="H256" s="9"/>
      <c r="I256" s="9"/>
      <c r="J256" s="9"/>
      <c r="K256" s="14" t="str">
        <f t="shared" si="18"/>
        <v/>
      </c>
      <c r="L256" s="14" t="str">
        <f t="shared" si="19"/>
        <v/>
      </c>
      <c r="M256" s="9"/>
      <c r="N256" s="9"/>
      <c r="O256" s="14" t="str">
        <f t="shared" si="20"/>
        <v/>
      </c>
      <c r="P256" s="14" t="str">
        <f t="shared" si="21"/>
        <v/>
      </c>
      <c r="Q256" s="14" t="str">
        <f t="shared" si="22"/>
        <v/>
      </c>
      <c r="R256" s="14" t="str">
        <f t="shared" si="23"/>
        <v/>
      </c>
      <c r="S256" s="9"/>
    </row>
    <row r="257" spans="1:19" ht="14.25" customHeight="1">
      <c r="A257" s="9"/>
      <c r="B257" s="9"/>
      <c r="C257" s="9"/>
      <c r="D257" s="9"/>
      <c r="E257" s="9"/>
      <c r="F257" s="13"/>
      <c r="G257" s="9"/>
      <c r="H257" s="9"/>
      <c r="I257" s="9"/>
      <c r="J257" s="9"/>
      <c r="K257" s="14" t="str">
        <f t="shared" si="18"/>
        <v/>
      </c>
      <c r="L257" s="14" t="str">
        <f t="shared" si="19"/>
        <v/>
      </c>
      <c r="M257" s="9"/>
      <c r="N257" s="9"/>
      <c r="O257" s="14" t="str">
        <f t="shared" si="20"/>
        <v/>
      </c>
      <c r="P257" s="14" t="str">
        <f t="shared" si="21"/>
        <v/>
      </c>
      <c r="Q257" s="14" t="str">
        <f t="shared" si="22"/>
        <v/>
      </c>
      <c r="R257" s="14" t="str">
        <f t="shared" si="23"/>
        <v/>
      </c>
      <c r="S257" s="9"/>
    </row>
    <row r="258" spans="1:19" ht="14.25" customHeight="1">
      <c r="A258" s="9"/>
      <c r="B258" s="9"/>
      <c r="C258" s="9"/>
      <c r="D258" s="9"/>
      <c r="E258" s="9"/>
      <c r="F258" s="13"/>
      <c r="G258" s="9"/>
      <c r="H258" s="9"/>
      <c r="I258" s="9"/>
      <c r="J258" s="9"/>
      <c r="K258" s="14" t="str">
        <f t="shared" si="18"/>
        <v/>
      </c>
      <c r="L258" s="14" t="str">
        <f t="shared" si="19"/>
        <v/>
      </c>
      <c r="M258" s="9"/>
      <c r="N258" s="9"/>
      <c r="O258" s="14" t="str">
        <f t="shared" si="20"/>
        <v/>
      </c>
      <c r="P258" s="14" t="str">
        <f t="shared" si="21"/>
        <v/>
      </c>
      <c r="Q258" s="14" t="str">
        <f t="shared" si="22"/>
        <v/>
      </c>
      <c r="R258" s="14" t="str">
        <f t="shared" si="23"/>
        <v/>
      </c>
      <c r="S258" s="9"/>
    </row>
    <row r="259" spans="1:19" ht="14.25" customHeight="1">
      <c r="A259" s="9"/>
      <c r="B259" s="9"/>
      <c r="C259" s="9"/>
      <c r="D259" s="9"/>
      <c r="E259" s="9"/>
      <c r="F259" s="13"/>
      <c r="G259" s="9"/>
      <c r="H259" s="9"/>
      <c r="I259" s="9"/>
      <c r="J259" s="9"/>
      <c r="K259" s="14" t="str">
        <f t="shared" si="18"/>
        <v/>
      </c>
      <c r="L259" s="14" t="str">
        <f t="shared" si="19"/>
        <v/>
      </c>
      <c r="M259" s="9"/>
      <c r="N259" s="9"/>
      <c r="O259" s="14" t="str">
        <f t="shared" si="20"/>
        <v/>
      </c>
      <c r="P259" s="14" t="str">
        <f t="shared" si="21"/>
        <v/>
      </c>
      <c r="Q259" s="14" t="str">
        <f t="shared" si="22"/>
        <v/>
      </c>
      <c r="R259" s="14" t="str">
        <f t="shared" si="23"/>
        <v/>
      </c>
      <c r="S259" s="9"/>
    </row>
    <row r="260" spans="1:19" ht="14.25" customHeight="1">
      <c r="A260" s="9"/>
      <c r="B260" s="9"/>
      <c r="C260" s="9"/>
      <c r="D260" s="9"/>
      <c r="E260" s="9"/>
      <c r="F260" s="13"/>
      <c r="G260" s="9"/>
      <c r="H260" s="9"/>
      <c r="I260" s="9"/>
      <c r="J260" s="9"/>
      <c r="K260" s="14" t="str">
        <f t="shared" si="18"/>
        <v/>
      </c>
      <c r="L260" s="14" t="str">
        <f t="shared" si="19"/>
        <v/>
      </c>
      <c r="M260" s="9"/>
      <c r="N260" s="9"/>
      <c r="O260" s="14" t="str">
        <f t="shared" si="20"/>
        <v/>
      </c>
      <c r="P260" s="14" t="str">
        <f t="shared" si="21"/>
        <v/>
      </c>
      <c r="Q260" s="14" t="str">
        <f t="shared" si="22"/>
        <v/>
      </c>
      <c r="R260" s="14" t="str">
        <f t="shared" si="23"/>
        <v/>
      </c>
      <c r="S260" s="9"/>
    </row>
    <row r="261" spans="1:19" ht="14.25" customHeight="1">
      <c r="A261" s="9"/>
      <c r="B261" s="9"/>
      <c r="C261" s="9"/>
      <c r="D261" s="9"/>
      <c r="E261" s="9"/>
      <c r="F261" s="13"/>
      <c r="G261" s="9"/>
      <c r="H261" s="9"/>
      <c r="I261" s="9"/>
      <c r="J261" s="9"/>
      <c r="K261" s="14" t="str">
        <f t="shared" si="18"/>
        <v/>
      </c>
      <c r="L261" s="14" t="str">
        <f t="shared" si="19"/>
        <v/>
      </c>
      <c r="M261" s="9"/>
      <c r="N261" s="9"/>
      <c r="O261" s="14" t="str">
        <f t="shared" si="20"/>
        <v/>
      </c>
      <c r="P261" s="14" t="str">
        <f t="shared" si="21"/>
        <v/>
      </c>
      <c r="Q261" s="14" t="str">
        <f t="shared" si="22"/>
        <v/>
      </c>
      <c r="R261" s="14" t="str">
        <f t="shared" si="23"/>
        <v/>
      </c>
      <c r="S261" s="9"/>
    </row>
    <row r="262" spans="1:19" ht="14.25" customHeight="1">
      <c r="A262" s="9"/>
      <c r="B262" s="9"/>
      <c r="C262" s="9"/>
      <c r="D262" s="9"/>
      <c r="E262" s="9"/>
      <c r="F262" s="13"/>
      <c r="G262" s="9"/>
      <c r="H262" s="9"/>
      <c r="I262" s="9"/>
      <c r="J262" s="9"/>
      <c r="K262" s="14" t="str">
        <f t="shared" ref="K262:K325" si="24">IF(OR(I262="",J262=""),"",I262&amp;"-"&amp;J262)</f>
        <v/>
      </c>
      <c r="L262" s="14" t="str">
        <f t="shared" ref="L262:L325" si="25">IF(OR(I262="",J262=""),"",IF(I262&gt;J262,"Gana",IF(I262=J262,"Empata","Pierde")))</f>
        <v/>
      </c>
      <c r="M262" s="9"/>
      <c r="N262" s="9"/>
      <c r="O262" s="14" t="str">
        <f t="shared" ref="O262:O325" si="26">IF(OR(I262="",J262=""),"",I262+J262)</f>
        <v/>
      </c>
      <c r="P262" s="14" t="str">
        <f t="shared" ref="P262:P325" si="27">IF(OR(I262="",J262=""),"",I262-J262)</f>
        <v/>
      </c>
      <c r="Q262" s="14" t="str">
        <f t="shared" ref="Q262:Q325" si="28">IF(L262="","",IF(L262="Gana",3,IF(L262="Empata",1,0)))</f>
        <v/>
      </c>
      <c r="R262" s="14" t="str">
        <f t="shared" ref="R262:R325" si="29">IF(L262="","",IF(L262="Pierde",3,IF(L262="Empata",1,0)))</f>
        <v/>
      </c>
      <c r="S262" s="9"/>
    </row>
    <row r="263" spans="1:19" ht="14.25" customHeight="1">
      <c r="A263" s="9"/>
      <c r="B263" s="9"/>
      <c r="C263" s="9"/>
      <c r="D263" s="9"/>
      <c r="E263" s="9"/>
      <c r="F263" s="13"/>
      <c r="G263" s="9"/>
      <c r="H263" s="9"/>
      <c r="I263" s="9"/>
      <c r="J263" s="9"/>
      <c r="K263" s="14" t="str">
        <f t="shared" si="24"/>
        <v/>
      </c>
      <c r="L263" s="14" t="str">
        <f t="shared" si="25"/>
        <v/>
      </c>
      <c r="M263" s="9"/>
      <c r="N263" s="9"/>
      <c r="O263" s="14" t="str">
        <f t="shared" si="26"/>
        <v/>
      </c>
      <c r="P263" s="14" t="str">
        <f t="shared" si="27"/>
        <v/>
      </c>
      <c r="Q263" s="14" t="str">
        <f t="shared" si="28"/>
        <v/>
      </c>
      <c r="R263" s="14" t="str">
        <f t="shared" si="29"/>
        <v/>
      </c>
      <c r="S263" s="9"/>
    </row>
    <row r="264" spans="1:19" ht="14.25" customHeight="1">
      <c r="A264" s="9"/>
      <c r="B264" s="9"/>
      <c r="C264" s="9"/>
      <c r="D264" s="9"/>
      <c r="E264" s="9"/>
      <c r="F264" s="13"/>
      <c r="G264" s="9"/>
      <c r="H264" s="9"/>
      <c r="I264" s="9"/>
      <c r="J264" s="9"/>
      <c r="K264" s="14" t="str">
        <f t="shared" si="24"/>
        <v/>
      </c>
      <c r="L264" s="14" t="str">
        <f t="shared" si="25"/>
        <v/>
      </c>
      <c r="M264" s="9"/>
      <c r="N264" s="9"/>
      <c r="O264" s="14" t="str">
        <f t="shared" si="26"/>
        <v/>
      </c>
      <c r="P264" s="14" t="str">
        <f t="shared" si="27"/>
        <v/>
      </c>
      <c r="Q264" s="14" t="str">
        <f t="shared" si="28"/>
        <v/>
      </c>
      <c r="R264" s="14" t="str">
        <f t="shared" si="29"/>
        <v/>
      </c>
      <c r="S264" s="9"/>
    </row>
    <row r="265" spans="1:19" ht="14.25" customHeight="1">
      <c r="A265" s="9"/>
      <c r="B265" s="9"/>
      <c r="C265" s="9"/>
      <c r="D265" s="9"/>
      <c r="E265" s="9"/>
      <c r="F265" s="13"/>
      <c r="G265" s="9"/>
      <c r="H265" s="9"/>
      <c r="I265" s="9"/>
      <c r="J265" s="9"/>
      <c r="K265" s="14" t="str">
        <f t="shared" si="24"/>
        <v/>
      </c>
      <c r="L265" s="14" t="str">
        <f t="shared" si="25"/>
        <v/>
      </c>
      <c r="M265" s="9"/>
      <c r="N265" s="9"/>
      <c r="O265" s="14" t="str">
        <f t="shared" si="26"/>
        <v/>
      </c>
      <c r="P265" s="14" t="str">
        <f t="shared" si="27"/>
        <v/>
      </c>
      <c r="Q265" s="14" t="str">
        <f t="shared" si="28"/>
        <v/>
      </c>
      <c r="R265" s="14" t="str">
        <f t="shared" si="29"/>
        <v/>
      </c>
      <c r="S265" s="9"/>
    </row>
    <row r="266" spans="1:19" ht="14.25" customHeight="1">
      <c r="A266" s="9"/>
      <c r="B266" s="9"/>
      <c r="C266" s="9"/>
      <c r="D266" s="9"/>
      <c r="E266" s="9"/>
      <c r="F266" s="13"/>
      <c r="G266" s="9"/>
      <c r="H266" s="9"/>
      <c r="I266" s="9"/>
      <c r="J266" s="9"/>
      <c r="K266" s="14" t="str">
        <f t="shared" si="24"/>
        <v/>
      </c>
      <c r="L266" s="14" t="str">
        <f t="shared" si="25"/>
        <v/>
      </c>
      <c r="M266" s="9"/>
      <c r="N266" s="9"/>
      <c r="O266" s="14" t="str">
        <f t="shared" si="26"/>
        <v/>
      </c>
      <c r="P266" s="14" t="str">
        <f t="shared" si="27"/>
        <v/>
      </c>
      <c r="Q266" s="14" t="str">
        <f t="shared" si="28"/>
        <v/>
      </c>
      <c r="R266" s="14" t="str">
        <f t="shared" si="29"/>
        <v/>
      </c>
      <c r="S266" s="9"/>
    </row>
    <row r="267" spans="1:19" ht="14.25" customHeight="1">
      <c r="A267" s="9"/>
      <c r="B267" s="9"/>
      <c r="C267" s="9"/>
      <c r="D267" s="9"/>
      <c r="E267" s="9"/>
      <c r="F267" s="13"/>
      <c r="G267" s="9"/>
      <c r="H267" s="9"/>
      <c r="I267" s="9"/>
      <c r="J267" s="9"/>
      <c r="K267" s="14" t="str">
        <f t="shared" si="24"/>
        <v/>
      </c>
      <c r="L267" s="14" t="str">
        <f t="shared" si="25"/>
        <v/>
      </c>
      <c r="M267" s="9"/>
      <c r="N267" s="9"/>
      <c r="O267" s="14" t="str">
        <f t="shared" si="26"/>
        <v/>
      </c>
      <c r="P267" s="14" t="str">
        <f t="shared" si="27"/>
        <v/>
      </c>
      <c r="Q267" s="14" t="str">
        <f t="shared" si="28"/>
        <v/>
      </c>
      <c r="R267" s="14" t="str">
        <f t="shared" si="29"/>
        <v/>
      </c>
      <c r="S267" s="9"/>
    </row>
    <row r="268" spans="1:19" ht="14.25" customHeight="1">
      <c r="A268" s="9"/>
      <c r="B268" s="9"/>
      <c r="C268" s="9"/>
      <c r="D268" s="9"/>
      <c r="E268" s="9"/>
      <c r="F268" s="13"/>
      <c r="G268" s="9"/>
      <c r="H268" s="9"/>
      <c r="I268" s="9"/>
      <c r="J268" s="9"/>
      <c r="K268" s="14" t="str">
        <f t="shared" si="24"/>
        <v/>
      </c>
      <c r="L268" s="14" t="str">
        <f t="shared" si="25"/>
        <v/>
      </c>
      <c r="M268" s="9"/>
      <c r="N268" s="9"/>
      <c r="O268" s="14" t="str">
        <f t="shared" si="26"/>
        <v/>
      </c>
      <c r="P268" s="14" t="str">
        <f t="shared" si="27"/>
        <v/>
      </c>
      <c r="Q268" s="14" t="str">
        <f t="shared" si="28"/>
        <v/>
      </c>
      <c r="R268" s="14" t="str">
        <f t="shared" si="29"/>
        <v/>
      </c>
      <c r="S268" s="9"/>
    </row>
    <row r="269" spans="1:19" ht="14.25" customHeight="1">
      <c r="A269" s="9"/>
      <c r="B269" s="9"/>
      <c r="C269" s="9"/>
      <c r="D269" s="9"/>
      <c r="E269" s="9"/>
      <c r="F269" s="13"/>
      <c r="G269" s="9"/>
      <c r="H269" s="9"/>
      <c r="I269" s="9"/>
      <c r="J269" s="9"/>
      <c r="K269" s="14" t="str">
        <f t="shared" si="24"/>
        <v/>
      </c>
      <c r="L269" s="14" t="str">
        <f t="shared" si="25"/>
        <v/>
      </c>
      <c r="M269" s="9"/>
      <c r="N269" s="9"/>
      <c r="O269" s="14" t="str">
        <f t="shared" si="26"/>
        <v/>
      </c>
      <c r="P269" s="14" t="str">
        <f t="shared" si="27"/>
        <v/>
      </c>
      <c r="Q269" s="14" t="str">
        <f t="shared" si="28"/>
        <v/>
      </c>
      <c r="R269" s="14" t="str">
        <f t="shared" si="29"/>
        <v/>
      </c>
      <c r="S269" s="9"/>
    </row>
    <row r="270" spans="1:19" ht="14.25" customHeight="1">
      <c r="A270" s="9"/>
      <c r="B270" s="9"/>
      <c r="C270" s="9"/>
      <c r="D270" s="9"/>
      <c r="E270" s="9"/>
      <c r="F270" s="13"/>
      <c r="G270" s="9"/>
      <c r="H270" s="9"/>
      <c r="I270" s="9"/>
      <c r="J270" s="9"/>
      <c r="K270" s="14" t="str">
        <f t="shared" si="24"/>
        <v/>
      </c>
      <c r="L270" s="14" t="str">
        <f t="shared" si="25"/>
        <v/>
      </c>
      <c r="M270" s="9"/>
      <c r="N270" s="9"/>
      <c r="O270" s="14" t="str">
        <f t="shared" si="26"/>
        <v/>
      </c>
      <c r="P270" s="14" t="str">
        <f t="shared" si="27"/>
        <v/>
      </c>
      <c r="Q270" s="14" t="str">
        <f t="shared" si="28"/>
        <v/>
      </c>
      <c r="R270" s="14" t="str">
        <f t="shared" si="29"/>
        <v/>
      </c>
      <c r="S270" s="9"/>
    </row>
    <row r="271" spans="1:19" ht="14.25" customHeight="1">
      <c r="A271" s="9"/>
      <c r="B271" s="9"/>
      <c r="C271" s="9"/>
      <c r="D271" s="9"/>
      <c r="E271" s="9"/>
      <c r="F271" s="13"/>
      <c r="G271" s="9"/>
      <c r="H271" s="9"/>
      <c r="I271" s="9"/>
      <c r="J271" s="9"/>
      <c r="K271" s="14" t="str">
        <f t="shared" si="24"/>
        <v/>
      </c>
      <c r="L271" s="14" t="str">
        <f t="shared" si="25"/>
        <v/>
      </c>
      <c r="M271" s="9"/>
      <c r="N271" s="9"/>
      <c r="O271" s="14" t="str">
        <f t="shared" si="26"/>
        <v/>
      </c>
      <c r="P271" s="14" t="str">
        <f t="shared" si="27"/>
        <v/>
      </c>
      <c r="Q271" s="14" t="str">
        <f t="shared" si="28"/>
        <v/>
      </c>
      <c r="R271" s="14" t="str">
        <f t="shared" si="29"/>
        <v/>
      </c>
      <c r="S271" s="9"/>
    </row>
    <row r="272" spans="1:19" ht="14.25" customHeight="1">
      <c r="A272" s="9"/>
      <c r="B272" s="9"/>
      <c r="C272" s="9"/>
      <c r="D272" s="9"/>
      <c r="E272" s="9"/>
      <c r="F272" s="13"/>
      <c r="G272" s="9"/>
      <c r="H272" s="9"/>
      <c r="I272" s="9"/>
      <c r="J272" s="9"/>
      <c r="K272" s="14" t="str">
        <f t="shared" si="24"/>
        <v/>
      </c>
      <c r="L272" s="14" t="str">
        <f t="shared" si="25"/>
        <v/>
      </c>
      <c r="M272" s="9"/>
      <c r="N272" s="9"/>
      <c r="O272" s="14" t="str">
        <f t="shared" si="26"/>
        <v/>
      </c>
      <c r="P272" s="14" t="str">
        <f t="shared" si="27"/>
        <v/>
      </c>
      <c r="Q272" s="14" t="str">
        <f t="shared" si="28"/>
        <v/>
      </c>
      <c r="R272" s="14" t="str">
        <f t="shared" si="29"/>
        <v/>
      </c>
      <c r="S272" s="9"/>
    </row>
    <row r="273" spans="1:19" ht="14.25" customHeight="1">
      <c r="A273" s="9"/>
      <c r="B273" s="9"/>
      <c r="C273" s="9"/>
      <c r="D273" s="9"/>
      <c r="E273" s="9"/>
      <c r="F273" s="13"/>
      <c r="G273" s="9"/>
      <c r="H273" s="9"/>
      <c r="I273" s="9"/>
      <c r="J273" s="9"/>
      <c r="K273" s="14" t="str">
        <f t="shared" si="24"/>
        <v/>
      </c>
      <c r="L273" s="14" t="str">
        <f t="shared" si="25"/>
        <v/>
      </c>
      <c r="M273" s="9"/>
      <c r="N273" s="9"/>
      <c r="O273" s="14" t="str">
        <f t="shared" si="26"/>
        <v/>
      </c>
      <c r="P273" s="14" t="str">
        <f t="shared" si="27"/>
        <v/>
      </c>
      <c r="Q273" s="14" t="str">
        <f t="shared" si="28"/>
        <v/>
      </c>
      <c r="R273" s="14" t="str">
        <f t="shared" si="29"/>
        <v/>
      </c>
      <c r="S273" s="9"/>
    </row>
    <row r="274" spans="1:19" ht="14.25" customHeight="1">
      <c r="A274" s="9"/>
      <c r="B274" s="9"/>
      <c r="C274" s="9"/>
      <c r="D274" s="9"/>
      <c r="E274" s="9"/>
      <c r="F274" s="13"/>
      <c r="G274" s="9"/>
      <c r="H274" s="9"/>
      <c r="I274" s="9"/>
      <c r="J274" s="9"/>
      <c r="K274" s="14" t="str">
        <f t="shared" si="24"/>
        <v/>
      </c>
      <c r="L274" s="14" t="str">
        <f t="shared" si="25"/>
        <v/>
      </c>
      <c r="M274" s="9"/>
      <c r="N274" s="9"/>
      <c r="O274" s="14" t="str">
        <f t="shared" si="26"/>
        <v/>
      </c>
      <c r="P274" s="14" t="str">
        <f t="shared" si="27"/>
        <v/>
      </c>
      <c r="Q274" s="14" t="str">
        <f t="shared" si="28"/>
        <v/>
      </c>
      <c r="R274" s="14" t="str">
        <f t="shared" si="29"/>
        <v/>
      </c>
      <c r="S274" s="9"/>
    </row>
    <row r="275" spans="1:19" ht="14.25" customHeight="1">
      <c r="A275" s="9"/>
      <c r="B275" s="9"/>
      <c r="C275" s="9"/>
      <c r="D275" s="9"/>
      <c r="E275" s="9"/>
      <c r="F275" s="13"/>
      <c r="G275" s="9"/>
      <c r="H275" s="9"/>
      <c r="I275" s="9"/>
      <c r="J275" s="9"/>
      <c r="K275" s="14" t="str">
        <f t="shared" si="24"/>
        <v/>
      </c>
      <c r="L275" s="14" t="str">
        <f t="shared" si="25"/>
        <v/>
      </c>
      <c r="M275" s="9"/>
      <c r="N275" s="9"/>
      <c r="O275" s="14" t="str">
        <f t="shared" si="26"/>
        <v/>
      </c>
      <c r="P275" s="14" t="str">
        <f t="shared" si="27"/>
        <v/>
      </c>
      <c r="Q275" s="14" t="str">
        <f t="shared" si="28"/>
        <v/>
      </c>
      <c r="R275" s="14" t="str">
        <f t="shared" si="29"/>
        <v/>
      </c>
      <c r="S275" s="9"/>
    </row>
    <row r="276" spans="1:19" ht="14.25" customHeight="1">
      <c r="A276" s="9"/>
      <c r="B276" s="9"/>
      <c r="C276" s="9"/>
      <c r="D276" s="9"/>
      <c r="E276" s="9"/>
      <c r="F276" s="13"/>
      <c r="G276" s="9"/>
      <c r="H276" s="9"/>
      <c r="I276" s="9"/>
      <c r="J276" s="9"/>
      <c r="K276" s="14" t="str">
        <f t="shared" si="24"/>
        <v/>
      </c>
      <c r="L276" s="14" t="str">
        <f t="shared" si="25"/>
        <v/>
      </c>
      <c r="M276" s="9"/>
      <c r="N276" s="9"/>
      <c r="O276" s="14" t="str">
        <f t="shared" si="26"/>
        <v/>
      </c>
      <c r="P276" s="14" t="str">
        <f t="shared" si="27"/>
        <v/>
      </c>
      <c r="Q276" s="14" t="str">
        <f t="shared" si="28"/>
        <v/>
      </c>
      <c r="R276" s="14" t="str">
        <f t="shared" si="29"/>
        <v/>
      </c>
      <c r="S276" s="9"/>
    </row>
    <row r="277" spans="1:19" ht="14.25" customHeight="1">
      <c r="A277" s="9"/>
      <c r="B277" s="9"/>
      <c r="C277" s="9"/>
      <c r="D277" s="9"/>
      <c r="E277" s="9"/>
      <c r="F277" s="13"/>
      <c r="G277" s="9"/>
      <c r="H277" s="9"/>
      <c r="I277" s="9"/>
      <c r="J277" s="9"/>
      <c r="K277" s="14" t="str">
        <f t="shared" si="24"/>
        <v/>
      </c>
      <c r="L277" s="14" t="str">
        <f t="shared" si="25"/>
        <v/>
      </c>
      <c r="M277" s="9"/>
      <c r="N277" s="9"/>
      <c r="O277" s="14" t="str">
        <f t="shared" si="26"/>
        <v/>
      </c>
      <c r="P277" s="14" t="str">
        <f t="shared" si="27"/>
        <v/>
      </c>
      <c r="Q277" s="14" t="str">
        <f t="shared" si="28"/>
        <v/>
      </c>
      <c r="R277" s="14" t="str">
        <f t="shared" si="29"/>
        <v/>
      </c>
      <c r="S277" s="9"/>
    </row>
    <row r="278" spans="1:19" ht="14.25" customHeight="1">
      <c r="A278" s="9"/>
      <c r="B278" s="9"/>
      <c r="C278" s="9"/>
      <c r="D278" s="9"/>
      <c r="E278" s="9"/>
      <c r="F278" s="13"/>
      <c r="G278" s="9"/>
      <c r="H278" s="9"/>
      <c r="I278" s="9"/>
      <c r="J278" s="9"/>
      <c r="K278" s="14" t="str">
        <f t="shared" si="24"/>
        <v/>
      </c>
      <c r="L278" s="14" t="str">
        <f t="shared" si="25"/>
        <v/>
      </c>
      <c r="M278" s="9"/>
      <c r="N278" s="9"/>
      <c r="O278" s="14" t="str">
        <f t="shared" si="26"/>
        <v/>
      </c>
      <c r="P278" s="14" t="str">
        <f t="shared" si="27"/>
        <v/>
      </c>
      <c r="Q278" s="14" t="str">
        <f t="shared" si="28"/>
        <v/>
      </c>
      <c r="R278" s="14" t="str">
        <f t="shared" si="29"/>
        <v/>
      </c>
      <c r="S278" s="9"/>
    </row>
    <row r="279" spans="1:19" ht="14.25" customHeight="1">
      <c r="A279" s="9"/>
      <c r="B279" s="9"/>
      <c r="C279" s="9"/>
      <c r="D279" s="9"/>
      <c r="E279" s="9"/>
      <c r="F279" s="13"/>
      <c r="G279" s="9"/>
      <c r="H279" s="9"/>
      <c r="I279" s="9"/>
      <c r="J279" s="9"/>
      <c r="K279" s="14" t="str">
        <f t="shared" si="24"/>
        <v/>
      </c>
      <c r="L279" s="14" t="str">
        <f t="shared" si="25"/>
        <v/>
      </c>
      <c r="M279" s="9"/>
      <c r="N279" s="9"/>
      <c r="O279" s="14" t="str">
        <f t="shared" si="26"/>
        <v/>
      </c>
      <c r="P279" s="14" t="str">
        <f t="shared" si="27"/>
        <v/>
      </c>
      <c r="Q279" s="14" t="str">
        <f t="shared" si="28"/>
        <v/>
      </c>
      <c r="R279" s="14" t="str">
        <f t="shared" si="29"/>
        <v/>
      </c>
      <c r="S279" s="9"/>
    </row>
    <row r="280" spans="1:19" ht="14.25" customHeight="1">
      <c r="A280" s="9"/>
      <c r="B280" s="9"/>
      <c r="C280" s="9"/>
      <c r="D280" s="9"/>
      <c r="E280" s="9"/>
      <c r="F280" s="13"/>
      <c r="G280" s="9"/>
      <c r="H280" s="9"/>
      <c r="I280" s="9"/>
      <c r="J280" s="9"/>
      <c r="K280" s="14" t="str">
        <f t="shared" si="24"/>
        <v/>
      </c>
      <c r="L280" s="14" t="str">
        <f t="shared" si="25"/>
        <v/>
      </c>
      <c r="M280" s="9"/>
      <c r="N280" s="9"/>
      <c r="O280" s="14" t="str">
        <f t="shared" si="26"/>
        <v/>
      </c>
      <c r="P280" s="14" t="str">
        <f t="shared" si="27"/>
        <v/>
      </c>
      <c r="Q280" s="14" t="str">
        <f t="shared" si="28"/>
        <v/>
      </c>
      <c r="R280" s="14" t="str">
        <f t="shared" si="29"/>
        <v/>
      </c>
      <c r="S280" s="9"/>
    </row>
    <row r="281" spans="1:19" ht="14.25" customHeight="1">
      <c r="A281" s="9"/>
      <c r="B281" s="9"/>
      <c r="C281" s="9"/>
      <c r="D281" s="9"/>
      <c r="E281" s="9"/>
      <c r="F281" s="13"/>
      <c r="G281" s="9"/>
      <c r="H281" s="9"/>
      <c r="I281" s="9"/>
      <c r="J281" s="9"/>
      <c r="K281" s="14" t="str">
        <f t="shared" si="24"/>
        <v/>
      </c>
      <c r="L281" s="14" t="str">
        <f t="shared" si="25"/>
        <v/>
      </c>
      <c r="M281" s="9"/>
      <c r="N281" s="9"/>
      <c r="O281" s="14" t="str">
        <f t="shared" si="26"/>
        <v/>
      </c>
      <c r="P281" s="14" t="str">
        <f t="shared" si="27"/>
        <v/>
      </c>
      <c r="Q281" s="14" t="str">
        <f t="shared" si="28"/>
        <v/>
      </c>
      <c r="R281" s="14" t="str">
        <f t="shared" si="29"/>
        <v/>
      </c>
      <c r="S281" s="9"/>
    </row>
    <row r="282" spans="1:19" ht="14.25" customHeight="1">
      <c r="A282" s="9"/>
      <c r="B282" s="9"/>
      <c r="C282" s="9"/>
      <c r="D282" s="9"/>
      <c r="E282" s="9"/>
      <c r="F282" s="13"/>
      <c r="G282" s="9"/>
      <c r="H282" s="9"/>
      <c r="I282" s="9"/>
      <c r="J282" s="9"/>
      <c r="K282" s="14" t="str">
        <f t="shared" si="24"/>
        <v/>
      </c>
      <c r="L282" s="14" t="str">
        <f t="shared" si="25"/>
        <v/>
      </c>
      <c r="M282" s="9"/>
      <c r="N282" s="9"/>
      <c r="O282" s="14" t="str">
        <f t="shared" si="26"/>
        <v/>
      </c>
      <c r="P282" s="14" t="str">
        <f t="shared" si="27"/>
        <v/>
      </c>
      <c r="Q282" s="14" t="str">
        <f t="shared" si="28"/>
        <v/>
      </c>
      <c r="R282" s="14" t="str">
        <f t="shared" si="29"/>
        <v/>
      </c>
      <c r="S282" s="9"/>
    </row>
    <row r="283" spans="1:19" ht="14.25" customHeight="1">
      <c r="A283" s="9"/>
      <c r="B283" s="9"/>
      <c r="C283" s="9"/>
      <c r="D283" s="9"/>
      <c r="E283" s="9"/>
      <c r="F283" s="13"/>
      <c r="G283" s="9"/>
      <c r="H283" s="9"/>
      <c r="I283" s="9"/>
      <c r="J283" s="9"/>
      <c r="K283" s="14" t="str">
        <f t="shared" si="24"/>
        <v/>
      </c>
      <c r="L283" s="14" t="str">
        <f t="shared" si="25"/>
        <v/>
      </c>
      <c r="M283" s="9"/>
      <c r="N283" s="9"/>
      <c r="O283" s="14" t="str">
        <f t="shared" si="26"/>
        <v/>
      </c>
      <c r="P283" s="14" t="str">
        <f t="shared" si="27"/>
        <v/>
      </c>
      <c r="Q283" s="14" t="str">
        <f t="shared" si="28"/>
        <v/>
      </c>
      <c r="R283" s="14" t="str">
        <f t="shared" si="29"/>
        <v/>
      </c>
      <c r="S283" s="9"/>
    </row>
    <row r="284" spans="1:19" ht="14.25" customHeight="1">
      <c r="A284" s="9"/>
      <c r="B284" s="9"/>
      <c r="C284" s="9"/>
      <c r="D284" s="9"/>
      <c r="E284" s="9"/>
      <c r="F284" s="13"/>
      <c r="G284" s="9"/>
      <c r="H284" s="9"/>
      <c r="I284" s="9"/>
      <c r="J284" s="9"/>
      <c r="K284" s="14" t="str">
        <f t="shared" si="24"/>
        <v/>
      </c>
      <c r="L284" s="14" t="str">
        <f t="shared" si="25"/>
        <v/>
      </c>
      <c r="M284" s="9"/>
      <c r="N284" s="9"/>
      <c r="O284" s="14" t="str">
        <f t="shared" si="26"/>
        <v/>
      </c>
      <c r="P284" s="14" t="str">
        <f t="shared" si="27"/>
        <v/>
      </c>
      <c r="Q284" s="14" t="str">
        <f t="shared" si="28"/>
        <v/>
      </c>
      <c r="R284" s="14" t="str">
        <f t="shared" si="29"/>
        <v/>
      </c>
      <c r="S284" s="9"/>
    </row>
    <row r="285" spans="1:19" ht="14.25" customHeight="1">
      <c r="A285" s="9"/>
      <c r="B285" s="9"/>
      <c r="C285" s="9"/>
      <c r="D285" s="9"/>
      <c r="E285" s="9"/>
      <c r="F285" s="13"/>
      <c r="G285" s="9"/>
      <c r="H285" s="9"/>
      <c r="I285" s="9"/>
      <c r="J285" s="9"/>
      <c r="K285" s="14" t="str">
        <f t="shared" si="24"/>
        <v/>
      </c>
      <c r="L285" s="14" t="str">
        <f t="shared" si="25"/>
        <v/>
      </c>
      <c r="M285" s="9"/>
      <c r="N285" s="9"/>
      <c r="O285" s="14" t="str">
        <f t="shared" si="26"/>
        <v/>
      </c>
      <c r="P285" s="14" t="str">
        <f t="shared" si="27"/>
        <v/>
      </c>
      <c r="Q285" s="14" t="str">
        <f t="shared" si="28"/>
        <v/>
      </c>
      <c r="R285" s="14" t="str">
        <f t="shared" si="29"/>
        <v/>
      </c>
      <c r="S285" s="9"/>
    </row>
    <row r="286" spans="1:19" ht="14.25" customHeight="1">
      <c r="A286" s="9"/>
      <c r="B286" s="9"/>
      <c r="C286" s="9"/>
      <c r="D286" s="9"/>
      <c r="E286" s="9"/>
      <c r="F286" s="13"/>
      <c r="G286" s="9"/>
      <c r="H286" s="9"/>
      <c r="I286" s="9"/>
      <c r="J286" s="9"/>
      <c r="K286" s="14" t="str">
        <f t="shared" si="24"/>
        <v/>
      </c>
      <c r="L286" s="14" t="str">
        <f t="shared" si="25"/>
        <v/>
      </c>
      <c r="M286" s="9"/>
      <c r="N286" s="9"/>
      <c r="O286" s="14" t="str">
        <f t="shared" si="26"/>
        <v/>
      </c>
      <c r="P286" s="14" t="str">
        <f t="shared" si="27"/>
        <v/>
      </c>
      <c r="Q286" s="14" t="str">
        <f t="shared" si="28"/>
        <v/>
      </c>
      <c r="R286" s="14" t="str">
        <f t="shared" si="29"/>
        <v/>
      </c>
      <c r="S286" s="9"/>
    </row>
    <row r="287" spans="1:19" ht="14.25" customHeight="1">
      <c r="A287" s="9"/>
      <c r="B287" s="9"/>
      <c r="C287" s="9"/>
      <c r="D287" s="9"/>
      <c r="E287" s="9"/>
      <c r="F287" s="13"/>
      <c r="G287" s="9"/>
      <c r="H287" s="9"/>
      <c r="I287" s="9"/>
      <c r="J287" s="9"/>
      <c r="K287" s="14" t="str">
        <f t="shared" si="24"/>
        <v/>
      </c>
      <c r="L287" s="14" t="str">
        <f t="shared" si="25"/>
        <v/>
      </c>
      <c r="M287" s="9"/>
      <c r="N287" s="9"/>
      <c r="O287" s="14" t="str">
        <f t="shared" si="26"/>
        <v/>
      </c>
      <c r="P287" s="14" t="str">
        <f t="shared" si="27"/>
        <v/>
      </c>
      <c r="Q287" s="14" t="str">
        <f t="shared" si="28"/>
        <v/>
      </c>
      <c r="R287" s="14" t="str">
        <f t="shared" si="29"/>
        <v/>
      </c>
      <c r="S287" s="9"/>
    </row>
    <row r="288" spans="1:19" ht="14.25" customHeight="1">
      <c r="A288" s="9"/>
      <c r="B288" s="9"/>
      <c r="C288" s="9"/>
      <c r="D288" s="9"/>
      <c r="E288" s="9"/>
      <c r="F288" s="13"/>
      <c r="G288" s="9"/>
      <c r="H288" s="9"/>
      <c r="I288" s="9"/>
      <c r="J288" s="9"/>
      <c r="K288" s="14" t="str">
        <f t="shared" si="24"/>
        <v/>
      </c>
      <c r="L288" s="14" t="str">
        <f t="shared" si="25"/>
        <v/>
      </c>
      <c r="M288" s="9"/>
      <c r="N288" s="9"/>
      <c r="O288" s="14" t="str">
        <f t="shared" si="26"/>
        <v/>
      </c>
      <c r="P288" s="14" t="str">
        <f t="shared" si="27"/>
        <v/>
      </c>
      <c r="Q288" s="14" t="str">
        <f t="shared" si="28"/>
        <v/>
      </c>
      <c r="R288" s="14" t="str">
        <f t="shared" si="29"/>
        <v/>
      </c>
      <c r="S288" s="9"/>
    </row>
    <row r="289" spans="1:19" ht="14.25" customHeight="1">
      <c r="A289" s="9"/>
      <c r="B289" s="9"/>
      <c r="C289" s="9"/>
      <c r="D289" s="9"/>
      <c r="E289" s="9"/>
      <c r="F289" s="13"/>
      <c r="G289" s="9"/>
      <c r="H289" s="9"/>
      <c r="I289" s="9"/>
      <c r="J289" s="9"/>
      <c r="K289" s="14" t="str">
        <f t="shared" si="24"/>
        <v/>
      </c>
      <c r="L289" s="14" t="str">
        <f t="shared" si="25"/>
        <v/>
      </c>
      <c r="M289" s="9"/>
      <c r="N289" s="9"/>
      <c r="O289" s="14" t="str">
        <f t="shared" si="26"/>
        <v/>
      </c>
      <c r="P289" s="14" t="str">
        <f t="shared" si="27"/>
        <v/>
      </c>
      <c r="Q289" s="14" t="str">
        <f t="shared" si="28"/>
        <v/>
      </c>
      <c r="R289" s="14" t="str">
        <f t="shared" si="29"/>
        <v/>
      </c>
      <c r="S289" s="9"/>
    </row>
    <row r="290" spans="1:19" ht="14.25" customHeight="1">
      <c r="A290" s="9"/>
      <c r="B290" s="9"/>
      <c r="C290" s="9"/>
      <c r="D290" s="9"/>
      <c r="E290" s="9"/>
      <c r="F290" s="13"/>
      <c r="G290" s="9"/>
      <c r="H290" s="9"/>
      <c r="I290" s="9"/>
      <c r="J290" s="9"/>
      <c r="K290" s="14" t="str">
        <f t="shared" si="24"/>
        <v/>
      </c>
      <c r="L290" s="14" t="str">
        <f t="shared" si="25"/>
        <v/>
      </c>
      <c r="M290" s="9"/>
      <c r="N290" s="9"/>
      <c r="O290" s="14" t="str">
        <f t="shared" si="26"/>
        <v/>
      </c>
      <c r="P290" s="14" t="str">
        <f t="shared" si="27"/>
        <v/>
      </c>
      <c r="Q290" s="14" t="str">
        <f t="shared" si="28"/>
        <v/>
      </c>
      <c r="R290" s="14" t="str">
        <f t="shared" si="29"/>
        <v/>
      </c>
      <c r="S290" s="9"/>
    </row>
    <row r="291" spans="1:19" ht="14.25" customHeight="1">
      <c r="A291" s="9"/>
      <c r="B291" s="9"/>
      <c r="C291" s="9"/>
      <c r="D291" s="9"/>
      <c r="E291" s="9"/>
      <c r="F291" s="13"/>
      <c r="G291" s="9"/>
      <c r="H291" s="9"/>
      <c r="I291" s="9"/>
      <c r="J291" s="9"/>
      <c r="K291" s="14" t="str">
        <f t="shared" si="24"/>
        <v/>
      </c>
      <c r="L291" s="14" t="str">
        <f t="shared" si="25"/>
        <v/>
      </c>
      <c r="M291" s="9"/>
      <c r="N291" s="9"/>
      <c r="O291" s="14" t="str">
        <f t="shared" si="26"/>
        <v/>
      </c>
      <c r="P291" s="14" t="str">
        <f t="shared" si="27"/>
        <v/>
      </c>
      <c r="Q291" s="14" t="str">
        <f t="shared" si="28"/>
        <v/>
      </c>
      <c r="R291" s="14" t="str">
        <f t="shared" si="29"/>
        <v/>
      </c>
      <c r="S291" s="9"/>
    </row>
    <row r="292" spans="1:19" ht="14.25" customHeight="1">
      <c r="A292" s="9"/>
      <c r="B292" s="9"/>
      <c r="C292" s="9"/>
      <c r="D292" s="9"/>
      <c r="E292" s="9"/>
      <c r="F292" s="13"/>
      <c r="G292" s="9"/>
      <c r="H292" s="9"/>
      <c r="I292" s="9"/>
      <c r="J292" s="9"/>
      <c r="K292" s="14" t="str">
        <f t="shared" si="24"/>
        <v/>
      </c>
      <c r="L292" s="14" t="str">
        <f t="shared" si="25"/>
        <v/>
      </c>
      <c r="M292" s="9"/>
      <c r="N292" s="9"/>
      <c r="O292" s="14" t="str">
        <f t="shared" si="26"/>
        <v/>
      </c>
      <c r="P292" s="14" t="str">
        <f t="shared" si="27"/>
        <v/>
      </c>
      <c r="Q292" s="14" t="str">
        <f t="shared" si="28"/>
        <v/>
      </c>
      <c r="R292" s="14" t="str">
        <f t="shared" si="29"/>
        <v/>
      </c>
      <c r="S292" s="9"/>
    </row>
    <row r="293" spans="1:19" ht="14.25" customHeight="1">
      <c r="A293" s="9"/>
      <c r="B293" s="9"/>
      <c r="C293" s="9"/>
      <c r="D293" s="9"/>
      <c r="E293" s="9"/>
      <c r="F293" s="13"/>
      <c r="G293" s="9"/>
      <c r="H293" s="9"/>
      <c r="I293" s="9"/>
      <c r="J293" s="9"/>
      <c r="K293" s="14" t="str">
        <f t="shared" si="24"/>
        <v/>
      </c>
      <c r="L293" s="14" t="str">
        <f t="shared" si="25"/>
        <v/>
      </c>
      <c r="M293" s="9"/>
      <c r="N293" s="9"/>
      <c r="O293" s="14" t="str">
        <f t="shared" si="26"/>
        <v/>
      </c>
      <c r="P293" s="14" t="str">
        <f t="shared" si="27"/>
        <v/>
      </c>
      <c r="Q293" s="14" t="str">
        <f t="shared" si="28"/>
        <v/>
      </c>
      <c r="R293" s="14" t="str">
        <f t="shared" si="29"/>
        <v/>
      </c>
      <c r="S293" s="9"/>
    </row>
    <row r="294" spans="1:19" ht="14.25" customHeight="1">
      <c r="A294" s="9"/>
      <c r="B294" s="9"/>
      <c r="C294" s="9"/>
      <c r="D294" s="9"/>
      <c r="E294" s="9"/>
      <c r="F294" s="13"/>
      <c r="G294" s="9"/>
      <c r="H294" s="9"/>
      <c r="I294" s="9"/>
      <c r="J294" s="9"/>
      <c r="K294" s="14" t="str">
        <f t="shared" si="24"/>
        <v/>
      </c>
      <c r="L294" s="14" t="str">
        <f t="shared" si="25"/>
        <v/>
      </c>
      <c r="M294" s="9"/>
      <c r="N294" s="9"/>
      <c r="O294" s="14" t="str">
        <f t="shared" si="26"/>
        <v/>
      </c>
      <c r="P294" s="14" t="str">
        <f t="shared" si="27"/>
        <v/>
      </c>
      <c r="Q294" s="14" t="str">
        <f t="shared" si="28"/>
        <v/>
      </c>
      <c r="R294" s="14" t="str">
        <f t="shared" si="29"/>
        <v/>
      </c>
      <c r="S294" s="9"/>
    </row>
    <row r="295" spans="1:19" ht="14.25" customHeight="1">
      <c r="A295" s="9"/>
      <c r="B295" s="9"/>
      <c r="C295" s="9"/>
      <c r="D295" s="9"/>
      <c r="E295" s="9"/>
      <c r="F295" s="13"/>
      <c r="G295" s="9"/>
      <c r="H295" s="9"/>
      <c r="I295" s="9"/>
      <c r="J295" s="9"/>
      <c r="K295" s="14" t="str">
        <f t="shared" si="24"/>
        <v/>
      </c>
      <c r="L295" s="14" t="str">
        <f t="shared" si="25"/>
        <v/>
      </c>
      <c r="M295" s="9"/>
      <c r="N295" s="9"/>
      <c r="O295" s="14" t="str">
        <f t="shared" si="26"/>
        <v/>
      </c>
      <c r="P295" s="14" t="str">
        <f t="shared" si="27"/>
        <v/>
      </c>
      <c r="Q295" s="14" t="str">
        <f t="shared" si="28"/>
        <v/>
      </c>
      <c r="R295" s="14" t="str">
        <f t="shared" si="29"/>
        <v/>
      </c>
      <c r="S295" s="9"/>
    </row>
    <row r="296" spans="1:19" ht="14.25" customHeight="1">
      <c r="A296" s="9"/>
      <c r="B296" s="9"/>
      <c r="C296" s="9"/>
      <c r="D296" s="9"/>
      <c r="E296" s="9"/>
      <c r="F296" s="13"/>
      <c r="G296" s="9"/>
      <c r="H296" s="9"/>
      <c r="I296" s="9"/>
      <c r="J296" s="9"/>
      <c r="K296" s="14" t="str">
        <f t="shared" si="24"/>
        <v/>
      </c>
      <c r="L296" s="14" t="str">
        <f t="shared" si="25"/>
        <v/>
      </c>
      <c r="M296" s="9"/>
      <c r="N296" s="9"/>
      <c r="O296" s="14" t="str">
        <f t="shared" si="26"/>
        <v/>
      </c>
      <c r="P296" s="14" t="str">
        <f t="shared" si="27"/>
        <v/>
      </c>
      <c r="Q296" s="14" t="str">
        <f t="shared" si="28"/>
        <v/>
      </c>
      <c r="R296" s="14" t="str">
        <f t="shared" si="29"/>
        <v/>
      </c>
      <c r="S296" s="9"/>
    </row>
    <row r="297" spans="1:19" ht="14.25" customHeight="1">
      <c r="A297" s="9"/>
      <c r="B297" s="9"/>
      <c r="C297" s="9"/>
      <c r="D297" s="9"/>
      <c r="E297" s="9"/>
      <c r="F297" s="13"/>
      <c r="G297" s="9"/>
      <c r="H297" s="9"/>
      <c r="I297" s="9"/>
      <c r="J297" s="9"/>
      <c r="K297" s="14" t="str">
        <f t="shared" si="24"/>
        <v/>
      </c>
      <c r="L297" s="14" t="str">
        <f t="shared" si="25"/>
        <v/>
      </c>
      <c r="M297" s="9"/>
      <c r="N297" s="9"/>
      <c r="O297" s="14" t="str">
        <f t="shared" si="26"/>
        <v/>
      </c>
      <c r="P297" s="14" t="str">
        <f t="shared" si="27"/>
        <v/>
      </c>
      <c r="Q297" s="14" t="str">
        <f t="shared" si="28"/>
        <v/>
      </c>
      <c r="R297" s="14" t="str">
        <f t="shared" si="29"/>
        <v/>
      </c>
      <c r="S297" s="9"/>
    </row>
    <row r="298" spans="1:19" ht="14.25" customHeight="1">
      <c r="A298" s="9"/>
      <c r="B298" s="9"/>
      <c r="C298" s="9"/>
      <c r="D298" s="9"/>
      <c r="E298" s="9"/>
      <c r="F298" s="13"/>
      <c r="G298" s="9"/>
      <c r="H298" s="9"/>
      <c r="I298" s="9"/>
      <c r="J298" s="9"/>
      <c r="K298" s="14" t="str">
        <f t="shared" si="24"/>
        <v/>
      </c>
      <c r="L298" s="14" t="str">
        <f t="shared" si="25"/>
        <v/>
      </c>
      <c r="M298" s="9"/>
      <c r="N298" s="9"/>
      <c r="O298" s="14" t="str">
        <f t="shared" si="26"/>
        <v/>
      </c>
      <c r="P298" s="14" t="str">
        <f t="shared" si="27"/>
        <v/>
      </c>
      <c r="Q298" s="14" t="str">
        <f t="shared" si="28"/>
        <v/>
      </c>
      <c r="R298" s="14" t="str">
        <f t="shared" si="29"/>
        <v/>
      </c>
      <c r="S298" s="9"/>
    </row>
    <row r="299" spans="1:19" ht="14.25" customHeight="1">
      <c r="A299" s="9"/>
      <c r="B299" s="9"/>
      <c r="C299" s="9"/>
      <c r="D299" s="9"/>
      <c r="E299" s="9"/>
      <c r="F299" s="13"/>
      <c r="G299" s="9"/>
      <c r="H299" s="9"/>
      <c r="I299" s="9"/>
      <c r="J299" s="9"/>
      <c r="K299" s="14" t="str">
        <f t="shared" si="24"/>
        <v/>
      </c>
      <c r="L299" s="14" t="str">
        <f t="shared" si="25"/>
        <v/>
      </c>
      <c r="M299" s="9"/>
      <c r="N299" s="9"/>
      <c r="O299" s="14" t="str">
        <f t="shared" si="26"/>
        <v/>
      </c>
      <c r="P299" s="14" t="str">
        <f t="shared" si="27"/>
        <v/>
      </c>
      <c r="Q299" s="14" t="str">
        <f t="shared" si="28"/>
        <v/>
      </c>
      <c r="R299" s="14" t="str">
        <f t="shared" si="29"/>
        <v/>
      </c>
      <c r="S299" s="9"/>
    </row>
    <row r="300" spans="1:19" ht="14.25" customHeight="1">
      <c r="A300" s="9"/>
      <c r="B300" s="9"/>
      <c r="C300" s="9"/>
      <c r="D300" s="9"/>
      <c r="E300" s="9"/>
      <c r="F300" s="13"/>
      <c r="G300" s="9"/>
      <c r="H300" s="9"/>
      <c r="I300" s="9"/>
      <c r="J300" s="9"/>
      <c r="K300" s="14" t="str">
        <f t="shared" si="24"/>
        <v/>
      </c>
      <c r="L300" s="14" t="str">
        <f t="shared" si="25"/>
        <v/>
      </c>
      <c r="M300" s="9"/>
      <c r="N300" s="9"/>
      <c r="O300" s="14" t="str">
        <f t="shared" si="26"/>
        <v/>
      </c>
      <c r="P300" s="14" t="str">
        <f t="shared" si="27"/>
        <v/>
      </c>
      <c r="Q300" s="14" t="str">
        <f t="shared" si="28"/>
        <v/>
      </c>
      <c r="R300" s="14" t="str">
        <f t="shared" si="29"/>
        <v/>
      </c>
      <c r="S300" s="9"/>
    </row>
    <row r="301" spans="1:19" ht="14.25" customHeight="1">
      <c r="A301" s="9"/>
      <c r="B301" s="9"/>
      <c r="C301" s="9"/>
      <c r="D301" s="9"/>
      <c r="E301" s="9"/>
      <c r="F301" s="13"/>
      <c r="G301" s="9"/>
      <c r="H301" s="9"/>
      <c r="I301" s="9"/>
      <c r="J301" s="9"/>
      <c r="K301" s="14" t="str">
        <f t="shared" si="24"/>
        <v/>
      </c>
      <c r="L301" s="14" t="str">
        <f t="shared" si="25"/>
        <v/>
      </c>
      <c r="M301" s="9"/>
      <c r="N301" s="9"/>
      <c r="O301" s="14" t="str">
        <f t="shared" si="26"/>
        <v/>
      </c>
      <c r="P301" s="14" t="str">
        <f t="shared" si="27"/>
        <v/>
      </c>
      <c r="Q301" s="14" t="str">
        <f t="shared" si="28"/>
        <v/>
      </c>
      <c r="R301" s="14" t="str">
        <f t="shared" si="29"/>
        <v/>
      </c>
      <c r="S301" s="9"/>
    </row>
    <row r="302" spans="1:19" ht="14.25" customHeight="1">
      <c r="A302" s="9"/>
      <c r="B302" s="9"/>
      <c r="C302" s="9"/>
      <c r="D302" s="9"/>
      <c r="E302" s="9"/>
      <c r="F302" s="13"/>
      <c r="G302" s="9"/>
      <c r="H302" s="9"/>
      <c r="I302" s="9"/>
      <c r="J302" s="9"/>
      <c r="K302" s="14" t="str">
        <f t="shared" si="24"/>
        <v/>
      </c>
      <c r="L302" s="14" t="str">
        <f t="shared" si="25"/>
        <v/>
      </c>
      <c r="M302" s="9"/>
      <c r="N302" s="9"/>
      <c r="O302" s="14" t="str">
        <f t="shared" si="26"/>
        <v/>
      </c>
      <c r="P302" s="14" t="str">
        <f t="shared" si="27"/>
        <v/>
      </c>
      <c r="Q302" s="14" t="str">
        <f t="shared" si="28"/>
        <v/>
      </c>
      <c r="R302" s="14" t="str">
        <f t="shared" si="29"/>
        <v/>
      </c>
      <c r="S302" s="9"/>
    </row>
    <row r="303" spans="1:19" ht="14.25" customHeight="1">
      <c r="A303" s="9"/>
      <c r="B303" s="9"/>
      <c r="C303" s="9"/>
      <c r="D303" s="9"/>
      <c r="E303" s="9"/>
      <c r="F303" s="13"/>
      <c r="G303" s="9"/>
      <c r="H303" s="9"/>
      <c r="I303" s="9"/>
      <c r="J303" s="9"/>
      <c r="K303" s="14" t="str">
        <f t="shared" si="24"/>
        <v/>
      </c>
      <c r="L303" s="14" t="str">
        <f t="shared" si="25"/>
        <v/>
      </c>
      <c r="M303" s="9"/>
      <c r="N303" s="9"/>
      <c r="O303" s="14" t="str">
        <f t="shared" si="26"/>
        <v/>
      </c>
      <c r="P303" s="14" t="str">
        <f t="shared" si="27"/>
        <v/>
      </c>
      <c r="Q303" s="14" t="str">
        <f t="shared" si="28"/>
        <v/>
      </c>
      <c r="R303" s="14" t="str">
        <f t="shared" si="29"/>
        <v/>
      </c>
      <c r="S303" s="9"/>
    </row>
    <row r="304" spans="1:19" ht="14.25" customHeight="1">
      <c r="A304" s="9"/>
      <c r="B304" s="9"/>
      <c r="C304" s="9"/>
      <c r="D304" s="9"/>
      <c r="E304" s="9"/>
      <c r="F304" s="13"/>
      <c r="G304" s="9"/>
      <c r="H304" s="9"/>
      <c r="I304" s="9"/>
      <c r="J304" s="9"/>
      <c r="K304" s="14" t="str">
        <f t="shared" si="24"/>
        <v/>
      </c>
      <c r="L304" s="14" t="str">
        <f t="shared" si="25"/>
        <v/>
      </c>
      <c r="M304" s="9"/>
      <c r="N304" s="9"/>
      <c r="O304" s="14" t="str">
        <f t="shared" si="26"/>
        <v/>
      </c>
      <c r="P304" s="14" t="str">
        <f t="shared" si="27"/>
        <v/>
      </c>
      <c r="Q304" s="14" t="str">
        <f t="shared" si="28"/>
        <v/>
      </c>
      <c r="R304" s="14" t="str">
        <f t="shared" si="29"/>
        <v/>
      </c>
      <c r="S304" s="9"/>
    </row>
    <row r="305" spans="1:19" ht="14.25" customHeight="1">
      <c r="A305" s="9"/>
      <c r="B305" s="9"/>
      <c r="C305" s="9"/>
      <c r="D305" s="9"/>
      <c r="E305" s="9"/>
      <c r="F305" s="13"/>
      <c r="G305" s="9"/>
      <c r="H305" s="9"/>
      <c r="I305" s="9"/>
      <c r="J305" s="9"/>
      <c r="K305" s="14" t="str">
        <f t="shared" si="24"/>
        <v/>
      </c>
      <c r="L305" s="14" t="str">
        <f t="shared" si="25"/>
        <v/>
      </c>
      <c r="M305" s="9"/>
      <c r="N305" s="9"/>
      <c r="O305" s="14" t="str">
        <f t="shared" si="26"/>
        <v/>
      </c>
      <c r="P305" s="14" t="str">
        <f t="shared" si="27"/>
        <v/>
      </c>
      <c r="Q305" s="14" t="str">
        <f t="shared" si="28"/>
        <v/>
      </c>
      <c r="R305" s="14" t="str">
        <f t="shared" si="29"/>
        <v/>
      </c>
      <c r="S305" s="9"/>
    </row>
    <row r="306" spans="1:19" ht="14.25" customHeight="1">
      <c r="A306" s="9"/>
      <c r="B306" s="9"/>
      <c r="C306" s="9"/>
      <c r="D306" s="9"/>
      <c r="E306" s="9"/>
      <c r="F306" s="13"/>
      <c r="G306" s="9"/>
      <c r="H306" s="9"/>
      <c r="I306" s="9"/>
      <c r="J306" s="9"/>
      <c r="K306" s="14" t="str">
        <f t="shared" si="24"/>
        <v/>
      </c>
      <c r="L306" s="14" t="str">
        <f t="shared" si="25"/>
        <v/>
      </c>
      <c r="M306" s="9"/>
      <c r="N306" s="9"/>
      <c r="O306" s="14" t="str">
        <f t="shared" si="26"/>
        <v/>
      </c>
      <c r="P306" s="14" t="str">
        <f t="shared" si="27"/>
        <v/>
      </c>
      <c r="Q306" s="14" t="str">
        <f t="shared" si="28"/>
        <v/>
      </c>
      <c r="R306" s="14" t="str">
        <f t="shared" si="29"/>
        <v/>
      </c>
      <c r="S306" s="9"/>
    </row>
    <row r="307" spans="1:19" ht="14.25" customHeight="1">
      <c r="A307" s="9"/>
      <c r="B307" s="9"/>
      <c r="C307" s="9"/>
      <c r="D307" s="9"/>
      <c r="E307" s="9"/>
      <c r="F307" s="13"/>
      <c r="G307" s="9"/>
      <c r="H307" s="9"/>
      <c r="I307" s="9"/>
      <c r="J307" s="9"/>
      <c r="K307" s="14" t="str">
        <f t="shared" si="24"/>
        <v/>
      </c>
      <c r="L307" s="14" t="str">
        <f t="shared" si="25"/>
        <v/>
      </c>
      <c r="M307" s="9"/>
      <c r="N307" s="9"/>
      <c r="O307" s="14" t="str">
        <f t="shared" si="26"/>
        <v/>
      </c>
      <c r="P307" s="14" t="str">
        <f t="shared" si="27"/>
        <v/>
      </c>
      <c r="Q307" s="14" t="str">
        <f t="shared" si="28"/>
        <v/>
      </c>
      <c r="R307" s="14" t="str">
        <f t="shared" si="29"/>
        <v/>
      </c>
      <c r="S307" s="9"/>
    </row>
    <row r="308" spans="1:19" ht="14.25" customHeight="1">
      <c r="A308" s="9"/>
      <c r="B308" s="9"/>
      <c r="C308" s="9"/>
      <c r="D308" s="9"/>
      <c r="E308" s="9"/>
      <c r="F308" s="13"/>
      <c r="G308" s="9"/>
      <c r="H308" s="9"/>
      <c r="I308" s="9"/>
      <c r="J308" s="9"/>
      <c r="K308" s="14" t="str">
        <f t="shared" si="24"/>
        <v/>
      </c>
      <c r="L308" s="14" t="str">
        <f t="shared" si="25"/>
        <v/>
      </c>
      <c r="M308" s="9"/>
      <c r="N308" s="9"/>
      <c r="O308" s="14" t="str">
        <f t="shared" si="26"/>
        <v/>
      </c>
      <c r="P308" s="14" t="str">
        <f t="shared" si="27"/>
        <v/>
      </c>
      <c r="Q308" s="14" t="str">
        <f t="shared" si="28"/>
        <v/>
      </c>
      <c r="R308" s="14" t="str">
        <f t="shared" si="29"/>
        <v/>
      </c>
      <c r="S308" s="9"/>
    </row>
    <row r="309" spans="1:19" ht="14.25" customHeight="1">
      <c r="A309" s="9"/>
      <c r="B309" s="9"/>
      <c r="C309" s="9"/>
      <c r="D309" s="9"/>
      <c r="E309" s="9"/>
      <c r="F309" s="13"/>
      <c r="G309" s="9"/>
      <c r="H309" s="9"/>
      <c r="I309" s="9"/>
      <c r="J309" s="9"/>
      <c r="K309" s="14" t="str">
        <f t="shared" si="24"/>
        <v/>
      </c>
      <c r="L309" s="14" t="str">
        <f t="shared" si="25"/>
        <v/>
      </c>
      <c r="M309" s="9"/>
      <c r="N309" s="9"/>
      <c r="O309" s="14" t="str">
        <f t="shared" si="26"/>
        <v/>
      </c>
      <c r="P309" s="14" t="str">
        <f t="shared" si="27"/>
        <v/>
      </c>
      <c r="Q309" s="14" t="str">
        <f t="shared" si="28"/>
        <v/>
      </c>
      <c r="R309" s="14" t="str">
        <f t="shared" si="29"/>
        <v/>
      </c>
      <c r="S309" s="9"/>
    </row>
    <row r="310" spans="1:19" ht="14.25" customHeight="1">
      <c r="A310" s="9"/>
      <c r="B310" s="9"/>
      <c r="C310" s="9"/>
      <c r="D310" s="9"/>
      <c r="E310" s="9"/>
      <c r="F310" s="13"/>
      <c r="G310" s="9"/>
      <c r="H310" s="9"/>
      <c r="I310" s="9"/>
      <c r="J310" s="9"/>
      <c r="K310" s="14" t="str">
        <f t="shared" si="24"/>
        <v/>
      </c>
      <c r="L310" s="14" t="str">
        <f t="shared" si="25"/>
        <v/>
      </c>
      <c r="M310" s="9"/>
      <c r="N310" s="9"/>
      <c r="O310" s="14" t="str">
        <f t="shared" si="26"/>
        <v/>
      </c>
      <c r="P310" s="14" t="str">
        <f t="shared" si="27"/>
        <v/>
      </c>
      <c r="Q310" s="14" t="str">
        <f t="shared" si="28"/>
        <v/>
      </c>
      <c r="R310" s="14" t="str">
        <f t="shared" si="29"/>
        <v/>
      </c>
      <c r="S310" s="9"/>
    </row>
    <row r="311" spans="1:19" ht="14.25" customHeight="1">
      <c r="A311" s="9"/>
      <c r="B311" s="9"/>
      <c r="C311" s="9"/>
      <c r="D311" s="9"/>
      <c r="E311" s="9"/>
      <c r="F311" s="13"/>
      <c r="G311" s="9"/>
      <c r="H311" s="9"/>
      <c r="I311" s="9"/>
      <c r="J311" s="9"/>
      <c r="K311" s="14" t="str">
        <f t="shared" si="24"/>
        <v/>
      </c>
      <c r="L311" s="14" t="str">
        <f t="shared" si="25"/>
        <v/>
      </c>
      <c r="M311" s="9"/>
      <c r="N311" s="9"/>
      <c r="O311" s="14" t="str">
        <f t="shared" si="26"/>
        <v/>
      </c>
      <c r="P311" s="14" t="str">
        <f t="shared" si="27"/>
        <v/>
      </c>
      <c r="Q311" s="14" t="str">
        <f t="shared" si="28"/>
        <v/>
      </c>
      <c r="R311" s="14" t="str">
        <f t="shared" si="29"/>
        <v/>
      </c>
      <c r="S311" s="9"/>
    </row>
    <row r="312" spans="1:19" ht="14.25" customHeight="1">
      <c r="A312" s="9"/>
      <c r="B312" s="9"/>
      <c r="C312" s="9"/>
      <c r="D312" s="9"/>
      <c r="E312" s="9"/>
      <c r="F312" s="13"/>
      <c r="G312" s="9"/>
      <c r="H312" s="9"/>
      <c r="I312" s="9"/>
      <c r="J312" s="9"/>
      <c r="K312" s="14" t="str">
        <f t="shared" si="24"/>
        <v/>
      </c>
      <c r="L312" s="14" t="str">
        <f t="shared" si="25"/>
        <v/>
      </c>
      <c r="M312" s="9"/>
      <c r="N312" s="9"/>
      <c r="O312" s="14" t="str">
        <f t="shared" si="26"/>
        <v/>
      </c>
      <c r="P312" s="14" t="str">
        <f t="shared" si="27"/>
        <v/>
      </c>
      <c r="Q312" s="14" t="str">
        <f t="shared" si="28"/>
        <v/>
      </c>
      <c r="R312" s="14" t="str">
        <f t="shared" si="29"/>
        <v/>
      </c>
      <c r="S312" s="9"/>
    </row>
    <row r="313" spans="1:19" ht="14.25" customHeight="1">
      <c r="A313" s="9"/>
      <c r="B313" s="9"/>
      <c r="C313" s="9"/>
      <c r="D313" s="9"/>
      <c r="E313" s="9"/>
      <c r="F313" s="13"/>
      <c r="G313" s="9"/>
      <c r="H313" s="9"/>
      <c r="I313" s="9"/>
      <c r="J313" s="9"/>
      <c r="K313" s="14" t="str">
        <f t="shared" si="24"/>
        <v/>
      </c>
      <c r="L313" s="14" t="str">
        <f t="shared" si="25"/>
        <v/>
      </c>
      <c r="M313" s="9"/>
      <c r="N313" s="9"/>
      <c r="O313" s="14" t="str">
        <f t="shared" si="26"/>
        <v/>
      </c>
      <c r="P313" s="14" t="str">
        <f t="shared" si="27"/>
        <v/>
      </c>
      <c r="Q313" s="14" t="str">
        <f t="shared" si="28"/>
        <v/>
      </c>
      <c r="R313" s="14" t="str">
        <f t="shared" si="29"/>
        <v/>
      </c>
      <c r="S313" s="9"/>
    </row>
    <row r="314" spans="1:19" ht="14.25" customHeight="1">
      <c r="A314" s="9"/>
      <c r="B314" s="9"/>
      <c r="C314" s="9"/>
      <c r="D314" s="9"/>
      <c r="E314" s="9"/>
      <c r="F314" s="13"/>
      <c r="G314" s="9"/>
      <c r="H314" s="9"/>
      <c r="I314" s="9"/>
      <c r="J314" s="9"/>
      <c r="K314" s="14" t="str">
        <f t="shared" si="24"/>
        <v/>
      </c>
      <c r="L314" s="14" t="str">
        <f t="shared" si="25"/>
        <v/>
      </c>
      <c r="M314" s="9"/>
      <c r="N314" s="9"/>
      <c r="O314" s="14" t="str">
        <f t="shared" si="26"/>
        <v/>
      </c>
      <c r="P314" s="14" t="str">
        <f t="shared" si="27"/>
        <v/>
      </c>
      <c r="Q314" s="14" t="str">
        <f t="shared" si="28"/>
        <v/>
      </c>
      <c r="R314" s="14" t="str">
        <f t="shared" si="29"/>
        <v/>
      </c>
      <c r="S314" s="9"/>
    </row>
    <row r="315" spans="1:19" ht="14.25" customHeight="1">
      <c r="A315" s="9"/>
      <c r="B315" s="9"/>
      <c r="C315" s="9"/>
      <c r="D315" s="9"/>
      <c r="E315" s="9"/>
      <c r="F315" s="13"/>
      <c r="G315" s="9"/>
      <c r="H315" s="9"/>
      <c r="I315" s="9"/>
      <c r="J315" s="9"/>
      <c r="K315" s="14" t="str">
        <f t="shared" si="24"/>
        <v/>
      </c>
      <c r="L315" s="14" t="str">
        <f t="shared" si="25"/>
        <v/>
      </c>
      <c r="M315" s="9"/>
      <c r="N315" s="9"/>
      <c r="O315" s="14" t="str">
        <f t="shared" si="26"/>
        <v/>
      </c>
      <c r="P315" s="14" t="str">
        <f t="shared" si="27"/>
        <v/>
      </c>
      <c r="Q315" s="14" t="str">
        <f t="shared" si="28"/>
        <v/>
      </c>
      <c r="R315" s="14" t="str">
        <f t="shared" si="29"/>
        <v/>
      </c>
      <c r="S315" s="9"/>
    </row>
    <row r="316" spans="1:19" ht="14.25" customHeight="1">
      <c r="A316" s="9"/>
      <c r="B316" s="9"/>
      <c r="C316" s="9"/>
      <c r="D316" s="9"/>
      <c r="E316" s="9"/>
      <c r="F316" s="13"/>
      <c r="G316" s="9"/>
      <c r="H316" s="9"/>
      <c r="I316" s="9"/>
      <c r="J316" s="9"/>
      <c r="K316" s="14" t="str">
        <f t="shared" si="24"/>
        <v/>
      </c>
      <c r="L316" s="14" t="str">
        <f t="shared" si="25"/>
        <v/>
      </c>
      <c r="M316" s="9"/>
      <c r="N316" s="9"/>
      <c r="O316" s="14" t="str">
        <f t="shared" si="26"/>
        <v/>
      </c>
      <c r="P316" s="14" t="str">
        <f t="shared" si="27"/>
        <v/>
      </c>
      <c r="Q316" s="14" t="str">
        <f t="shared" si="28"/>
        <v/>
      </c>
      <c r="R316" s="14" t="str">
        <f t="shared" si="29"/>
        <v/>
      </c>
      <c r="S316" s="9"/>
    </row>
    <row r="317" spans="1:19" ht="14.25" customHeight="1">
      <c r="A317" s="9"/>
      <c r="B317" s="9"/>
      <c r="C317" s="9"/>
      <c r="D317" s="9"/>
      <c r="E317" s="9"/>
      <c r="F317" s="13"/>
      <c r="G317" s="9"/>
      <c r="H317" s="9"/>
      <c r="I317" s="9"/>
      <c r="J317" s="9"/>
      <c r="K317" s="14" t="str">
        <f t="shared" si="24"/>
        <v/>
      </c>
      <c r="L317" s="14" t="str">
        <f t="shared" si="25"/>
        <v/>
      </c>
      <c r="M317" s="9"/>
      <c r="N317" s="9"/>
      <c r="O317" s="14" t="str">
        <f t="shared" si="26"/>
        <v/>
      </c>
      <c r="P317" s="14" t="str">
        <f t="shared" si="27"/>
        <v/>
      </c>
      <c r="Q317" s="14" t="str">
        <f t="shared" si="28"/>
        <v/>
      </c>
      <c r="R317" s="14" t="str">
        <f t="shared" si="29"/>
        <v/>
      </c>
      <c r="S317" s="9"/>
    </row>
    <row r="318" spans="1:19" ht="14.25" customHeight="1">
      <c r="A318" s="9"/>
      <c r="B318" s="9"/>
      <c r="C318" s="9"/>
      <c r="D318" s="9"/>
      <c r="E318" s="9"/>
      <c r="F318" s="13"/>
      <c r="G318" s="9"/>
      <c r="H318" s="9"/>
      <c r="I318" s="9"/>
      <c r="J318" s="9"/>
      <c r="K318" s="14" t="str">
        <f t="shared" si="24"/>
        <v/>
      </c>
      <c r="L318" s="14" t="str">
        <f t="shared" si="25"/>
        <v/>
      </c>
      <c r="M318" s="9"/>
      <c r="N318" s="9"/>
      <c r="O318" s="14" t="str">
        <f t="shared" si="26"/>
        <v/>
      </c>
      <c r="P318" s="14" t="str">
        <f t="shared" si="27"/>
        <v/>
      </c>
      <c r="Q318" s="14" t="str">
        <f t="shared" si="28"/>
        <v/>
      </c>
      <c r="R318" s="14" t="str">
        <f t="shared" si="29"/>
        <v/>
      </c>
      <c r="S318" s="9"/>
    </row>
    <row r="319" spans="1:19" ht="14.25" customHeight="1">
      <c r="A319" s="9"/>
      <c r="B319" s="9"/>
      <c r="C319" s="9"/>
      <c r="D319" s="9"/>
      <c r="E319" s="9"/>
      <c r="F319" s="13"/>
      <c r="G319" s="9"/>
      <c r="H319" s="9"/>
      <c r="I319" s="9"/>
      <c r="J319" s="9"/>
      <c r="K319" s="14" t="str">
        <f t="shared" si="24"/>
        <v/>
      </c>
      <c r="L319" s="14" t="str">
        <f t="shared" si="25"/>
        <v/>
      </c>
      <c r="M319" s="9"/>
      <c r="N319" s="9"/>
      <c r="O319" s="14" t="str">
        <f t="shared" si="26"/>
        <v/>
      </c>
      <c r="P319" s="14" t="str">
        <f t="shared" si="27"/>
        <v/>
      </c>
      <c r="Q319" s="14" t="str">
        <f t="shared" si="28"/>
        <v/>
      </c>
      <c r="R319" s="14" t="str">
        <f t="shared" si="29"/>
        <v/>
      </c>
      <c r="S319" s="9"/>
    </row>
    <row r="320" spans="1:19" ht="14.25" customHeight="1">
      <c r="A320" s="9"/>
      <c r="B320" s="9"/>
      <c r="C320" s="9"/>
      <c r="D320" s="9"/>
      <c r="E320" s="9"/>
      <c r="F320" s="13"/>
      <c r="G320" s="9"/>
      <c r="H320" s="9"/>
      <c r="I320" s="9"/>
      <c r="J320" s="9"/>
      <c r="K320" s="14" t="str">
        <f t="shared" si="24"/>
        <v/>
      </c>
      <c r="L320" s="14" t="str">
        <f t="shared" si="25"/>
        <v/>
      </c>
      <c r="M320" s="9"/>
      <c r="N320" s="9"/>
      <c r="O320" s="14" t="str">
        <f t="shared" si="26"/>
        <v/>
      </c>
      <c r="P320" s="14" t="str">
        <f t="shared" si="27"/>
        <v/>
      </c>
      <c r="Q320" s="14" t="str">
        <f t="shared" si="28"/>
        <v/>
      </c>
      <c r="R320" s="14" t="str">
        <f t="shared" si="29"/>
        <v/>
      </c>
      <c r="S320" s="9"/>
    </row>
    <row r="321" spans="1:19" ht="14.25" customHeight="1">
      <c r="A321" s="9"/>
      <c r="B321" s="9"/>
      <c r="C321" s="9"/>
      <c r="D321" s="9"/>
      <c r="E321" s="9"/>
      <c r="F321" s="13"/>
      <c r="G321" s="9"/>
      <c r="H321" s="9"/>
      <c r="I321" s="9"/>
      <c r="J321" s="9"/>
      <c r="K321" s="14" t="str">
        <f t="shared" si="24"/>
        <v/>
      </c>
      <c r="L321" s="14" t="str">
        <f t="shared" si="25"/>
        <v/>
      </c>
      <c r="M321" s="9"/>
      <c r="N321" s="9"/>
      <c r="O321" s="14" t="str">
        <f t="shared" si="26"/>
        <v/>
      </c>
      <c r="P321" s="14" t="str">
        <f t="shared" si="27"/>
        <v/>
      </c>
      <c r="Q321" s="14" t="str">
        <f t="shared" si="28"/>
        <v/>
      </c>
      <c r="R321" s="14" t="str">
        <f t="shared" si="29"/>
        <v/>
      </c>
      <c r="S321" s="9"/>
    </row>
    <row r="322" spans="1:19" ht="14.25" customHeight="1">
      <c r="A322" s="9"/>
      <c r="B322" s="9"/>
      <c r="C322" s="9"/>
      <c r="D322" s="9"/>
      <c r="E322" s="9"/>
      <c r="F322" s="13"/>
      <c r="G322" s="9"/>
      <c r="H322" s="9"/>
      <c r="I322" s="9"/>
      <c r="J322" s="9"/>
      <c r="K322" s="14" t="str">
        <f t="shared" si="24"/>
        <v/>
      </c>
      <c r="L322" s="14" t="str">
        <f t="shared" si="25"/>
        <v/>
      </c>
      <c r="M322" s="9"/>
      <c r="N322" s="9"/>
      <c r="O322" s="14" t="str">
        <f t="shared" si="26"/>
        <v/>
      </c>
      <c r="P322" s="14" t="str">
        <f t="shared" si="27"/>
        <v/>
      </c>
      <c r="Q322" s="14" t="str">
        <f t="shared" si="28"/>
        <v/>
      </c>
      <c r="R322" s="14" t="str">
        <f t="shared" si="29"/>
        <v/>
      </c>
      <c r="S322" s="9"/>
    </row>
    <row r="323" spans="1:19" ht="14.25" customHeight="1">
      <c r="A323" s="9"/>
      <c r="B323" s="9"/>
      <c r="C323" s="9"/>
      <c r="D323" s="9"/>
      <c r="E323" s="9"/>
      <c r="F323" s="13"/>
      <c r="G323" s="9"/>
      <c r="H323" s="9"/>
      <c r="I323" s="9"/>
      <c r="J323" s="9"/>
      <c r="K323" s="14" t="str">
        <f t="shared" si="24"/>
        <v/>
      </c>
      <c r="L323" s="14" t="str">
        <f t="shared" si="25"/>
        <v/>
      </c>
      <c r="M323" s="9"/>
      <c r="N323" s="9"/>
      <c r="O323" s="14" t="str">
        <f t="shared" si="26"/>
        <v/>
      </c>
      <c r="P323" s="14" t="str">
        <f t="shared" si="27"/>
        <v/>
      </c>
      <c r="Q323" s="14" t="str">
        <f t="shared" si="28"/>
        <v/>
      </c>
      <c r="R323" s="14" t="str">
        <f t="shared" si="29"/>
        <v/>
      </c>
      <c r="S323" s="9"/>
    </row>
    <row r="324" spans="1:19" ht="14.25" customHeight="1">
      <c r="A324" s="9"/>
      <c r="B324" s="9"/>
      <c r="C324" s="9"/>
      <c r="D324" s="9"/>
      <c r="E324" s="9"/>
      <c r="F324" s="13"/>
      <c r="G324" s="9"/>
      <c r="H324" s="9"/>
      <c r="I324" s="9"/>
      <c r="J324" s="9"/>
      <c r="K324" s="14" t="str">
        <f t="shared" si="24"/>
        <v/>
      </c>
      <c r="L324" s="14" t="str">
        <f t="shared" si="25"/>
        <v/>
      </c>
      <c r="M324" s="9"/>
      <c r="N324" s="9"/>
      <c r="O324" s="14" t="str">
        <f t="shared" si="26"/>
        <v/>
      </c>
      <c r="P324" s="14" t="str">
        <f t="shared" si="27"/>
        <v/>
      </c>
      <c r="Q324" s="14" t="str">
        <f t="shared" si="28"/>
        <v/>
      </c>
      <c r="R324" s="14" t="str">
        <f t="shared" si="29"/>
        <v/>
      </c>
      <c r="S324" s="9"/>
    </row>
    <row r="325" spans="1:19" ht="14.25" customHeight="1">
      <c r="A325" s="9"/>
      <c r="B325" s="9"/>
      <c r="C325" s="9"/>
      <c r="D325" s="9"/>
      <c r="E325" s="9"/>
      <c r="F325" s="13"/>
      <c r="G325" s="9"/>
      <c r="H325" s="9"/>
      <c r="I325" s="9"/>
      <c r="J325" s="9"/>
      <c r="K325" s="14" t="str">
        <f t="shared" si="24"/>
        <v/>
      </c>
      <c r="L325" s="14" t="str">
        <f t="shared" si="25"/>
        <v/>
      </c>
      <c r="M325" s="9"/>
      <c r="N325" s="9"/>
      <c r="O325" s="14" t="str">
        <f t="shared" si="26"/>
        <v/>
      </c>
      <c r="P325" s="14" t="str">
        <f t="shared" si="27"/>
        <v/>
      </c>
      <c r="Q325" s="14" t="str">
        <f t="shared" si="28"/>
        <v/>
      </c>
      <c r="R325" s="14" t="str">
        <f t="shared" si="29"/>
        <v/>
      </c>
      <c r="S325" s="9"/>
    </row>
    <row r="326" spans="1:19" ht="14.25" customHeight="1">
      <c r="A326" s="9"/>
      <c r="B326" s="9"/>
      <c r="C326" s="9"/>
      <c r="D326" s="9"/>
      <c r="E326" s="9"/>
      <c r="F326" s="13"/>
      <c r="G326" s="9"/>
      <c r="H326" s="9"/>
      <c r="I326" s="9"/>
      <c r="J326" s="9"/>
      <c r="K326" s="14" t="str">
        <f t="shared" ref="K326:K389" si="30">IF(OR(I326="",J326=""),"",I326&amp;"-"&amp;J326)</f>
        <v/>
      </c>
      <c r="L326" s="14" t="str">
        <f t="shared" ref="L326:L389" si="31">IF(OR(I326="",J326=""),"",IF(I326&gt;J326,"Gana",IF(I326=J326,"Empata","Pierde")))</f>
        <v/>
      </c>
      <c r="M326" s="9"/>
      <c r="N326" s="9"/>
      <c r="O326" s="14" t="str">
        <f t="shared" ref="O326:O389" si="32">IF(OR(I326="",J326=""),"",I326+J326)</f>
        <v/>
      </c>
      <c r="P326" s="14" t="str">
        <f t="shared" ref="P326:P389" si="33">IF(OR(I326="",J326=""),"",I326-J326)</f>
        <v/>
      </c>
      <c r="Q326" s="14" t="str">
        <f t="shared" ref="Q326:Q389" si="34">IF(L326="","",IF(L326="Gana",3,IF(L326="Empata",1,0)))</f>
        <v/>
      </c>
      <c r="R326" s="14" t="str">
        <f t="shared" ref="R326:R389" si="35">IF(L326="","",IF(L326="Pierde",3,IF(L326="Empata",1,0)))</f>
        <v/>
      </c>
      <c r="S326" s="9"/>
    </row>
    <row r="327" spans="1:19" ht="14.25" customHeight="1">
      <c r="A327" s="9"/>
      <c r="B327" s="9"/>
      <c r="C327" s="9"/>
      <c r="D327" s="9"/>
      <c r="E327" s="9"/>
      <c r="F327" s="13"/>
      <c r="G327" s="9"/>
      <c r="H327" s="9"/>
      <c r="I327" s="9"/>
      <c r="J327" s="9"/>
      <c r="K327" s="14" t="str">
        <f t="shared" si="30"/>
        <v/>
      </c>
      <c r="L327" s="14" t="str">
        <f t="shared" si="31"/>
        <v/>
      </c>
      <c r="M327" s="9"/>
      <c r="N327" s="9"/>
      <c r="O327" s="14" t="str">
        <f t="shared" si="32"/>
        <v/>
      </c>
      <c r="P327" s="14" t="str">
        <f t="shared" si="33"/>
        <v/>
      </c>
      <c r="Q327" s="14" t="str">
        <f t="shared" si="34"/>
        <v/>
      </c>
      <c r="R327" s="14" t="str">
        <f t="shared" si="35"/>
        <v/>
      </c>
      <c r="S327" s="9"/>
    </row>
    <row r="328" spans="1:19" ht="14.25" customHeight="1">
      <c r="A328" s="9"/>
      <c r="B328" s="9"/>
      <c r="C328" s="9"/>
      <c r="D328" s="9"/>
      <c r="E328" s="9"/>
      <c r="F328" s="13"/>
      <c r="G328" s="9"/>
      <c r="H328" s="9"/>
      <c r="I328" s="9"/>
      <c r="J328" s="9"/>
      <c r="K328" s="14" t="str">
        <f t="shared" si="30"/>
        <v/>
      </c>
      <c r="L328" s="14" t="str">
        <f t="shared" si="31"/>
        <v/>
      </c>
      <c r="M328" s="9"/>
      <c r="N328" s="9"/>
      <c r="O328" s="14" t="str">
        <f t="shared" si="32"/>
        <v/>
      </c>
      <c r="P328" s="14" t="str">
        <f t="shared" si="33"/>
        <v/>
      </c>
      <c r="Q328" s="14" t="str">
        <f t="shared" si="34"/>
        <v/>
      </c>
      <c r="R328" s="14" t="str">
        <f t="shared" si="35"/>
        <v/>
      </c>
      <c r="S328" s="9"/>
    </row>
    <row r="329" spans="1:19" ht="14.25" customHeight="1">
      <c r="A329" s="9"/>
      <c r="B329" s="9"/>
      <c r="C329" s="9"/>
      <c r="D329" s="9"/>
      <c r="E329" s="9"/>
      <c r="F329" s="13"/>
      <c r="G329" s="9"/>
      <c r="H329" s="9"/>
      <c r="I329" s="9"/>
      <c r="J329" s="9"/>
      <c r="K329" s="14" t="str">
        <f t="shared" si="30"/>
        <v/>
      </c>
      <c r="L329" s="14" t="str">
        <f t="shared" si="31"/>
        <v/>
      </c>
      <c r="M329" s="9"/>
      <c r="N329" s="9"/>
      <c r="O329" s="14" t="str">
        <f t="shared" si="32"/>
        <v/>
      </c>
      <c r="P329" s="14" t="str">
        <f t="shared" si="33"/>
        <v/>
      </c>
      <c r="Q329" s="14" t="str">
        <f t="shared" si="34"/>
        <v/>
      </c>
      <c r="R329" s="14" t="str">
        <f t="shared" si="35"/>
        <v/>
      </c>
      <c r="S329" s="9"/>
    </row>
    <row r="330" spans="1:19" ht="14.25" customHeight="1">
      <c r="A330" s="9"/>
      <c r="B330" s="9"/>
      <c r="C330" s="9"/>
      <c r="D330" s="9"/>
      <c r="E330" s="9"/>
      <c r="F330" s="13"/>
      <c r="G330" s="9"/>
      <c r="H330" s="9"/>
      <c r="I330" s="9"/>
      <c r="J330" s="9"/>
      <c r="K330" s="14" t="str">
        <f t="shared" si="30"/>
        <v/>
      </c>
      <c r="L330" s="14" t="str">
        <f t="shared" si="31"/>
        <v/>
      </c>
      <c r="M330" s="9"/>
      <c r="N330" s="9"/>
      <c r="O330" s="14" t="str">
        <f t="shared" si="32"/>
        <v/>
      </c>
      <c r="P330" s="14" t="str">
        <f t="shared" si="33"/>
        <v/>
      </c>
      <c r="Q330" s="14" t="str">
        <f t="shared" si="34"/>
        <v/>
      </c>
      <c r="R330" s="14" t="str">
        <f t="shared" si="35"/>
        <v/>
      </c>
      <c r="S330" s="9"/>
    </row>
    <row r="331" spans="1:19" ht="14.25" customHeight="1">
      <c r="A331" s="9"/>
      <c r="B331" s="9"/>
      <c r="C331" s="9"/>
      <c r="D331" s="9"/>
      <c r="E331" s="9"/>
      <c r="F331" s="13"/>
      <c r="G331" s="9"/>
      <c r="H331" s="9"/>
      <c r="I331" s="9"/>
      <c r="J331" s="9"/>
      <c r="K331" s="14" t="str">
        <f t="shared" si="30"/>
        <v/>
      </c>
      <c r="L331" s="14" t="str">
        <f t="shared" si="31"/>
        <v/>
      </c>
      <c r="M331" s="9"/>
      <c r="N331" s="9"/>
      <c r="O331" s="14" t="str">
        <f t="shared" si="32"/>
        <v/>
      </c>
      <c r="P331" s="14" t="str">
        <f t="shared" si="33"/>
        <v/>
      </c>
      <c r="Q331" s="14" t="str">
        <f t="shared" si="34"/>
        <v/>
      </c>
      <c r="R331" s="14" t="str">
        <f t="shared" si="35"/>
        <v/>
      </c>
      <c r="S331" s="9"/>
    </row>
    <row r="332" spans="1:19" ht="14.25" customHeight="1">
      <c r="A332" s="9"/>
      <c r="B332" s="9"/>
      <c r="C332" s="9"/>
      <c r="D332" s="9"/>
      <c r="E332" s="9"/>
      <c r="F332" s="13"/>
      <c r="G332" s="9"/>
      <c r="H332" s="9"/>
      <c r="I332" s="9"/>
      <c r="J332" s="9"/>
      <c r="K332" s="14" t="str">
        <f t="shared" si="30"/>
        <v/>
      </c>
      <c r="L332" s="14" t="str">
        <f t="shared" si="31"/>
        <v/>
      </c>
      <c r="M332" s="9"/>
      <c r="N332" s="9"/>
      <c r="O332" s="14" t="str">
        <f t="shared" si="32"/>
        <v/>
      </c>
      <c r="P332" s="14" t="str">
        <f t="shared" si="33"/>
        <v/>
      </c>
      <c r="Q332" s="14" t="str">
        <f t="shared" si="34"/>
        <v/>
      </c>
      <c r="R332" s="14" t="str">
        <f t="shared" si="35"/>
        <v/>
      </c>
      <c r="S332" s="9"/>
    </row>
    <row r="333" spans="1:19" ht="14.25" customHeight="1">
      <c r="A333" s="9"/>
      <c r="B333" s="9"/>
      <c r="C333" s="9"/>
      <c r="D333" s="9"/>
      <c r="E333" s="9"/>
      <c r="F333" s="13"/>
      <c r="G333" s="9"/>
      <c r="H333" s="9"/>
      <c r="I333" s="9"/>
      <c r="J333" s="9"/>
      <c r="K333" s="14" t="str">
        <f t="shared" si="30"/>
        <v/>
      </c>
      <c r="L333" s="14" t="str">
        <f t="shared" si="31"/>
        <v/>
      </c>
      <c r="M333" s="9"/>
      <c r="N333" s="9"/>
      <c r="O333" s="14" t="str">
        <f t="shared" si="32"/>
        <v/>
      </c>
      <c r="P333" s="14" t="str">
        <f t="shared" si="33"/>
        <v/>
      </c>
      <c r="Q333" s="14" t="str">
        <f t="shared" si="34"/>
        <v/>
      </c>
      <c r="R333" s="14" t="str">
        <f t="shared" si="35"/>
        <v/>
      </c>
      <c r="S333" s="9"/>
    </row>
    <row r="334" spans="1:19" ht="14.25" customHeight="1">
      <c r="A334" s="9"/>
      <c r="B334" s="9"/>
      <c r="C334" s="9"/>
      <c r="D334" s="9"/>
      <c r="E334" s="9"/>
      <c r="F334" s="13"/>
      <c r="G334" s="9"/>
      <c r="H334" s="9"/>
      <c r="I334" s="9"/>
      <c r="J334" s="9"/>
      <c r="K334" s="14" t="str">
        <f t="shared" si="30"/>
        <v/>
      </c>
      <c r="L334" s="14" t="str">
        <f t="shared" si="31"/>
        <v/>
      </c>
      <c r="M334" s="9"/>
      <c r="N334" s="9"/>
      <c r="O334" s="14" t="str">
        <f t="shared" si="32"/>
        <v/>
      </c>
      <c r="P334" s="14" t="str">
        <f t="shared" si="33"/>
        <v/>
      </c>
      <c r="Q334" s="14" t="str">
        <f t="shared" si="34"/>
        <v/>
      </c>
      <c r="R334" s="14" t="str">
        <f t="shared" si="35"/>
        <v/>
      </c>
      <c r="S334" s="9"/>
    </row>
    <row r="335" spans="1:19" ht="14.25" customHeight="1">
      <c r="A335" s="9"/>
      <c r="B335" s="9"/>
      <c r="C335" s="9"/>
      <c r="D335" s="9"/>
      <c r="E335" s="9"/>
      <c r="F335" s="13"/>
      <c r="G335" s="9"/>
      <c r="H335" s="9"/>
      <c r="I335" s="9"/>
      <c r="J335" s="9"/>
      <c r="K335" s="14" t="str">
        <f t="shared" si="30"/>
        <v/>
      </c>
      <c r="L335" s="14" t="str">
        <f t="shared" si="31"/>
        <v/>
      </c>
      <c r="M335" s="9"/>
      <c r="N335" s="9"/>
      <c r="O335" s="14" t="str">
        <f t="shared" si="32"/>
        <v/>
      </c>
      <c r="P335" s="14" t="str">
        <f t="shared" si="33"/>
        <v/>
      </c>
      <c r="Q335" s="14" t="str">
        <f t="shared" si="34"/>
        <v/>
      </c>
      <c r="R335" s="14" t="str">
        <f t="shared" si="35"/>
        <v/>
      </c>
      <c r="S335" s="9"/>
    </row>
    <row r="336" spans="1:19" ht="14.25" customHeight="1">
      <c r="A336" s="9"/>
      <c r="B336" s="9"/>
      <c r="C336" s="9"/>
      <c r="D336" s="9"/>
      <c r="E336" s="9"/>
      <c r="F336" s="13"/>
      <c r="G336" s="9"/>
      <c r="H336" s="9"/>
      <c r="I336" s="9"/>
      <c r="J336" s="9"/>
      <c r="K336" s="14" t="str">
        <f t="shared" si="30"/>
        <v/>
      </c>
      <c r="L336" s="14" t="str">
        <f t="shared" si="31"/>
        <v/>
      </c>
      <c r="M336" s="9"/>
      <c r="N336" s="9"/>
      <c r="O336" s="14" t="str">
        <f t="shared" si="32"/>
        <v/>
      </c>
      <c r="P336" s="14" t="str">
        <f t="shared" si="33"/>
        <v/>
      </c>
      <c r="Q336" s="14" t="str">
        <f t="shared" si="34"/>
        <v/>
      </c>
      <c r="R336" s="14" t="str">
        <f t="shared" si="35"/>
        <v/>
      </c>
      <c r="S336" s="9"/>
    </row>
    <row r="337" spans="1:19" ht="14.25" customHeight="1">
      <c r="A337" s="9"/>
      <c r="B337" s="9"/>
      <c r="C337" s="9"/>
      <c r="D337" s="9"/>
      <c r="E337" s="9"/>
      <c r="F337" s="13"/>
      <c r="G337" s="9"/>
      <c r="H337" s="9"/>
      <c r="I337" s="9"/>
      <c r="J337" s="9"/>
      <c r="K337" s="14" t="str">
        <f t="shared" si="30"/>
        <v/>
      </c>
      <c r="L337" s="14" t="str">
        <f t="shared" si="31"/>
        <v/>
      </c>
      <c r="M337" s="9"/>
      <c r="N337" s="9"/>
      <c r="O337" s="14" t="str">
        <f t="shared" si="32"/>
        <v/>
      </c>
      <c r="P337" s="14" t="str">
        <f t="shared" si="33"/>
        <v/>
      </c>
      <c r="Q337" s="14" t="str">
        <f t="shared" si="34"/>
        <v/>
      </c>
      <c r="R337" s="14" t="str">
        <f t="shared" si="35"/>
        <v/>
      </c>
      <c r="S337" s="9"/>
    </row>
    <row r="338" spans="1:19" ht="14.25" customHeight="1">
      <c r="A338" s="9"/>
      <c r="B338" s="9"/>
      <c r="C338" s="9"/>
      <c r="D338" s="9"/>
      <c r="E338" s="9"/>
      <c r="F338" s="13"/>
      <c r="G338" s="9"/>
      <c r="H338" s="9"/>
      <c r="I338" s="9"/>
      <c r="J338" s="9"/>
      <c r="K338" s="14" t="str">
        <f t="shared" si="30"/>
        <v/>
      </c>
      <c r="L338" s="14" t="str">
        <f t="shared" si="31"/>
        <v/>
      </c>
      <c r="M338" s="9"/>
      <c r="N338" s="9"/>
      <c r="O338" s="14" t="str">
        <f t="shared" si="32"/>
        <v/>
      </c>
      <c r="P338" s="14" t="str">
        <f t="shared" si="33"/>
        <v/>
      </c>
      <c r="Q338" s="14" t="str">
        <f t="shared" si="34"/>
        <v/>
      </c>
      <c r="R338" s="14" t="str">
        <f t="shared" si="35"/>
        <v/>
      </c>
      <c r="S338" s="9"/>
    </row>
    <row r="339" spans="1:19" ht="14.25" customHeight="1">
      <c r="A339" s="9"/>
      <c r="B339" s="9"/>
      <c r="C339" s="9"/>
      <c r="D339" s="9"/>
      <c r="E339" s="9"/>
      <c r="F339" s="13"/>
      <c r="G339" s="9"/>
      <c r="H339" s="9"/>
      <c r="I339" s="9"/>
      <c r="J339" s="9"/>
      <c r="K339" s="14" t="str">
        <f t="shared" si="30"/>
        <v/>
      </c>
      <c r="L339" s="14" t="str">
        <f t="shared" si="31"/>
        <v/>
      </c>
      <c r="M339" s="9"/>
      <c r="N339" s="9"/>
      <c r="O339" s="14" t="str">
        <f t="shared" si="32"/>
        <v/>
      </c>
      <c r="P339" s="14" t="str">
        <f t="shared" si="33"/>
        <v/>
      </c>
      <c r="Q339" s="14" t="str">
        <f t="shared" si="34"/>
        <v/>
      </c>
      <c r="R339" s="14" t="str">
        <f t="shared" si="35"/>
        <v/>
      </c>
      <c r="S339" s="9"/>
    </row>
    <row r="340" spans="1:19" ht="14.25" customHeight="1">
      <c r="A340" s="9"/>
      <c r="B340" s="9"/>
      <c r="C340" s="9"/>
      <c r="D340" s="9"/>
      <c r="E340" s="9"/>
      <c r="F340" s="13"/>
      <c r="G340" s="9"/>
      <c r="H340" s="9"/>
      <c r="I340" s="9"/>
      <c r="J340" s="9"/>
      <c r="K340" s="14" t="str">
        <f t="shared" si="30"/>
        <v/>
      </c>
      <c r="L340" s="14" t="str">
        <f t="shared" si="31"/>
        <v/>
      </c>
      <c r="M340" s="9"/>
      <c r="N340" s="9"/>
      <c r="O340" s="14" t="str">
        <f t="shared" si="32"/>
        <v/>
      </c>
      <c r="P340" s="14" t="str">
        <f t="shared" si="33"/>
        <v/>
      </c>
      <c r="Q340" s="14" t="str">
        <f t="shared" si="34"/>
        <v/>
      </c>
      <c r="R340" s="14" t="str">
        <f t="shared" si="35"/>
        <v/>
      </c>
      <c r="S340" s="9"/>
    </row>
    <row r="341" spans="1:19" ht="14.25" customHeight="1">
      <c r="A341" s="9"/>
      <c r="B341" s="9"/>
      <c r="C341" s="9"/>
      <c r="D341" s="9"/>
      <c r="E341" s="9"/>
      <c r="F341" s="13"/>
      <c r="G341" s="9"/>
      <c r="H341" s="9"/>
      <c r="I341" s="9"/>
      <c r="J341" s="9"/>
      <c r="K341" s="14" t="str">
        <f t="shared" si="30"/>
        <v/>
      </c>
      <c r="L341" s="14" t="str">
        <f t="shared" si="31"/>
        <v/>
      </c>
      <c r="M341" s="9"/>
      <c r="N341" s="9"/>
      <c r="O341" s="14" t="str">
        <f t="shared" si="32"/>
        <v/>
      </c>
      <c r="P341" s="14" t="str">
        <f t="shared" si="33"/>
        <v/>
      </c>
      <c r="Q341" s="14" t="str">
        <f t="shared" si="34"/>
        <v/>
      </c>
      <c r="R341" s="14" t="str">
        <f t="shared" si="35"/>
        <v/>
      </c>
      <c r="S341" s="9"/>
    </row>
    <row r="342" spans="1:19" ht="14.25" customHeight="1">
      <c r="A342" s="9"/>
      <c r="B342" s="9"/>
      <c r="C342" s="9"/>
      <c r="D342" s="9"/>
      <c r="E342" s="9"/>
      <c r="F342" s="13"/>
      <c r="G342" s="9"/>
      <c r="H342" s="9"/>
      <c r="I342" s="9"/>
      <c r="J342" s="9"/>
      <c r="K342" s="14" t="str">
        <f t="shared" si="30"/>
        <v/>
      </c>
      <c r="L342" s="14" t="str">
        <f t="shared" si="31"/>
        <v/>
      </c>
      <c r="M342" s="9"/>
      <c r="N342" s="9"/>
      <c r="O342" s="14" t="str">
        <f t="shared" si="32"/>
        <v/>
      </c>
      <c r="P342" s="14" t="str">
        <f t="shared" si="33"/>
        <v/>
      </c>
      <c r="Q342" s="14" t="str">
        <f t="shared" si="34"/>
        <v/>
      </c>
      <c r="R342" s="14" t="str">
        <f t="shared" si="35"/>
        <v/>
      </c>
      <c r="S342" s="9"/>
    </row>
    <row r="343" spans="1:19" ht="14.25" customHeight="1">
      <c r="A343" s="9"/>
      <c r="B343" s="9"/>
      <c r="C343" s="9"/>
      <c r="D343" s="9"/>
      <c r="E343" s="9"/>
      <c r="F343" s="13"/>
      <c r="G343" s="9"/>
      <c r="H343" s="9"/>
      <c r="I343" s="9"/>
      <c r="J343" s="9"/>
      <c r="K343" s="14" t="str">
        <f t="shared" si="30"/>
        <v/>
      </c>
      <c r="L343" s="14" t="str">
        <f t="shared" si="31"/>
        <v/>
      </c>
      <c r="M343" s="9"/>
      <c r="N343" s="9"/>
      <c r="O343" s="14" t="str">
        <f t="shared" si="32"/>
        <v/>
      </c>
      <c r="P343" s="14" t="str">
        <f t="shared" si="33"/>
        <v/>
      </c>
      <c r="Q343" s="14" t="str">
        <f t="shared" si="34"/>
        <v/>
      </c>
      <c r="R343" s="14" t="str">
        <f t="shared" si="35"/>
        <v/>
      </c>
      <c r="S343" s="9"/>
    </row>
    <row r="344" spans="1:19" ht="14.25" customHeight="1">
      <c r="A344" s="9"/>
      <c r="B344" s="9"/>
      <c r="C344" s="9"/>
      <c r="D344" s="9"/>
      <c r="E344" s="9"/>
      <c r="F344" s="13"/>
      <c r="G344" s="9"/>
      <c r="H344" s="9"/>
      <c r="I344" s="9"/>
      <c r="J344" s="9"/>
      <c r="K344" s="14" t="str">
        <f t="shared" si="30"/>
        <v/>
      </c>
      <c r="L344" s="14" t="str">
        <f t="shared" si="31"/>
        <v/>
      </c>
      <c r="M344" s="9"/>
      <c r="N344" s="9"/>
      <c r="O344" s="14" t="str">
        <f t="shared" si="32"/>
        <v/>
      </c>
      <c r="P344" s="14" t="str">
        <f t="shared" si="33"/>
        <v/>
      </c>
      <c r="Q344" s="14" t="str">
        <f t="shared" si="34"/>
        <v/>
      </c>
      <c r="R344" s="14" t="str">
        <f t="shared" si="35"/>
        <v/>
      </c>
      <c r="S344" s="9"/>
    </row>
    <row r="345" spans="1:19" ht="14.25" customHeight="1">
      <c r="A345" s="9"/>
      <c r="B345" s="9"/>
      <c r="C345" s="9"/>
      <c r="D345" s="9"/>
      <c r="E345" s="9"/>
      <c r="F345" s="13"/>
      <c r="G345" s="9"/>
      <c r="H345" s="9"/>
      <c r="I345" s="9"/>
      <c r="J345" s="9"/>
      <c r="K345" s="14" t="str">
        <f t="shared" si="30"/>
        <v/>
      </c>
      <c r="L345" s="14" t="str">
        <f t="shared" si="31"/>
        <v/>
      </c>
      <c r="M345" s="9"/>
      <c r="N345" s="9"/>
      <c r="O345" s="14" t="str">
        <f t="shared" si="32"/>
        <v/>
      </c>
      <c r="P345" s="14" t="str">
        <f t="shared" si="33"/>
        <v/>
      </c>
      <c r="Q345" s="14" t="str">
        <f t="shared" si="34"/>
        <v/>
      </c>
      <c r="R345" s="14" t="str">
        <f t="shared" si="35"/>
        <v/>
      </c>
      <c r="S345" s="9"/>
    </row>
    <row r="346" spans="1:19" ht="14.25" customHeight="1">
      <c r="A346" s="9"/>
      <c r="B346" s="9"/>
      <c r="C346" s="9"/>
      <c r="D346" s="9"/>
      <c r="E346" s="9"/>
      <c r="F346" s="13"/>
      <c r="G346" s="9"/>
      <c r="H346" s="9"/>
      <c r="I346" s="9"/>
      <c r="J346" s="9"/>
      <c r="K346" s="14" t="str">
        <f t="shared" si="30"/>
        <v/>
      </c>
      <c r="L346" s="14" t="str">
        <f t="shared" si="31"/>
        <v/>
      </c>
      <c r="M346" s="9"/>
      <c r="N346" s="9"/>
      <c r="O346" s="14" t="str">
        <f t="shared" si="32"/>
        <v/>
      </c>
      <c r="P346" s="14" t="str">
        <f t="shared" si="33"/>
        <v/>
      </c>
      <c r="Q346" s="14" t="str">
        <f t="shared" si="34"/>
        <v/>
      </c>
      <c r="R346" s="14" t="str">
        <f t="shared" si="35"/>
        <v/>
      </c>
      <c r="S346" s="9"/>
    </row>
    <row r="347" spans="1:19" ht="14.25" customHeight="1">
      <c r="A347" s="9"/>
      <c r="B347" s="9"/>
      <c r="C347" s="9"/>
      <c r="D347" s="9"/>
      <c r="E347" s="9"/>
      <c r="F347" s="13"/>
      <c r="G347" s="9"/>
      <c r="H347" s="9"/>
      <c r="I347" s="9"/>
      <c r="J347" s="9"/>
      <c r="K347" s="14" t="str">
        <f t="shared" si="30"/>
        <v/>
      </c>
      <c r="L347" s="14" t="str">
        <f t="shared" si="31"/>
        <v/>
      </c>
      <c r="M347" s="9"/>
      <c r="N347" s="9"/>
      <c r="O347" s="14" t="str">
        <f t="shared" si="32"/>
        <v/>
      </c>
      <c r="P347" s="14" t="str">
        <f t="shared" si="33"/>
        <v/>
      </c>
      <c r="Q347" s="14" t="str">
        <f t="shared" si="34"/>
        <v/>
      </c>
      <c r="R347" s="14" t="str">
        <f t="shared" si="35"/>
        <v/>
      </c>
      <c r="S347" s="9"/>
    </row>
    <row r="348" spans="1:19" ht="14.25" customHeight="1">
      <c r="A348" s="9"/>
      <c r="B348" s="9"/>
      <c r="C348" s="9"/>
      <c r="D348" s="9"/>
      <c r="E348" s="9"/>
      <c r="F348" s="13"/>
      <c r="G348" s="9"/>
      <c r="H348" s="9"/>
      <c r="I348" s="9"/>
      <c r="J348" s="9"/>
      <c r="K348" s="14" t="str">
        <f t="shared" si="30"/>
        <v/>
      </c>
      <c r="L348" s="14" t="str">
        <f t="shared" si="31"/>
        <v/>
      </c>
      <c r="M348" s="9"/>
      <c r="N348" s="9"/>
      <c r="O348" s="14" t="str">
        <f t="shared" si="32"/>
        <v/>
      </c>
      <c r="P348" s="14" t="str">
        <f t="shared" si="33"/>
        <v/>
      </c>
      <c r="Q348" s="14" t="str">
        <f t="shared" si="34"/>
        <v/>
      </c>
      <c r="R348" s="14" t="str">
        <f t="shared" si="35"/>
        <v/>
      </c>
      <c r="S348" s="9"/>
    </row>
    <row r="349" spans="1:19" ht="14.25" customHeight="1">
      <c r="A349" s="9"/>
      <c r="B349" s="9"/>
      <c r="C349" s="9"/>
      <c r="D349" s="9"/>
      <c r="E349" s="9"/>
      <c r="F349" s="13"/>
      <c r="G349" s="9"/>
      <c r="H349" s="9"/>
      <c r="I349" s="9"/>
      <c r="J349" s="9"/>
      <c r="K349" s="14" t="str">
        <f t="shared" si="30"/>
        <v/>
      </c>
      <c r="L349" s="14" t="str">
        <f t="shared" si="31"/>
        <v/>
      </c>
      <c r="M349" s="9"/>
      <c r="N349" s="9"/>
      <c r="O349" s="14" t="str">
        <f t="shared" si="32"/>
        <v/>
      </c>
      <c r="P349" s="14" t="str">
        <f t="shared" si="33"/>
        <v/>
      </c>
      <c r="Q349" s="14" t="str">
        <f t="shared" si="34"/>
        <v/>
      </c>
      <c r="R349" s="14" t="str">
        <f t="shared" si="35"/>
        <v/>
      </c>
      <c r="S349" s="9"/>
    </row>
    <row r="350" spans="1:19" ht="14.25" customHeight="1">
      <c r="A350" s="9"/>
      <c r="B350" s="9"/>
      <c r="C350" s="9"/>
      <c r="D350" s="9"/>
      <c r="E350" s="9"/>
      <c r="F350" s="13"/>
      <c r="G350" s="9"/>
      <c r="H350" s="9"/>
      <c r="I350" s="9"/>
      <c r="J350" s="9"/>
      <c r="K350" s="14" t="str">
        <f t="shared" si="30"/>
        <v/>
      </c>
      <c r="L350" s="14" t="str">
        <f t="shared" si="31"/>
        <v/>
      </c>
      <c r="M350" s="9"/>
      <c r="N350" s="9"/>
      <c r="O350" s="14" t="str">
        <f t="shared" si="32"/>
        <v/>
      </c>
      <c r="P350" s="14" t="str">
        <f t="shared" si="33"/>
        <v/>
      </c>
      <c r="Q350" s="14" t="str">
        <f t="shared" si="34"/>
        <v/>
      </c>
      <c r="R350" s="14" t="str">
        <f t="shared" si="35"/>
        <v/>
      </c>
      <c r="S350" s="9"/>
    </row>
    <row r="351" spans="1:19" ht="14.25" customHeight="1">
      <c r="A351" s="9"/>
      <c r="B351" s="9"/>
      <c r="C351" s="9"/>
      <c r="D351" s="9"/>
      <c r="E351" s="9"/>
      <c r="F351" s="13"/>
      <c r="G351" s="9"/>
      <c r="H351" s="9"/>
      <c r="I351" s="9"/>
      <c r="J351" s="9"/>
      <c r="K351" s="14" t="str">
        <f t="shared" si="30"/>
        <v/>
      </c>
      <c r="L351" s="14" t="str">
        <f t="shared" si="31"/>
        <v/>
      </c>
      <c r="M351" s="9"/>
      <c r="N351" s="9"/>
      <c r="O351" s="14" t="str">
        <f t="shared" si="32"/>
        <v/>
      </c>
      <c r="P351" s="14" t="str">
        <f t="shared" si="33"/>
        <v/>
      </c>
      <c r="Q351" s="14" t="str">
        <f t="shared" si="34"/>
        <v/>
      </c>
      <c r="R351" s="14" t="str">
        <f t="shared" si="35"/>
        <v/>
      </c>
      <c r="S351" s="9"/>
    </row>
    <row r="352" spans="1:19" ht="14.25" customHeight="1">
      <c r="A352" s="9"/>
      <c r="B352" s="9"/>
      <c r="C352" s="9"/>
      <c r="D352" s="9"/>
      <c r="E352" s="9"/>
      <c r="F352" s="13"/>
      <c r="G352" s="9"/>
      <c r="H352" s="9"/>
      <c r="I352" s="9"/>
      <c r="J352" s="9"/>
      <c r="K352" s="14" t="str">
        <f t="shared" si="30"/>
        <v/>
      </c>
      <c r="L352" s="14" t="str">
        <f t="shared" si="31"/>
        <v/>
      </c>
      <c r="M352" s="9"/>
      <c r="N352" s="9"/>
      <c r="O352" s="14" t="str">
        <f t="shared" si="32"/>
        <v/>
      </c>
      <c r="P352" s="14" t="str">
        <f t="shared" si="33"/>
        <v/>
      </c>
      <c r="Q352" s="14" t="str">
        <f t="shared" si="34"/>
        <v/>
      </c>
      <c r="R352" s="14" t="str">
        <f t="shared" si="35"/>
        <v/>
      </c>
      <c r="S352" s="9"/>
    </row>
    <row r="353" spans="1:19" ht="14.25" customHeight="1">
      <c r="A353" s="9"/>
      <c r="B353" s="9"/>
      <c r="C353" s="9"/>
      <c r="D353" s="9"/>
      <c r="E353" s="9"/>
      <c r="F353" s="13"/>
      <c r="G353" s="9"/>
      <c r="H353" s="9"/>
      <c r="I353" s="9"/>
      <c r="J353" s="9"/>
      <c r="K353" s="14" t="str">
        <f t="shared" si="30"/>
        <v/>
      </c>
      <c r="L353" s="14" t="str">
        <f t="shared" si="31"/>
        <v/>
      </c>
      <c r="M353" s="9"/>
      <c r="N353" s="9"/>
      <c r="O353" s="14" t="str">
        <f t="shared" si="32"/>
        <v/>
      </c>
      <c r="P353" s="14" t="str">
        <f t="shared" si="33"/>
        <v/>
      </c>
      <c r="Q353" s="14" t="str">
        <f t="shared" si="34"/>
        <v/>
      </c>
      <c r="R353" s="14" t="str">
        <f t="shared" si="35"/>
        <v/>
      </c>
      <c r="S353" s="9"/>
    </row>
    <row r="354" spans="1:19" ht="14.25" customHeight="1">
      <c r="A354" s="9"/>
      <c r="B354" s="9"/>
      <c r="C354" s="9"/>
      <c r="D354" s="9"/>
      <c r="E354" s="9"/>
      <c r="F354" s="13"/>
      <c r="G354" s="9"/>
      <c r="H354" s="9"/>
      <c r="I354" s="9"/>
      <c r="J354" s="9"/>
      <c r="K354" s="14" t="str">
        <f t="shared" si="30"/>
        <v/>
      </c>
      <c r="L354" s="14" t="str">
        <f t="shared" si="31"/>
        <v/>
      </c>
      <c r="M354" s="9"/>
      <c r="N354" s="9"/>
      <c r="O354" s="14" t="str">
        <f t="shared" si="32"/>
        <v/>
      </c>
      <c r="P354" s="14" t="str">
        <f t="shared" si="33"/>
        <v/>
      </c>
      <c r="Q354" s="14" t="str">
        <f t="shared" si="34"/>
        <v/>
      </c>
      <c r="R354" s="14" t="str">
        <f t="shared" si="35"/>
        <v/>
      </c>
      <c r="S354" s="9"/>
    </row>
    <row r="355" spans="1:19" ht="14.25" customHeight="1">
      <c r="A355" s="9"/>
      <c r="B355" s="9"/>
      <c r="C355" s="9"/>
      <c r="D355" s="9"/>
      <c r="E355" s="9"/>
      <c r="F355" s="13"/>
      <c r="G355" s="9"/>
      <c r="H355" s="9"/>
      <c r="I355" s="9"/>
      <c r="J355" s="9"/>
      <c r="K355" s="14" t="str">
        <f t="shared" si="30"/>
        <v/>
      </c>
      <c r="L355" s="14" t="str">
        <f t="shared" si="31"/>
        <v/>
      </c>
      <c r="M355" s="9"/>
      <c r="N355" s="9"/>
      <c r="O355" s="14" t="str">
        <f t="shared" si="32"/>
        <v/>
      </c>
      <c r="P355" s="14" t="str">
        <f t="shared" si="33"/>
        <v/>
      </c>
      <c r="Q355" s="14" t="str">
        <f t="shared" si="34"/>
        <v/>
      </c>
      <c r="R355" s="14" t="str">
        <f t="shared" si="35"/>
        <v/>
      </c>
      <c r="S355" s="9"/>
    </row>
    <row r="356" spans="1:19" ht="14.25" customHeight="1">
      <c r="A356" s="9"/>
      <c r="B356" s="9"/>
      <c r="C356" s="9"/>
      <c r="D356" s="9"/>
      <c r="E356" s="9"/>
      <c r="F356" s="13"/>
      <c r="G356" s="9"/>
      <c r="H356" s="9"/>
      <c r="I356" s="9"/>
      <c r="J356" s="9"/>
      <c r="K356" s="14" t="str">
        <f t="shared" si="30"/>
        <v/>
      </c>
      <c r="L356" s="14" t="str">
        <f t="shared" si="31"/>
        <v/>
      </c>
      <c r="M356" s="9"/>
      <c r="N356" s="9"/>
      <c r="O356" s="14" t="str">
        <f t="shared" si="32"/>
        <v/>
      </c>
      <c r="P356" s="14" t="str">
        <f t="shared" si="33"/>
        <v/>
      </c>
      <c r="Q356" s="14" t="str">
        <f t="shared" si="34"/>
        <v/>
      </c>
      <c r="R356" s="14" t="str">
        <f t="shared" si="35"/>
        <v/>
      </c>
      <c r="S356" s="9"/>
    </row>
    <row r="357" spans="1:19" ht="14.25" customHeight="1">
      <c r="A357" s="9"/>
      <c r="B357" s="9"/>
      <c r="C357" s="9"/>
      <c r="D357" s="9"/>
      <c r="E357" s="9"/>
      <c r="F357" s="13"/>
      <c r="G357" s="9"/>
      <c r="H357" s="9"/>
      <c r="I357" s="9"/>
      <c r="J357" s="9"/>
      <c r="K357" s="14" t="str">
        <f t="shared" si="30"/>
        <v/>
      </c>
      <c r="L357" s="14" t="str">
        <f t="shared" si="31"/>
        <v/>
      </c>
      <c r="M357" s="9"/>
      <c r="N357" s="9"/>
      <c r="O357" s="14" t="str">
        <f t="shared" si="32"/>
        <v/>
      </c>
      <c r="P357" s="14" t="str">
        <f t="shared" si="33"/>
        <v/>
      </c>
      <c r="Q357" s="14" t="str">
        <f t="shared" si="34"/>
        <v/>
      </c>
      <c r="R357" s="14" t="str">
        <f t="shared" si="35"/>
        <v/>
      </c>
      <c r="S357" s="9"/>
    </row>
    <row r="358" spans="1:19" ht="14.25" customHeight="1">
      <c r="A358" s="9"/>
      <c r="B358" s="9"/>
      <c r="C358" s="9"/>
      <c r="D358" s="9"/>
      <c r="E358" s="9"/>
      <c r="F358" s="13"/>
      <c r="G358" s="9"/>
      <c r="H358" s="9"/>
      <c r="I358" s="9"/>
      <c r="J358" s="9"/>
      <c r="K358" s="14" t="str">
        <f t="shared" si="30"/>
        <v/>
      </c>
      <c r="L358" s="14" t="str">
        <f t="shared" si="31"/>
        <v/>
      </c>
      <c r="M358" s="9"/>
      <c r="N358" s="9"/>
      <c r="O358" s="14" t="str">
        <f t="shared" si="32"/>
        <v/>
      </c>
      <c r="P358" s="14" t="str">
        <f t="shared" si="33"/>
        <v/>
      </c>
      <c r="Q358" s="14" t="str">
        <f t="shared" si="34"/>
        <v/>
      </c>
      <c r="R358" s="14" t="str">
        <f t="shared" si="35"/>
        <v/>
      </c>
      <c r="S358" s="9"/>
    </row>
    <row r="359" spans="1:19" ht="14.25" customHeight="1">
      <c r="A359" s="9"/>
      <c r="B359" s="9"/>
      <c r="C359" s="9"/>
      <c r="D359" s="9"/>
      <c r="E359" s="9"/>
      <c r="F359" s="13"/>
      <c r="G359" s="9"/>
      <c r="H359" s="9"/>
      <c r="I359" s="9"/>
      <c r="J359" s="9"/>
      <c r="K359" s="14" t="str">
        <f t="shared" si="30"/>
        <v/>
      </c>
      <c r="L359" s="14" t="str">
        <f t="shared" si="31"/>
        <v/>
      </c>
      <c r="M359" s="9"/>
      <c r="N359" s="9"/>
      <c r="O359" s="14" t="str">
        <f t="shared" si="32"/>
        <v/>
      </c>
      <c r="P359" s="14" t="str">
        <f t="shared" si="33"/>
        <v/>
      </c>
      <c r="Q359" s="14" t="str">
        <f t="shared" si="34"/>
        <v/>
      </c>
      <c r="R359" s="14" t="str">
        <f t="shared" si="35"/>
        <v/>
      </c>
      <c r="S359" s="9"/>
    </row>
    <row r="360" spans="1:19" ht="14.25" customHeight="1">
      <c r="A360" s="9"/>
      <c r="B360" s="9"/>
      <c r="C360" s="9"/>
      <c r="D360" s="9"/>
      <c r="E360" s="9"/>
      <c r="F360" s="13"/>
      <c r="G360" s="9"/>
      <c r="H360" s="9"/>
      <c r="I360" s="9"/>
      <c r="J360" s="9"/>
      <c r="K360" s="14" t="str">
        <f t="shared" si="30"/>
        <v/>
      </c>
      <c r="L360" s="14" t="str">
        <f t="shared" si="31"/>
        <v/>
      </c>
      <c r="M360" s="9"/>
      <c r="N360" s="9"/>
      <c r="O360" s="14" t="str">
        <f t="shared" si="32"/>
        <v/>
      </c>
      <c r="P360" s="14" t="str">
        <f t="shared" si="33"/>
        <v/>
      </c>
      <c r="Q360" s="14" t="str">
        <f t="shared" si="34"/>
        <v/>
      </c>
      <c r="R360" s="14" t="str">
        <f t="shared" si="35"/>
        <v/>
      </c>
      <c r="S360" s="9"/>
    </row>
    <row r="361" spans="1:19" ht="14.25" customHeight="1">
      <c r="A361" s="9"/>
      <c r="B361" s="9"/>
      <c r="C361" s="9"/>
      <c r="D361" s="9"/>
      <c r="E361" s="9"/>
      <c r="F361" s="13"/>
      <c r="G361" s="9"/>
      <c r="H361" s="9"/>
      <c r="I361" s="9"/>
      <c r="J361" s="9"/>
      <c r="K361" s="14" t="str">
        <f t="shared" si="30"/>
        <v/>
      </c>
      <c r="L361" s="14" t="str">
        <f t="shared" si="31"/>
        <v/>
      </c>
      <c r="M361" s="9"/>
      <c r="N361" s="9"/>
      <c r="O361" s="14" t="str">
        <f t="shared" si="32"/>
        <v/>
      </c>
      <c r="P361" s="14" t="str">
        <f t="shared" si="33"/>
        <v/>
      </c>
      <c r="Q361" s="14" t="str">
        <f t="shared" si="34"/>
        <v/>
      </c>
      <c r="R361" s="14" t="str">
        <f t="shared" si="35"/>
        <v/>
      </c>
      <c r="S361" s="9"/>
    </row>
    <row r="362" spans="1:19" ht="14.25" customHeight="1">
      <c r="A362" s="9"/>
      <c r="B362" s="9"/>
      <c r="C362" s="9"/>
      <c r="D362" s="9"/>
      <c r="E362" s="9"/>
      <c r="F362" s="13"/>
      <c r="G362" s="9"/>
      <c r="H362" s="9"/>
      <c r="I362" s="9"/>
      <c r="J362" s="9"/>
      <c r="K362" s="14" t="str">
        <f t="shared" si="30"/>
        <v/>
      </c>
      <c r="L362" s="14" t="str">
        <f t="shared" si="31"/>
        <v/>
      </c>
      <c r="M362" s="9"/>
      <c r="N362" s="9"/>
      <c r="O362" s="14" t="str">
        <f t="shared" si="32"/>
        <v/>
      </c>
      <c r="P362" s="14" t="str">
        <f t="shared" si="33"/>
        <v/>
      </c>
      <c r="Q362" s="14" t="str">
        <f t="shared" si="34"/>
        <v/>
      </c>
      <c r="R362" s="14" t="str">
        <f t="shared" si="35"/>
        <v/>
      </c>
      <c r="S362" s="9"/>
    </row>
    <row r="363" spans="1:19" ht="14.25" customHeight="1">
      <c r="A363" s="9"/>
      <c r="B363" s="9"/>
      <c r="C363" s="9"/>
      <c r="D363" s="9"/>
      <c r="E363" s="9"/>
      <c r="F363" s="13"/>
      <c r="G363" s="9"/>
      <c r="H363" s="9"/>
      <c r="I363" s="9"/>
      <c r="J363" s="9"/>
      <c r="K363" s="14" t="str">
        <f t="shared" si="30"/>
        <v/>
      </c>
      <c r="L363" s="14" t="str">
        <f t="shared" si="31"/>
        <v/>
      </c>
      <c r="M363" s="9"/>
      <c r="N363" s="9"/>
      <c r="O363" s="14" t="str">
        <f t="shared" si="32"/>
        <v/>
      </c>
      <c r="P363" s="14" t="str">
        <f t="shared" si="33"/>
        <v/>
      </c>
      <c r="Q363" s="14" t="str">
        <f t="shared" si="34"/>
        <v/>
      </c>
      <c r="R363" s="14" t="str">
        <f t="shared" si="35"/>
        <v/>
      </c>
      <c r="S363" s="9"/>
    </row>
    <row r="364" spans="1:19" ht="14.25" customHeight="1">
      <c r="A364" s="9"/>
      <c r="B364" s="9"/>
      <c r="C364" s="9"/>
      <c r="D364" s="9"/>
      <c r="E364" s="9"/>
      <c r="F364" s="13"/>
      <c r="G364" s="9"/>
      <c r="H364" s="9"/>
      <c r="I364" s="9"/>
      <c r="J364" s="9"/>
      <c r="K364" s="14" t="str">
        <f t="shared" si="30"/>
        <v/>
      </c>
      <c r="L364" s="14" t="str">
        <f t="shared" si="31"/>
        <v/>
      </c>
      <c r="M364" s="9"/>
      <c r="N364" s="9"/>
      <c r="O364" s="14" t="str">
        <f t="shared" si="32"/>
        <v/>
      </c>
      <c r="P364" s="14" t="str">
        <f t="shared" si="33"/>
        <v/>
      </c>
      <c r="Q364" s="14" t="str">
        <f t="shared" si="34"/>
        <v/>
      </c>
      <c r="R364" s="14" t="str">
        <f t="shared" si="35"/>
        <v/>
      </c>
      <c r="S364" s="9"/>
    </row>
    <row r="365" spans="1:19" ht="14.25" customHeight="1">
      <c r="A365" s="9"/>
      <c r="B365" s="9"/>
      <c r="C365" s="9"/>
      <c r="D365" s="9"/>
      <c r="E365" s="9"/>
      <c r="F365" s="13"/>
      <c r="G365" s="9"/>
      <c r="H365" s="9"/>
      <c r="I365" s="9"/>
      <c r="J365" s="9"/>
      <c r="K365" s="14" t="str">
        <f t="shared" si="30"/>
        <v/>
      </c>
      <c r="L365" s="14" t="str">
        <f t="shared" si="31"/>
        <v/>
      </c>
      <c r="M365" s="9"/>
      <c r="N365" s="9"/>
      <c r="O365" s="14" t="str">
        <f t="shared" si="32"/>
        <v/>
      </c>
      <c r="P365" s="14" t="str">
        <f t="shared" si="33"/>
        <v/>
      </c>
      <c r="Q365" s="14" t="str">
        <f t="shared" si="34"/>
        <v/>
      </c>
      <c r="R365" s="14" t="str">
        <f t="shared" si="35"/>
        <v/>
      </c>
      <c r="S365" s="9"/>
    </row>
    <row r="366" spans="1:19" ht="14.25" customHeight="1">
      <c r="A366" s="9"/>
      <c r="B366" s="9"/>
      <c r="C366" s="9"/>
      <c r="D366" s="9"/>
      <c r="E366" s="9"/>
      <c r="F366" s="13"/>
      <c r="G366" s="9"/>
      <c r="H366" s="9"/>
      <c r="I366" s="9"/>
      <c r="J366" s="9"/>
      <c r="K366" s="14" t="str">
        <f t="shared" si="30"/>
        <v/>
      </c>
      <c r="L366" s="14" t="str">
        <f t="shared" si="31"/>
        <v/>
      </c>
      <c r="M366" s="9"/>
      <c r="N366" s="9"/>
      <c r="O366" s="14" t="str">
        <f t="shared" si="32"/>
        <v/>
      </c>
      <c r="P366" s="14" t="str">
        <f t="shared" si="33"/>
        <v/>
      </c>
      <c r="Q366" s="14" t="str">
        <f t="shared" si="34"/>
        <v/>
      </c>
      <c r="R366" s="14" t="str">
        <f t="shared" si="35"/>
        <v/>
      </c>
      <c r="S366" s="9"/>
    </row>
    <row r="367" spans="1:19" ht="14.25" customHeight="1">
      <c r="A367" s="9"/>
      <c r="B367" s="9"/>
      <c r="C367" s="9"/>
      <c r="D367" s="9"/>
      <c r="E367" s="9"/>
      <c r="F367" s="13"/>
      <c r="G367" s="9"/>
      <c r="H367" s="9"/>
      <c r="I367" s="9"/>
      <c r="J367" s="9"/>
      <c r="K367" s="14" t="str">
        <f t="shared" si="30"/>
        <v/>
      </c>
      <c r="L367" s="14" t="str">
        <f t="shared" si="31"/>
        <v/>
      </c>
      <c r="M367" s="9"/>
      <c r="N367" s="9"/>
      <c r="O367" s="14" t="str">
        <f t="shared" si="32"/>
        <v/>
      </c>
      <c r="P367" s="14" t="str">
        <f t="shared" si="33"/>
        <v/>
      </c>
      <c r="Q367" s="14" t="str">
        <f t="shared" si="34"/>
        <v/>
      </c>
      <c r="R367" s="14" t="str">
        <f t="shared" si="35"/>
        <v/>
      </c>
      <c r="S367" s="9"/>
    </row>
    <row r="368" spans="1:19" ht="14.25" customHeight="1">
      <c r="A368" s="9"/>
      <c r="B368" s="9"/>
      <c r="C368" s="9"/>
      <c r="D368" s="9"/>
      <c r="E368" s="9"/>
      <c r="F368" s="13"/>
      <c r="G368" s="9"/>
      <c r="H368" s="9"/>
      <c r="I368" s="9"/>
      <c r="J368" s="9"/>
      <c r="K368" s="14" t="str">
        <f t="shared" si="30"/>
        <v/>
      </c>
      <c r="L368" s="14" t="str">
        <f t="shared" si="31"/>
        <v/>
      </c>
      <c r="M368" s="9"/>
      <c r="N368" s="9"/>
      <c r="O368" s="14" t="str">
        <f t="shared" si="32"/>
        <v/>
      </c>
      <c r="P368" s="14" t="str">
        <f t="shared" si="33"/>
        <v/>
      </c>
      <c r="Q368" s="14" t="str">
        <f t="shared" si="34"/>
        <v/>
      </c>
      <c r="R368" s="14" t="str">
        <f t="shared" si="35"/>
        <v/>
      </c>
      <c r="S368" s="9"/>
    </row>
    <row r="369" spans="1:19" ht="14.25" customHeight="1">
      <c r="A369" s="9"/>
      <c r="B369" s="9"/>
      <c r="C369" s="9"/>
      <c r="D369" s="9"/>
      <c r="E369" s="9"/>
      <c r="F369" s="13"/>
      <c r="G369" s="9"/>
      <c r="H369" s="9"/>
      <c r="I369" s="9"/>
      <c r="J369" s="9"/>
      <c r="K369" s="14" t="str">
        <f t="shared" si="30"/>
        <v/>
      </c>
      <c r="L369" s="14" t="str">
        <f t="shared" si="31"/>
        <v/>
      </c>
      <c r="M369" s="9"/>
      <c r="N369" s="9"/>
      <c r="O369" s="14" t="str">
        <f t="shared" si="32"/>
        <v/>
      </c>
      <c r="P369" s="14" t="str">
        <f t="shared" si="33"/>
        <v/>
      </c>
      <c r="Q369" s="14" t="str">
        <f t="shared" si="34"/>
        <v/>
      </c>
      <c r="R369" s="14" t="str">
        <f t="shared" si="35"/>
        <v/>
      </c>
      <c r="S369" s="9"/>
    </row>
    <row r="370" spans="1:19" ht="14.25" customHeight="1">
      <c r="A370" s="9"/>
      <c r="B370" s="9"/>
      <c r="C370" s="9"/>
      <c r="D370" s="9"/>
      <c r="E370" s="9"/>
      <c r="F370" s="13"/>
      <c r="G370" s="9"/>
      <c r="H370" s="9"/>
      <c r="I370" s="9"/>
      <c r="J370" s="9"/>
      <c r="K370" s="14" t="str">
        <f t="shared" si="30"/>
        <v/>
      </c>
      <c r="L370" s="14" t="str">
        <f t="shared" si="31"/>
        <v/>
      </c>
      <c r="M370" s="9"/>
      <c r="N370" s="9"/>
      <c r="O370" s="14" t="str">
        <f t="shared" si="32"/>
        <v/>
      </c>
      <c r="P370" s="14" t="str">
        <f t="shared" si="33"/>
        <v/>
      </c>
      <c r="Q370" s="14" t="str">
        <f t="shared" si="34"/>
        <v/>
      </c>
      <c r="R370" s="14" t="str">
        <f t="shared" si="35"/>
        <v/>
      </c>
      <c r="S370" s="9"/>
    </row>
    <row r="371" spans="1:19" ht="14.25" customHeight="1">
      <c r="A371" s="9"/>
      <c r="B371" s="9"/>
      <c r="C371" s="9"/>
      <c r="D371" s="9"/>
      <c r="E371" s="9"/>
      <c r="F371" s="13"/>
      <c r="G371" s="9"/>
      <c r="H371" s="9"/>
      <c r="I371" s="9"/>
      <c r="J371" s="9"/>
      <c r="K371" s="14" t="str">
        <f t="shared" si="30"/>
        <v/>
      </c>
      <c r="L371" s="14" t="str">
        <f t="shared" si="31"/>
        <v/>
      </c>
      <c r="M371" s="9"/>
      <c r="N371" s="9"/>
      <c r="O371" s="14" t="str">
        <f t="shared" si="32"/>
        <v/>
      </c>
      <c r="P371" s="14" t="str">
        <f t="shared" si="33"/>
        <v/>
      </c>
      <c r="Q371" s="14" t="str">
        <f t="shared" si="34"/>
        <v/>
      </c>
      <c r="R371" s="14" t="str">
        <f t="shared" si="35"/>
        <v/>
      </c>
      <c r="S371" s="9"/>
    </row>
    <row r="372" spans="1:19" ht="14.25" customHeight="1">
      <c r="A372" s="9"/>
      <c r="B372" s="9"/>
      <c r="C372" s="9"/>
      <c r="D372" s="9"/>
      <c r="E372" s="9"/>
      <c r="F372" s="13"/>
      <c r="G372" s="9"/>
      <c r="H372" s="9"/>
      <c r="I372" s="9"/>
      <c r="J372" s="9"/>
      <c r="K372" s="14" t="str">
        <f t="shared" si="30"/>
        <v/>
      </c>
      <c r="L372" s="14" t="str">
        <f t="shared" si="31"/>
        <v/>
      </c>
      <c r="M372" s="9"/>
      <c r="N372" s="9"/>
      <c r="O372" s="14" t="str">
        <f t="shared" si="32"/>
        <v/>
      </c>
      <c r="P372" s="14" t="str">
        <f t="shared" si="33"/>
        <v/>
      </c>
      <c r="Q372" s="14" t="str">
        <f t="shared" si="34"/>
        <v/>
      </c>
      <c r="R372" s="14" t="str">
        <f t="shared" si="35"/>
        <v/>
      </c>
      <c r="S372" s="9"/>
    </row>
    <row r="373" spans="1:19" ht="14.25" customHeight="1">
      <c r="A373" s="9"/>
      <c r="B373" s="9"/>
      <c r="C373" s="9"/>
      <c r="D373" s="9"/>
      <c r="E373" s="9"/>
      <c r="F373" s="13"/>
      <c r="G373" s="9"/>
      <c r="H373" s="9"/>
      <c r="I373" s="9"/>
      <c r="J373" s="9"/>
      <c r="K373" s="14" t="str">
        <f t="shared" si="30"/>
        <v/>
      </c>
      <c r="L373" s="14" t="str">
        <f t="shared" si="31"/>
        <v/>
      </c>
      <c r="M373" s="9"/>
      <c r="N373" s="9"/>
      <c r="O373" s="14" t="str">
        <f t="shared" si="32"/>
        <v/>
      </c>
      <c r="P373" s="14" t="str">
        <f t="shared" si="33"/>
        <v/>
      </c>
      <c r="Q373" s="14" t="str">
        <f t="shared" si="34"/>
        <v/>
      </c>
      <c r="R373" s="14" t="str">
        <f t="shared" si="35"/>
        <v/>
      </c>
      <c r="S373" s="9"/>
    </row>
    <row r="374" spans="1:19" ht="14.25" customHeight="1">
      <c r="A374" s="9"/>
      <c r="B374" s="9"/>
      <c r="C374" s="9"/>
      <c r="D374" s="9"/>
      <c r="E374" s="9"/>
      <c r="F374" s="13"/>
      <c r="G374" s="9"/>
      <c r="H374" s="9"/>
      <c r="I374" s="9"/>
      <c r="J374" s="9"/>
      <c r="K374" s="14" t="str">
        <f t="shared" si="30"/>
        <v/>
      </c>
      <c r="L374" s="14" t="str">
        <f t="shared" si="31"/>
        <v/>
      </c>
      <c r="M374" s="9"/>
      <c r="N374" s="9"/>
      <c r="O374" s="14" t="str">
        <f t="shared" si="32"/>
        <v/>
      </c>
      <c r="P374" s="14" t="str">
        <f t="shared" si="33"/>
        <v/>
      </c>
      <c r="Q374" s="14" t="str">
        <f t="shared" si="34"/>
        <v/>
      </c>
      <c r="R374" s="14" t="str">
        <f t="shared" si="35"/>
        <v/>
      </c>
      <c r="S374" s="9"/>
    </row>
    <row r="375" spans="1:19" ht="14.25" customHeight="1">
      <c r="A375" s="9"/>
      <c r="B375" s="9"/>
      <c r="C375" s="9"/>
      <c r="D375" s="9"/>
      <c r="E375" s="9"/>
      <c r="F375" s="13"/>
      <c r="G375" s="9"/>
      <c r="H375" s="9"/>
      <c r="I375" s="9"/>
      <c r="J375" s="9"/>
      <c r="K375" s="14" t="str">
        <f t="shared" si="30"/>
        <v/>
      </c>
      <c r="L375" s="14" t="str">
        <f t="shared" si="31"/>
        <v/>
      </c>
      <c r="M375" s="9"/>
      <c r="N375" s="9"/>
      <c r="O375" s="14" t="str">
        <f t="shared" si="32"/>
        <v/>
      </c>
      <c r="P375" s="14" t="str">
        <f t="shared" si="33"/>
        <v/>
      </c>
      <c r="Q375" s="14" t="str">
        <f t="shared" si="34"/>
        <v/>
      </c>
      <c r="R375" s="14" t="str">
        <f t="shared" si="35"/>
        <v/>
      </c>
      <c r="S375" s="9"/>
    </row>
    <row r="376" spans="1:19" ht="14.25" customHeight="1">
      <c r="A376" s="9"/>
      <c r="B376" s="9"/>
      <c r="C376" s="9"/>
      <c r="D376" s="9"/>
      <c r="E376" s="9"/>
      <c r="F376" s="13"/>
      <c r="G376" s="9"/>
      <c r="H376" s="9"/>
      <c r="I376" s="9"/>
      <c r="J376" s="9"/>
      <c r="K376" s="14" t="str">
        <f t="shared" si="30"/>
        <v/>
      </c>
      <c r="L376" s="14" t="str">
        <f t="shared" si="31"/>
        <v/>
      </c>
      <c r="M376" s="9"/>
      <c r="N376" s="9"/>
      <c r="O376" s="14" t="str">
        <f t="shared" si="32"/>
        <v/>
      </c>
      <c r="P376" s="14" t="str">
        <f t="shared" si="33"/>
        <v/>
      </c>
      <c r="Q376" s="14" t="str">
        <f t="shared" si="34"/>
        <v/>
      </c>
      <c r="R376" s="14" t="str">
        <f t="shared" si="35"/>
        <v/>
      </c>
      <c r="S376" s="9"/>
    </row>
    <row r="377" spans="1:19" ht="14.25" customHeight="1">
      <c r="A377" s="9"/>
      <c r="B377" s="9"/>
      <c r="C377" s="9"/>
      <c r="D377" s="9"/>
      <c r="E377" s="9"/>
      <c r="F377" s="13"/>
      <c r="G377" s="9"/>
      <c r="H377" s="9"/>
      <c r="I377" s="9"/>
      <c r="J377" s="9"/>
      <c r="K377" s="14" t="str">
        <f t="shared" si="30"/>
        <v/>
      </c>
      <c r="L377" s="14" t="str">
        <f t="shared" si="31"/>
        <v/>
      </c>
      <c r="M377" s="9"/>
      <c r="N377" s="9"/>
      <c r="O377" s="14" t="str">
        <f t="shared" si="32"/>
        <v/>
      </c>
      <c r="P377" s="14" t="str">
        <f t="shared" si="33"/>
        <v/>
      </c>
      <c r="Q377" s="14" t="str">
        <f t="shared" si="34"/>
        <v/>
      </c>
      <c r="R377" s="14" t="str">
        <f t="shared" si="35"/>
        <v/>
      </c>
      <c r="S377" s="9"/>
    </row>
    <row r="378" spans="1:19" ht="14.25" customHeight="1">
      <c r="A378" s="9"/>
      <c r="B378" s="9"/>
      <c r="C378" s="9"/>
      <c r="D378" s="9"/>
      <c r="E378" s="9"/>
      <c r="F378" s="13"/>
      <c r="G378" s="9"/>
      <c r="H378" s="9"/>
      <c r="I378" s="9"/>
      <c r="J378" s="9"/>
      <c r="K378" s="14" t="str">
        <f t="shared" si="30"/>
        <v/>
      </c>
      <c r="L378" s="14" t="str">
        <f t="shared" si="31"/>
        <v/>
      </c>
      <c r="M378" s="9"/>
      <c r="N378" s="9"/>
      <c r="O378" s="14" t="str">
        <f t="shared" si="32"/>
        <v/>
      </c>
      <c r="P378" s="14" t="str">
        <f t="shared" si="33"/>
        <v/>
      </c>
      <c r="Q378" s="14" t="str">
        <f t="shared" si="34"/>
        <v/>
      </c>
      <c r="R378" s="14" t="str">
        <f t="shared" si="35"/>
        <v/>
      </c>
      <c r="S378" s="9"/>
    </row>
    <row r="379" spans="1:19" ht="14.25" customHeight="1">
      <c r="A379" s="9"/>
      <c r="B379" s="9"/>
      <c r="C379" s="9"/>
      <c r="D379" s="9"/>
      <c r="E379" s="9"/>
      <c r="F379" s="13"/>
      <c r="G379" s="9"/>
      <c r="H379" s="9"/>
      <c r="I379" s="9"/>
      <c r="J379" s="9"/>
      <c r="K379" s="14" t="str">
        <f t="shared" si="30"/>
        <v/>
      </c>
      <c r="L379" s="14" t="str">
        <f t="shared" si="31"/>
        <v/>
      </c>
      <c r="M379" s="9"/>
      <c r="N379" s="9"/>
      <c r="O379" s="14" t="str">
        <f t="shared" si="32"/>
        <v/>
      </c>
      <c r="P379" s="14" t="str">
        <f t="shared" si="33"/>
        <v/>
      </c>
      <c r="Q379" s="14" t="str">
        <f t="shared" si="34"/>
        <v/>
      </c>
      <c r="R379" s="14" t="str">
        <f t="shared" si="35"/>
        <v/>
      </c>
      <c r="S379" s="9"/>
    </row>
    <row r="380" spans="1:19" ht="14.25" customHeight="1">
      <c r="A380" s="9"/>
      <c r="B380" s="9"/>
      <c r="C380" s="9"/>
      <c r="D380" s="9"/>
      <c r="E380" s="9"/>
      <c r="F380" s="13"/>
      <c r="G380" s="9"/>
      <c r="H380" s="9"/>
      <c r="I380" s="9"/>
      <c r="J380" s="9"/>
      <c r="K380" s="14" t="str">
        <f t="shared" si="30"/>
        <v/>
      </c>
      <c r="L380" s="14" t="str">
        <f t="shared" si="31"/>
        <v/>
      </c>
      <c r="M380" s="9"/>
      <c r="N380" s="9"/>
      <c r="O380" s="14" t="str">
        <f t="shared" si="32"/>
        <v/>
      </c>
      <c r="P380" s="14" t="str">
        <f t="shared" si="33"/>
        <v/>
      </c>
      <c r="Q380" s="14" t="str">
        <f t="shared" si="34"/>
        <v/>
      </c>
      <c r="R380" s="14" t="str">
        <f t="shared" si="35"/>
        <v/>
      </c>
      <c r="S380" s="9"/>
    </row>
    <row r="381" spans="1:19" ht="14.25" customHeight="1">
      <c r="A381" s="9"/>
      <c r="B381" s="9"/>
      <c r="C381" s="9"/>
      <c r="D381" s="9"/>
      <c r="E381" s="9"/>
      <c r="F381" s="13"/>
      <c r="G381" s="9"/>
      <c r="H381" s="9"/>
      <c r="I381" s="9"/>
      <c r="J381" s="9"/>
      <c r="K381" s="14" t="str">
        <f t="shared" si="30"/>
        <v/>
      </c>
      <c r="L381" s="14" t="str">
        <f t="shared" si="31"/>
        <v/>
      </c>
      <c r="M381" s="9"/>
      <c r="N381" s="9"/>
      <c r="O381" s="14" t="str">
        <f t="shared" si="32"/>
        <v/>
      </c>
      <c r="P381" s="14" t="str">
        <f t="shared" si="33"/>
        <v/>
      </c>
      <c r="Q381" s="14" t="str">
        <f t="shared" si="34"/>
        <v/>
      </c>
      <c r="R381" s="14" t="str">
        <f t="shared" si="35"/>
        <v/>
      </c>
      <c r="S381" s="9"/>
    </row>
    <row r="382" spans="1:19" ht="14.25" customHeight="1">
      <c r="A382" s="9"/>
      <c r="B382" s="9"/>
      <c r="C382" s="9"/>
      <c r="D382" s="9"/>
      <c r="E382" s="9"/>
      <c r="F382" s="13"/>
      <c r="G382" s="9"/>
      <c r="H382" s="9"/>
      <c r="I382" s="9"/>
      <c r="J382" s="9"/>
      <c r="K382" s="14" t="str">
        <f t="shared" si="30"/>
        <v/>
      </c>
      <c r="L382" s="14" t="str">
        <f t="shared" si="31"/>
        <v/>
      </c>
      <c r="M382" s="9"/>
      <c r="N382" s="9"/>
      <c r="O382" s="14" t="str">
        <f t="shared" si="32"/>
        <v/>
      </c>
      <c r="P382" s="14" t="str">
        <f t="shared" si="33"/>
        <v/>
      </c>
      <c r="Q382" s="14" t="str">
        <f t="shared" si="34"/>
        <v/>
      </c>
      <c r="R382" s="14" t="str">
        <f t="shared" si="35"/>
        <v/>
      </c>
      <c r="S382" s="9"/>
    </row>
    <row r="383" spans="1:19" ht="14.25" customHeight="1">
      <c r="A383" s="9"/>
      <c r="B383" s="9"/>
      <c r="C383" s="9"/>
      <c r="D383" s="9"/>
      <c r="E383" s="9"/>
      <c r="F383" s="13"/>
      <c r="G383" s="9"/>
      <c r="H383" s="9"/>
      <c r="I383" s="9"/>
      <c r="J383" s="9"/>
      <c r="K383" s="14" t="str">
        <f t="shared" si="30"/>
        <v/>
      </c>
      <c r="L383" s="14" t="str">
        <f t="shared" si="31"/>
        <v/>
      </c>
      <c r="M383" s="9"/>
      <c r="N383" s="9"/>
      <c r="O383" s="14" t="str">
        <f t="shared" si="32"/>
        <v/>
      </c>
      <c r="P383" s="14" t="str">
        <f t="shared" si="33"/>
        <v/>
      </c>
      <c r="Q383" s="14" t="str">
        <f t="shared" si="34"/>
        <v/>
      </c>
      <c r="R383" s="14" t="str">
        <f t="shared" si="35"/>
        <v/>
      </c>
      <c r="S383" s="9"/>
    </row>
    <row r="384" spans="1:19" ht="14.25" customHeight="1">
      <c r="A384" s="9"/>
      <c r="B384" s="9"/>
      <c r="C384" s="9"/>
      <c r="D384" s="9"/>
      <c r="E384" s="9"/>
      <c r="F384" s="13"/>
      <c r="G384" s="9"/>
      <c r="H384" s="9"/>
      <c r="I384" s="9"/>
      <c r="J384" s="9"/>
      <c r="K384" s="14" t="str">
        <f t="shared" si="30"/>
        <v/>
      </c>
      <c r="L384" s="14" t="str">
        <f t="shared" si="31"/>
        <v/>
      </c>
      <c r="M384" s="9"/>
      <c r="N384" s="9"/>
      <c r="O384" s="14" t="str">
        <f t="shared" si="32"/>
        <v/>
      </c>
      <c r="P384" s="14" t="str">
        <f t="shared" si="33"/>
        <v/>
      </c>
      <c r="Q384" s="14" t="str">
        <f t="shared" si="34"/>
        <v/>
      </c>
      <c r="R384" s="14" t="str">
        <f t="shared" si="35"/>
        <v/>
      </c>
      <c r="S384" s="9"/>
    </row>
    <row r="385" spans="1:19" ht="14.25" customHeight="1">
      <c r="A385" s="9"/>
      <c r="B385" s="9"/>
      <c r="C385" s="9"/>
      <c r="D385" s="9"/>
      <c r="E385" s="9"/>
      <c r="F385" s="13"/>
      <c r="G385" s="9"/>
      <c r="H385" s="9"/>
      <c r="I385" s="9"/>
      <c r="J385" s="9"/>
      <c r="K385" s="14" t="str">
        <f t="shared" si="30"/>
        <v/>
      </c>
      <c r="L385" s="14" t="str">
        <f t="shared" si="31"/>
        <v/>
      </c>
      <c r="M385" s="9"/>
      <c r="N385" s="9"/>
      <c r="O385" s="14" t="str">
        <f t="shared" si="32"/>
        <v/>
      </c>
      <c r="P385" s="14" t="str">
        <f t="shared" si="33"/>
        <v/>
      </c>
      <c r="Q385" s="14" t="str">
        <f t="shared" si="34"/>
        <v/>
      </c>
      <c r="R385" s="14" t="str">
        <f t="shared" si="35"/>
        <v/>
      </c>
      <c r="S385" s="9"/>
    </row>
    <row r="386" spans="1:19" ht="14.25" customHeight="1">
      <c r="A386" s="9"/>
      <c r="B386" s="9"/>
      <c r="C386" s="9"/>
      <c r="D386" s="9"/>
      <c r="E386" s="9"/>
      <c r="F386" s="13"/>
      <c r="G386" s="9"/>
      <c r="H386" s="9"/>
      <c r="I386" s="9"/>
      <c r="J386" s="9"/>
      <c r="K386" s="14" t="str">
        <f t="shared" si="30"/>
        <v/>
      </c>
      <c r="L386" s="14" t="str">
        <f t="shared" si="31"/>
        <v/>
      </c>
      <c r="M386" s="9"/>
      <c r="N386" s="9"/>
      <c r="O386" s="14" t="str">
        <f t="shared" si="32"/>
        <v/>
      </c>
      <c r="P386" s="14" t="str">
        <f t="shared" si="33"/>
        <v/>
      </c>
      <c r="Q386" s="14" t="str">
        <f t="shared" si="34"/>
        <v/>
      </c>
      <c r="R386" s="14" t="str">
        <f t="shared" si="35"/>
        <v/>
      </c>
      <c r="S386" s="9"/>
    </row>
    <row r="387" spans="1:19" ht="14.25" customHeight="1">
      <c r="A387" s="9"/>
      <c r="B387" s="9"/>
      <c r="C387" s="9"/>
      <c r="D387" s="9"/>
      <c r="E387" s="9"/>
      <c r="F387" s="13"/>
      <c r="G387" s="9"/>
      <c r="H387" s="9"/>
      <c r="I387" s="9"/>
      <c r="J387" s="9"/>
      <c r="K387" s="14" t="str">
        <f t="shared" si="30"/>
        <v/>
      </c>
      <c r="L387" s="14" t="str">
        <f t="shared" si="31"/>
        <v/>
      </c>
      <c r="M387" s="9"/>
      <c r="N387" s="9"/>
      <c r="O387" s="14" t="str">
        <f t="shared" si="32"/>
        <v/>
      </c>
      <c r="P387" s="14" t="str">
        <f t="shared" si="33"/>
        <v/>
      </c>
      <c r="Q387" s="14" t="str">
        <f t="shared" si="34"/>
        <v/>
      </c>
      <c r="R387" s="14" t="str">
        <f t="shared" si="35"/>
        <v/>
      </c>
      <c r="S387" s="9"/>
    </row>
    <row r="388" spans="1:19" ht="14.25" customHeight="1">
      <c r="A388" s="9"/>
      <c r="B388" s="9"/>
      <c r="C388" s="9"/>
      <c r="D388" s="9"/>
      <c r="E388" s="9"/>
      <c r="F388" s="13"/>
      <c r="G388" s="9"/>
      <c r="H388" s="9"/>
      <c r="I388" s="9"/>
      <c r="J388" s="9"/>
      <c r="K388" s="14" t="str">
        <f t="shared" si="30"/>
        <v/>
      </c>
      <c r="L388" s="14" t="str">
        <f t="shared" si="31"/>
        <v/>
      </c>
      <c r="M388" s="9"/>
      <c r="N388" s="9"/>
      <c r="O388" s="14" t="str">
        <f t="shared" si="32"/>
        <v/>
      </c>
      <c r="P388" s="14" t="str">
        <f t="shared" si="33"/>
        <v/>
      </c>
      <c r="Q388" s="14" t="str">
        <f t="shared" si="34"/>
        <v/>
      </c>
      <c r="R388" s="14" t="str">
        <f t="shared" si="35"/>
        <v/>
      </c>
      <c r="S388" s="9"/>
    </row>
    <row r="389" spans="1:19" ht="14.25" customHeight="1">
      <c r="A389" s="9"/>
      <c r="B389" s="9"/>
      <c r="C389" s="9"/>
      <c r="D389" s="9"/>
      <c r="E389" s="9"/>
      <c r="F389" s="13"/>
      <c r="G389" s="9"/>
      <c r="H389" s="9"/>
      <c r="I389" s="9"/>
      <c r="J389" s="9"/>
      <c r="K389" s="14" t="str">
        <f t="shared" si="30"/>
        <v/>
      </c>
      <c r="L389" s="14" t="str">
        <f t="shared" si="31"/>
        <v/>
      </c>
      <c r="M389" s="9"/>
      <c r="N389" s="9"/>
      <c r="O389" s="14" t="str">
        <f t="shared" si="32"/>
        <v/>
      </c>
      <c r="P389" s="14" t="str">
        <f t="shared" si="33"/>
        <v/>
      </c>
      <c r="Q389" s="14" t="str">
        <f t="shared" si="34"/>
        <v/>
      </c>
      <c r="R389" s="14" t="str">
        <f t="shared" si="35"/>
        <v/>
      </c>
      <c r="S389" s="9"/>
    </row>
    <row r="390" spans="1:19" ht="14.25" customHeight="1">
      <c r="A390" s="9"/>
      <c r="B390" s="9"/>
      <c r="C390" s="9"/>
      <c r="D390" s="9"/>
      <c r="E390" s="9"/>
      <c r="F390" s="13"/>
      <c r="G390" s="9"/>
      <c r="H390" s="9"/>
      <c r="I390" s="9"/>
      <c r="J390" s="9"/>
      <c r="K390" s="14" t="str">
        <f t="shared" ref="K390:K453" si="36">IF(OR(I390="",J390=""),"",I390&amp;"-"&amp;J390)</f>
        <v/>
      </c>
      <c r="L390" s="14" t="str">
        <f t="shared" ref="L390:L453" si="37">IF(OR(I390="",J390=""),"",IF(I390&gt;J390,"Gana",IF(I390=J390,"Empata","Pierde")))</f>
        <v/>
      </c>
      <c r="M390" s="9"/>
      <c r="N390" s="9"/>
      <c r="O390" s="14" t="str">
        <f t="shared" ref="O390:O453" si="38">IF(OR(I390="",J390=""),"",I390+J390)</f>
        <v/>
      </c>
      <c r="P390" s="14" t="str">
        <f t="shared" ref="P390:P453" si="39">IF(OR(I390="",J390=""),"",I390-J390)</f>
        <v/>
      </c>
      <c r="Q390" s="14" t="str">
        <f t="shared" ref="Q390:Q453" si="40">IF(L390="","",IF(L390="Gana",3,IF(L390="Empata",1,0)))</f>
        <v/>
      </c>
      <c r="R390" s="14" t="str">
        <f t="shared" ref="R390:R453" si="41">IF(L390="","",IF(L390="Pierde",3,IF(L390="Empata",1,0)))</f>
        <v/>
      </c>
      <c r="S390" s="9"/>
    </row>
    <row r="391" spans="1:19" ht="14.25" customHeight="1">
      <c r="A391" s="9"/>
      <c r="B391" s="9"/>
      <c r="C391" s="9"/>
      <c r="D391" s="9"/>
      <c r="E391" s="9"/>
      <c r="F391" s="13"/>
      <c r="G391" s="9"/>
      <c r="H391" s="9"/>
      <c r="I391" s="9"/>
      <c r="J391" s="9"/>
      <c r="K391" s="14" t="str">
        <f t="shared" si="36"/>
        <v/>
      </c>
      <c r="L391" s="14" t="str">
        <f t="shared" si="37"/>
        <v/>
      </c>
      <c r="M391" s="9"/>
      <c r="N391" s="9"/>
      <c r="O391" s="14" t="str">
        <f t="shared" si="38"/>
        <v/>
      </c>
      <c r="P391" s="14" t="str">
        <f t="shared" si="39"/>
        <v/>
      </c>
      <c r="Q391" s="14" t="str">
        <f t="shared" si="40"/>
        <v/>
      </c>
      <c r="R391" s="14" t="str">
        <f t="shared" si="41"/>
        <v/>
      </c>
      <c r="S391" s="9"/>
    </row>
    <row r="392" spans="1:19" ht="14.25" customHeight="1">
      <c r="A392" s="9"/>
      <c r="B392" s="9"/>
      <c r="C392" s="9"/>
      <c r="D392" s="9"/>
      <c r="E392" s="9"/>
      <c r="F392" s="13"/>
      <c r="G392" s="9"/>
      <c r="H392" s="9"/>
      <c r="I392" s="9"/>
      <c r="J392" s="9"/>
      <c r="K392" s="14" t="str">
        <f t="shared" si="36"/>
        <v/>
      </c>
      <c r="L392" s="14" t="str">
        <f t="shared" si="37"/>
        <v/>
      </c>
      <c r="M392" s="9"/>
      <c r="N392" s="9"/>
      <c r="O392" s="14" t="str">
        <f t="shared" si="38"/>
        <v/>
      </c>
      <c r="P392" s="14" t="str">
        <f t="shared" si="39"/>
        <v/>
      </c>
      <c r="Q392" s="14" t="str">
        <f t="shared" si="40"/>
        <v/>
      </c>
      <c r="R392" s="14" t="str">
        <f t="shared" si="41"/>
        <v/>
      </c>
      <c r="S392" s="9"/>
    </row>
    <row r="393" spans="1:19" ht="14.25" customHeight="1">
      <c r="A393" s="9"/>
      <c r="B393" s="9"/>
      <c r="C393" s="9"/>
      <c r="D393" s="9"/>
      <c r="E393" s="9"/>
      <c r="F393" s="13"/>
      <c r="G393" s="9"/>
      <c r="H393" s="9"/>
      <c r="I393" s="9"/>
      <c r="J393" s="9"/>
      <c r="K393" s="14" t="str">
        <f t="shared" si="36"/>
        <v/>
      </c>
      <c r="L393" s="14" t="str">
        <f t="shared" si="37"/>
        <v/>
      </c>
      <c r="M393" s="9"/>
      <c r="N393" s="9"/>
      <c r="O393" s="14" t="str">
        <f t="shared" si="38"/>
        <v/>
      </c>
      <c r="P393" s="14" t="str">
        <f t="shared" si="39"/>
        <v/>
      </c>
      <c r="Q393" s="14" t="str">
        <f t="shared" si="40"/>
        <v/>
      </c>
      <c r="R393" s="14" t="str">
        <f t="shared" si="41"/>
        <v/>
      </c>
      <c r="S393" s="9"/>
    </row>
    <row r="394" spans="1:19" ht="14.25" customHeight="1">
      <c r="A394" s="9"/>
      <c r="B394" s="9"/>
      <c r="C394" s="9"/>
      <c r="D394" s="9"/>
      <c r="E394" s="9"/>
      <c r="F394" s="13"/>
      <c r="G394" s="9"/>
      <c r="H394" s="9"/>
      <c r="I394" s="9"/>
      <c r="J394" s="9"/>
      <c r="K394" s="14" t="str">
        <f t="shared" si="36"/>
        <v/>
      </c>
      <c r="L394" s="14" t="str">
        <f t="shared" si="37"/>
        <v/>
      </c>
      <c r="M394" s="9"/>
      <c r="N394" s="9"/>
      <c r="O394" s="14" t="str">
        <f t="shared" si="38"/>
        <v/>
      </c>
      <c r="P394" s="14" t="str">
        <f t="shared" si="39"/>
        <v/>
      </c>
      <c r="Q394" s="14" t="str">
        <f t="shared" si="40"/>
        <v/>
      </c>
      <c r="R394" s="14" t="str">
        <f t="shared" si="41"/>
        <v/>
      </c>
      <c r="S394" s="9"/>
    </row>
    <row r="395" spans="1:19" ht="14.25" customHeight="1">
      <c r="A395" s="9"/>
      <c r="B395" s="9"/>
      <c r="C395" s="9"/>
      <c r="D395" s="9"/>
      <c r="E395" s="9"/>
      <c r="F395" s="13"/>
      <c r="G395" s="9"/>
      <c r="H395" s="9"/>
      <c r="I395" s="9"/>
      <c r="J395" s="9"/>
      <c r="K395" s="14" t="str">
        <f t="shared" si="36"/>
        <v/>
      </c>
      <c r="L395" s="14" t="str">
        <f t="shared" si="37"/>
        <v/>
      </c>
      <c r="M395" s="9"/>
      <c r="N395" s="9"/>
      <c r="O395" s="14" t="str">
        <f t="shared" si="38"/>
        <v/>
      </c>
      <c r="P395" s="14" t="str">
        <f t="shared" si="39"/>
        <v/>
      </c>
      <c r="Q395" s="14" t="str">
        <f t="shared" si="40"/>
        <v/>
      </c>
      <c r="R395" s="14" t="str">
        <f t="shared" si="41"/>
        <v/>
      </c>
      <c r="S395" s="9"/>
    </row>
    <row r="396" spans="1:19" ht="14.25" customHeight="1">
      <c r="A396" s="9"/>
      <c r="B396" s="9"/>
      <c r="C396" s="9"/>
      <c r="D396" s="9"/>
      <c r="E396" s="9"/>
      <c r="F396" s="13"/>
      <c r="G396" s="9"/>
      <c r="H396" s="9"/>
      <c r="I396" s="9"/>
      <c r="J396" s="9"/>
      <c r="K396" s="14" t="str">
        <f t="shared" si="36"/>
        <v/>
      </c>
      <c r="L396" s="14" t="str">
        <f t="shared" si="37"/>
        <v/>
      </c>
      <c r="M396" s="9"/>
      <c r="N396" s="9"/>
      <c r="O396" s="14" t="str">
        <f t="shared" si="38"/>
        <v/>
      </c>
      <c r="P396" s="14" t="str">
        <f t="shared" si="39"/>
        <v/>
      </c>
      <c r="Q396" s="14" t="str">
        <f t="shared" si="40"/>
        <v/>
      </c>
      <c r="R396" s="14" t="str">
        <f t="shared" si="41"/>
        <v/>
      </c>
      <c r="S396" s="9"/>
    </row>
    <row r="397" spans="1:19" ht="14.25" customHeight="1">
      <c r="A397" s="9"/>
      <c r="B397" s="9"/>
      <c r="C397" s="9"/>
      <c r="D397" s="9"/>
      <c r="E397" s="9"/>
      <c r="F397" s="13"/>
      <c r="G397" s="9"/>
      <c r="H397" s="9"/>
      <c r="I397" s="9"/>
      <c r="J397" s="9"/>
      <c r="K397" s="14" t="str">
        <f t="shared" si="36"/>
        <v/>
      </c>
      <c r="L397" s="14" t="str">
        <f t="shared" si="37"/>
        <v/>
      </c>
      <c r="M397" s="9"/>
      <c r="N397" s="9"/>
      <c r="O397" s="14" t="str">
        <f t="shared" si="38"/>
        <v/>
      </c>
      <c r="P397" s="14" t="str">
        <f t="shared" si="39"/>
        <v/>
      </c>
      <c r="Q397" s="14" t="str">
        <f t="shared" si="40"/>
        <v/>
      </c>
      <c r="R397" s="14" t="str">
        <f t="shared" si="41"/>
        <v/>
      </c>
      <c r="S397" s="9"/>
    </row>
    <row r="398" spans="1:19" ht="14.25" customHeight="1">
      <c r="A398" s="9"/>
      <c r="B398" s="9"/>
      <c r="C398" s="9"/>
      <c r="D398" s="9"/>
      <c r="E398" s="9"/>
      <c r="F398" s="13"/>
      <c r="G398" s="9"/>
      <c r="H398" s="9"/>
      <c r="I398" s="9"/>
      <c r="J398" s="9"/>
      <c r="K398" s="14" t="str">
        <f t="shared" si="36"/>
        <v/>
      </c>
      <c r="L398" s="14" t="str">
        <f t="shared" si="37"/>
        <v/>
      </c>
      <c r="M398" s="9"/>
      <c r="N398" s="9"/>
      <c r="O398" s="14" t="str">
        <f t="shared" si="38"/>
        <v/>
      </c>
      <c r="P398" s="14" t="str">
        <f t="shared" si="39"/>
        <v/>
      </c>
      <c r="Q398" s="14" t="str">
        <f t="shared" si="40"/>
        <v/>
      </c>
      <c r="R398" s="14" t="str">
        <f t="shared" si="41"/>
        <v/>
      </c>
      <c r="S398" s="9"/>
    </row>
    <row r="399" spans="1:19" ht="14.25" customHeight="1">
      <c r="A399" s="9"/>
      <c r="B399" s="9"/>
      <c r="C399" s="9"/>
      <c r="D399" s="9"/>
      <c r="E399" s="9"/>
      <c r="F399" s="13"/>
      <c r="G399" s="9"/>
      <c r="H399" s="9"/>
      <c r="I399" s="9"/>
      <c r="J399" s="9"/>
      <c r="K399" s="14" t="str">
        <f t="shared" si="36"/>
        <v/>
      </c>
      <c r="L399" s="14" t="str">
        <f t="shared" si="37"/>
        <v/>
      </c>
      <c r="M399" s="9"/>
      <c r="N399" s="9"/>
      <c r="O399" s="14" t="str">
        <f t="shared" si="38"/>
        <v/>
      </c>
      <c r="P399" s="14" t="str">
        <f t="shared" si="39"/>
        <v/>
      </c>
      <c r="Q399" s="14" t="str">
        <f t="shared" si="40"/>
        <v/>
      </c>
      <c r="R399" s="14" t="str">
        <f t="shared" si="41"/>
        <v/>
      </c>
      <c r="S399" s="9"/>
    </row>
    <row r="400" spans="1:19" ht="14.25" customHeight="1">
      <c r="A400" s="9"/>
      <c r="B400" s="9"/>
      <c r="C400" s="9"/>
      <c r="D400" s="9"/>
      <c r="E400" s="9"/>
      <c r="F400" s="13"/>
      <c r="G400" s="9"/>
      <c r="H400" s="9"/>
      <c r="I400" s="9"/>
      <c r="J400" s="9"/>
      <c r="K400" s="14" t="str">
        <f t="shared" si="36"/>
        <v/>
      </c>
      <c r="L400" s="14" t="str">
        <f t="shared" si="37"/>
        <v/>
      </c>
      <c r="M400" s="9"/>
      <c r="N400" s="9"/>
      <c r="O400" s="14" t="str">
        <f t="shared" si="38"/>
        <v/>
      </c>
      <c r="P400" s="14" t="str">
        <f t="shared" si="39"/>
        <v/>
      </c>
      <c r="Q400" s="14" t="str">
        <f t="shared" si="40"/>
        <v/>
      </c>
      <c r="R400" s="14" t="str">
        <f t="shared" si="41"/>
        <v/>
      </c>
      <c r="S400" s="9"/>
    </row>
    <row r="401" spans="1:19" ht="14.25" customHeight="1">
      <c r="A401" s="9"/>
      <c r="B401" s="9"/>
      <c r="C401" s="9"/>
      <c r="D401" s="9"/>
      <c r="E401" s="9"/>
      <c r="F401" s="13"/>
      <c r="G401" s="9"/>
      <c r="H401" s="9"/>
      <c r="I401" s="9"/>
      <c r="J401" s="9"/>
      <c r="K401" s="14" t="str">
        <f t="shared" si="36"/>
        <v/>
      </c>
      <c r="L401" s="14" t="str">
        <f t="shared" si="37"/>
        <v/>
      </c>
      <c r="M401" s="9"/>
      <c r="N401" s="9"/>
      <c r="O401" s="14" t="str">
        <f t="shared" si="38"/>
        <v/>
      </c>
      <c r="P401" s="14" t="str">
        <f t="shared" si="39"/>
        <v/>
      </c>
      <c r="Q401" s="14" t="str">
        <f t="shared" si="40"/>
        <v/>
      </c>
      <c r="R401" s="14" t="str">
        <f t="shared" si="41"/>
        <v/>
      </c>
      <c r="S401" s="9"/>
    </row>
    <row r="402" spans="1:19" ht="14.25" customHeight="1">
      <c r="A402" s="9"/>
      <c r="B402" s="9"/>
      <c r="C402" s="9"/>
      <c r="D402" s="9"/>
      <c r="E402" s="9"/>
      <c r="F402" s="13"/>
      <c r="G402" s="9"/>
      <c r="H402" s="9"/>
      <c r="I402" s="9"/>
      <c r="J402" s="9"/>
      <c r="K402" s="14" t="str">
        <f t="shared" si="36"/>
        <v/>
      </c>
      <c r="L402" s="14" t="str">
        <f t="shared" si="37"/>
        <v/>
      </c>
      <c r="M402" s="9"/>
      <c r="N402" s="9"/>
      <c r="O402" s="14" t="str">
        <f t="shared" si="38"/>
        <v/>
      </c>
      <c r="P402" s="14" t="str">
        <f t="shared" si="39"/>
        <v/>
      </c>
      <c r="Q402" s="14" t="str">
        <f t="shared" si="40"/>
        <v/>
      </c>
      <c r="R402" s="14" t="str">
        <f t="shared" si="41"/>
        <v/>
      </c>
      <c r="S402" s="9"/>
    </row>
    <row r="403" spans="1:19" ht="14.25" customHeight="1">
      <c r="A403" s="9"/>
      <c r="B403" s="9"/>
      <c r="C403" s="9"/>
      <c r="D403" s="9"/>
      <c r="E403" s="9"/>
      <c r="F403" s="13"/>
      <c r="G403" s="9"/>
      <c r="H403" s="9"/>
      <c r="I403" s="9"/>
      <c r="J403" s="9"/>
      <c r="K403" s="14" t="str">
        <f t="shared" si="36"/>
        <v/>
      </c>
      <c r="L403" s="14" t="str">
        <f t="shared" si="37"/>
        <v/>
      </c>
      <c r="M403" s="9"/>
      <c r="N403" s="9"/>
      <c r="O403" s="14" t="str">
        <f t="shared" si="38"/>
        <v/>
      </c>
      <c r="P403" s="14" t="str">
        <f t="shared" si="39"/>
        <v/>
      </c>
      <c r="Q403" s="14" t="str">
        <f t="shared" si="40"/>
        <v/>
      </c>
      <c r="R403" s="14" t="str">
        <f t="shared" si="41"/>
        <v/>
      </c>
      <c r="S403" s="9"/>
    </row>
    <row r="404" spans="1:19" ht="14.25" customHeight="1">
      <c r="A404" s="9"/>
      <c r="B404" s="9"/>
      <c r="C404" s="9"/>
      <c r="D404" s="9"/>
      <c r="E404" s="9"/>
      <c r="F404" s="13"/>
      <c r="G404" s="9"/>
      <c r="H404" s="9"/>
      <c r="I404" s="9"/>
      <c r="J404" s="9"/>
      <c r="K404" s="14" t="str">
        <f t="shared" si="36"/>
        <v/>
      </c>
      <c r="L404" s="14" t="str">
        <f t="shared" si="37"/>
        <v/>
      </c>
      <c r="M404" s="9"/>
      <c r="N404" s="9"/>
      <c r="O404" s="14" t="str">
        <f t="shared" si="38"/>
        <v/>
      </c>
      <c r="P404" s="14" t="str">
        <f t="shared" si="39"/>
        <v/>
      </c>
      <c r="Q404" s="14" t="str">
        <f t="shared" si="40"/>
        <v/>
      </c>
      <c r="R404" s="14" t="str">
        <f t="shared" si="41"/>
        <v/>
      </c>
      <c r="S404" s="9"/>
    </row>
    <row r="405" spans="1:19" ht="14.25" customHeight="1">
      <c r="A405" s="9"/>
      <c r="B405" s="9"/>
      <c r="C405" s="9"/>
      <c r="D405" s="9"/>
      <c r="E405" s="9"/>
      <c r="F405" s="13"/>
      <c r="G405" s="9"/>
      <c r="H405" s="9"/>
      <c r="I405" s="9"/>
      <c r="J405" s="9"/>
      <c r="K405" s="14" t="str">
        <f t="shared" si="36"/>
        <v/>
      </c>
      <c r="L405" s="14" t="str">
        <f t="shared" si="37"/>
        <v/>
      </c>
      <c r="M405" s="9"/>
      <c r="N405" s="9"/>
      <c r="O405" s="14" t="str">
        <f t="shared" si="38"/>
        <v/>
      </c>
      <c r="P405" s="14" t="str">
        <f t="shared" si="39"/>
        <v/>
      </c>
      <c r="Q405" s="14" t="str">
        <f t="shared" si="40"/>
        <v/>
      </c>
      <c r="R405" s="14" t="str">
        <f t="shared" si="41"/>
        <v/>
      </c>
      <c r="S405" s="9"/>
    </row>
    <row r="406" spans="1:19" ht="14.25" customHeight="1">
      <c r="A406" s="9"/>
      <c r="B406" s="9"/>
      <c r="C406" s="9"/>
      <c r="D406" s="9"/>
      <c r="E406" s="9"/>
      <c r="F406" s="13"/>
      <c r="G406" s="9"/>
      <c r="H406" s="9"/>
      <c r="I406" s="9"/>
      <c r="J406" s="9"/>
      <c r="K406" s="14" t="str">
        <f t="shared" si="36"/>
        <v/>
      </c>
      <c r="L406" s="14" t="str">
        <f t="shared" si="37"/>
        <v/>
      </c>
      <c r="M406" s="9"/>
      <c r="N406" s="9"/>
      <c r="O406" s="14" t="str">
        <f t="shared" si="38"/>
        <v/>
      </c>
      <c r="P406" s="14" t="str">
        <f t="shared" si="39"/>
        <v/>
      </c>
      <c r="Q406" s="14" t="str">
        <f t="shared" si="40"/>
        <v/>
      </c>
      <c r="R406" s="14" t="str">
        <f t="shared" si="41"/>
        <v/>
      </c>
      <c r="S406" s="9"/>
    </row>
    <row r="407" spans="1:19" ht="14.25" customHeight="1">
      <c r="A407" s="9"/>
      <c r="B407" s="9"/>
      <c r="C407" s="9"/>
      <c r="D407" s="9"/>
      <c r="E407" s="9"/>
      <c r="F407" s="13"/>
      <c r="G407" s="9"/>
      <c r="H407" s="9"/>
      <c r="I407" s="9"/>
      <c r="J407" s="9"/>
      <c r="K407" s="14" t="str">
        <f t="shared" si="36"/>
        <v/>
      </c>
      <c r="L407" s="14" t="str">
        <f t="shared" si="37"/>
        <v/>
      </c>
      <c r="M407" s="9"/>
      <c r="N407" s="9"/>
      <c r="O407" s="14" t="str">
        <f t="shared" si="38"/>
        <v/>
      </c>
      <c r="P407" s="14" t="str">
        <f t="shared" si="39"/>
        <v/>
      </c>
      <c r="Q407" s="14" t="str">
        <f t="shared" si="40"/>
        <v/>
      </c>
      <c r="R407" s="14" t="str">
        <f t="shared" si="41"/>
        <v/>
      </c>
      <c r="S407" s="9"/>
    </row>
    <row r="408" spans="1:19" ht="14.25" customHeight="1">
      <c r="A408" s="9"/>
      <c r="B408" s="9"/>
      <c r="C408" s="9"/>
      <c r="D408" s="9"/>
      <c r="E408" s="9"/>
      <c r="F408" s="13"/>
      <c r="G408" s="9"/>
      <c r="H408" s="9"/>
      <c r="I408" s="9"/>
      <c r="J408" s="9"/>
      <c r="K408" s="14" t="str">
        <f t="shared" si="36"/>
        <v/>
      </c>
      <c r="L408" s="14" t="str">
        <f t="shared" si="37"/>
        <v/>
      </c>
      <c r="M408" s="9"/>
      <c r="N408" s="9"/>
      <c r="O408" s="14" t="str">
        <f t="shared" si="38"/>
        <v/>
      </c>
      <c r="P408" s="14" t="str">
        <f t="shared" si="39"/>
        <v/>
      </c>
      <c r="Q408" s="14" t="str">
        <f t="shared" si="40"/>
        <v/>
      </c>
      <c r="R408" s="14" t="str">
        <f t="shared" si="41"/>
        <v/>
      </c>
      <c r="S408" s="9"/>
    </row>
    <row r="409" spans="1:19" ht="14.25" customHeight="1">
      <c r="A409" s="9"/>
      <c r="B409" s="9"/>
      <c r="C409" s="9"/>
      <c r="D409" s="9"/>
      <c r="E409" s="9"/>
      <c r="F409" s="13"/>
      <c r="G409" s="9"/>
      <c r="H409" s="9"/>
      <c r="I409" s="9"/>
      <c r="J409" s="9"/>
      <c r="K409" s="14" t="str">
        <f t="shared" si="36"/>
        <v/>
      </c>
      <c r="L409" s="14" t="str">
        <f t="shared" si="37"/>
        <v/>
      </c>
      <c r="M409" s="9"/>
      <c r="N409" s="9"/>
      <c r="O409" s="14" t="str">
        <f t="shared" si="38"/>
        <v/>
      </c>
      <c r="P409" s="14" t="str">
        <f t="shared" si="39"/>
        <v/>
      </c>
      <c r="Q409" s="14" t="str">
        <f t="shared" si="40"/>
        <v/>
      </c>
      <c r="R409" s="14" t="str">
        <f t="shared" si="41"/>
        <v/>
      </c>
      <c r="S409" s="9"/>
    </row>
    <row r="410" spans="1:19" ht="14.25" customHeight="1">
      <c r="A410" s="9"/>
      <c r="B410" s="9"/>
      <c r="C410" s="9"/>
      <c r="D410" s="9"/>
      <c r="E410" s="9"/>
      <c r="F410" s="13"/>
      <c r="G410" s="9"/>
      <c r="H410" s="9"/>
      <c r="I410" s="9"/>
      <c r="J410" s="9"/>
      <c r="K410" s="14" t="str">
        <f t="shared" si="36"/>
        <v/>
      </c>
      <c r="L410" s="14" t="str">
        <f t="shared" si="37"/>
        <v/>
      </c>
      <c r="M410" s="9"/>
      <c r="N410" s="9"/>
      <c r="O410" s="14" t="str">
        <f t="shared" si="38"/>
        <v/>
      </c>
      <c r="P410" s="14" t="str">
        <f t="shared" si="39"/>
        <v/>
      </c>
      <c r="Q410" s="14" t="str">
        <f t="shared" si="40"/>
        <v/>
      </c>
      <c r="R410" s="14" t="str">
        <f t="shared" si="41"/>
        <v/>
      </c>
      <c r="S410" s="9"/>
    </row>
    <row r="411" spans="1:19" ht="14.25" customHeight="1">
      <c r="A411" s="9"/>
      <c r="B411" s="9"/>
      <c r="C411" s="9"/>
      <c r="D411" s="9"/>
      <c r="E411" s="9"/>
      <c r="F411" s="13"/>
      <c r="G411" s="9"/>
      <c r="H411" s="9"/>
      <c r="I411" s="9"/>
      <c r="J411" s="9"/>
      <c r="K411" s="14" t="str">
        <f t="shared" si="36"/>
        <v/>
      </c>
      <c r="L411" s="14" t="str">
        <f t="shared" si="37"/>
        <v/>
      </c>
      <c r="M411" s="9"/>
      <c r="N411" s="9"/>
      <c r="O411" s="14" t="str">
        <f t="shared" si="38"/>
        <v/>
      </c>
      <c r="P411" s="14" t="str">
        <f t="shared" si="39"/>
        <v/>
      </c>
      <c r="Q411" s="14" t="str">
        <f t="shared" si="40"/>
        <v/>
      </c>
      <c r="R411" s="14" t="str">
        <f t="shared" si="41"/>
        <v/>
      </c>
      <c r="S411" s="9"/>
    </row>
    <row r="412" spans="1:19" ht="14.25" customHeight="1">
      <c r="A412" s="9"/>
      <c r="B412" s="9"/>
      <c r="C412" s="9"/>
      <c r="D412" s="9"/>
      <c r="E412" s="9"/>
      <c r="F412" s="13"/>
      <c r="G412" s="9"/>
      <c r="H412" s="9"/>
      <c r="I412" s="9"/>
      <c r="J412" s="9"/>
      <c r="K412" s="14" t="str">
        <f t="shared" si="36"/>
        <v/>
      </c>
      <c r="L412" s="14" t="str">
        <f t="shared" si="37"/>
        <v/>
      </c>
      <c r="M412" s="9"/>
      <c r="N412" s="9"/>
      <c r="O412" s="14" t="str">
        <f t="shared" si="38"/>
        <v/>
      </c>
      <c r="P412" s="14" t="str">
        <f t="shared" si="39"/>
        <v/>
      </c>
      <c r="Q412" s="14" t="str">
        <f t="shared" si="40"/>
        <v/>
      </c>
      <c r="R412" s="14" t="str">
        <f t="shared" si="41"/>
        <v/>
      </c>
      <c r="S412" s="9"/>
    </row>
    <row r="413" spans="1:19" ht="14.25" customHeight="1">
      <c r="A413" s="9"/>
      <c r="B413" s="9"/>
      <c r="C413" s="9"/>
      <c r="D413" s="9"/>
      <c r="E413" s="9"/>
      <c r="F413" s="13"/>
      <c r="G413" s="9"/>
      <c r="H413" s="9"/>
      <c r="I413" s="9"/>
      <c r="J413" s="9"/>
      <c r="K413" s="14" t="str">
        <f t="shared" si="36"/>
        <v/>
      </c>
      <c r="L413" s="14" t="str">
        <f t="shared" si="37"/>
        <v/>
      </c>
      <c r="M413" s="9"/>
      <c r="N413" s="9"/>
      <c r="O413" s="14" t="str">
        <f t="shared" si="38"/>
        <v/>
      </c>
      <c r="P413" s="14" t="str">
        <f t="shared" si="39"/>
        <v/>
      </c>
      <c r="Q413" s="14" t="str">
        <f t="shared" si="40"/>
        <v/>
      </c>
      <c r="R413" s="14" t="str">
        <f t="shared" si="41"/>
        <v/>
      </c>
      <c r="S413" s="9"/>
    </row>
    <row r="414" spans="1:19" ht="14.25" customHeight="1">
      <c r="A414" s="9"/>
      <c r="B414" s="9"/>
      <c r="C414" s="9"/>
      <c r="D414" s="9"/>
      <c r="E414" s="9"/>
      <c r="F414" s="13"/>
      <c r="G414" s="9"/>
      <c r="H414" s="9"/>
      <c r="I414" s="9"/>
      <c r="J414" s="9"/>
      <c r="K414" s="14" t="str">
        <f t="shared" si="36"/>
        <v/>
      </c>
      <c r="L414" s="14" t="str">
        <f t="shared" si="37"/>
        <v/>
      </c>
      <c r="M414" s="9"/>
      <c r="N414" s="9"/>
      <c r="O414" s="14" t="str">
        <f t="shared" si="38"/>
        <v/>
      </c>
      <c r="P414" s="14" t="str">
        <f t="shared" si="39"/>
        <v/>
      </c>
      <c r="Q414" s="14" t="str">
        <f t="shared" si="40"/>
        <v/>
      </c>
      <c r="R414" s="14" t="str">
        <f t="shared" si="41"/>
        <v/>
      </c>
      <c r="S414" s="9"/>
    </row>
    <row r="415" spans="1:19" ht="14.25" customHeight="1">
      <c r="A415" s="9"/>
      <c r="B415" s="9"/>
      <c r="C415" s="9"/>
      <c r="D415" s="9"/>
      <c r="E415" s="9"/>
      <c r="F415" s="13"/>
      <c r="G415" s="9"/>
      <c r="H415" s="9"/>
      <c r="I415" s="9"/>
      <c r="J415" s="9"/>
      <c r="K415" s="14" t="str">
        <f t="shared" si="36"/>
        <v/>
      </c>
      <c r="L415" s="14" t="str">
        <f t="shared" si="37"/>
        <v/>
      </c>
      <c r="M415" s="9"/>
      <c r="N415" s="9"/>
      <c r="O415" s="14" t="str">
        <f t="shared" si="38"/>
        <v/>
      </c>
      <c r="P415" s="14" t="str">
        <f t="shared" si="39"/>
        <v/>
      </c>
      <c r="Q415" s="14" t="str">
        <f t="shared" si="40"/>
        <v/>
      </c>
      <c r="R415" s="14" t="str">
        <f t="shared" si="41"/>
        <v/>
      </c>
      <c r="S415" s="9"/>
    </row>
    <row r="416" spans="1:19" ht="14.25" customHeight="1">
      <c r="A416" s="9"/>
      <c r="B416" s="9"/>
      <c r="C416" s="9"/>
      <c r="D416" s="9"/>
      <c r="E416" s="9"/>
      <c r="F416" s="13"/>
      <c r="G416" s="9"/>
      <c r="H416" s="9"/>
      <c r="I416" s="9"/>
      <c r="J416" s="9"/>
      <c r="K416" s="14" t="str">
        <f t="shared" si="36"/>
        <v/>
      </c>
      <c r="L416" s="14" t="str">
        <f t="shared" si="37"/>
        <v/>
      </c>
      <c r="M416" s="9"/>
      <c r="N416" s="9"/>
      <c r="O416" s="14" t="str">
        <f t="shared" si="38"/>
        <v/>
      </c>
      <c r="P416" s="14" t="str">
        <f t="shared" si="39"/>
        <v/>
      </c>
      <c r="Q416" s="14" t="str">
        <f t="shared" si="40"/>
        <v/>
      </c>
      <c r="R416" s="14" t="str">
        <f t="shared" si="41"/>
        <v/>
      </c>
      <c r="S416" s="9"/>
    </row>
    <row r="417" spans="1:19" ht="14.25" customHeight="1">
      <c r="A417" s="9"/>
      <c r="B417" s="9"/>
      <c r="C417" s="9"/>
      <c r="D417" s="9"/>
      <c r="E417" s="9"/>
      <c r="F417" s="13"/>
      <c r="G417" s="9"/>
      <c r="H417" s="9"/>
      <c r="I417" s="9"/>
      <c r="J417" s="9"/>
      <c r="K417" s="14" t="str">
        <f t="shared" si="36"/>
        <v/>
      </c>
      <c r="L417" s="14" t="str">
        <f t="shared" si="37"/>
        <v/>
      </c>
      <c r="M417" s="9"/>
      <c r="N417" s="9"/>
      <c r="O417" s="14" t="str">
        <f t="shared" si="38"/>
        <v/>
      </c>
      <c r="P417" s="14" t="str">
        <f t="shared" si="39"/>
        <v/>
      </c>
      <c r="Q417" s="14" t="str">
        <f t="shared" si="40"/>
        <v/>
      </c>
      <c r="R417" s="14" t="str">
        <f t="shared" si="41"/>
        <v/>
      </c>
      <c r="S417" s="9"/>
    </row>
    <row r="418" spans="1:19" ht="14.25" customHeight="1">
      <c r="A418" s="9"/>
      <c r="B418" s="9"/>
      <c r="C418" s="9"/>
      <c r="D418" s="9"/>
      <c r="E418" s="9"/>
      <c r="F418" s="13"/>
      <c r="G418" s="9"/>
      <c r="H418" s="9"/>
      <c r="I418" s="9"/>
      <c r="J418" s="9"/>
      <c r="K418" s="14" t="str">
        <f t="shared" si="36"/>
        <v/>
      </c>
      <c r="L418" s="14" t="str">
        <f t="shared" si="37"/>
        <v/>
      </c>
      <c r="M418" s="9"/>
      <c r="N418" s="9"/>
      <c r="O418" s="14" t="str">
        <f t="shared" si="38"/>
        <v/>
      </c>
      <c r="P418" s="14" t="str">
        <f t="shared" si="39"/>
        <v/>
      </c>
      <c r="Q418" s="14" t="str">
        <f t="shared" si="40"/>
        <v/>
      </c>
      <c r="R418" s="14" t="str">
        <f t="shared" si="41"/>
        <v/>
      </c>
      <c r="S418" s="9"/>
    </row>
    <row r="419" spans="1:19" ht="14.25" customHeight="1">
      <c r="A419" s="9"/>
      <c r="B419" s="9"/>
      <c r="C419" s="9"/>
      <c r="D419" s="9"/>
      <c r="E419" s="9"/>
      <c r="F419" s="13"/>
      <c r="G419" s="9"/>
      <c r="H419" s="9"/>
      <c r="I419" s="9"/>
      <c r="J419" s="9"/>
      <c r="K419" s="14" t="str">
        <f t="shared" si="36"/>
        <v/>
      </c>
      <c r="L419" s="14" t="str">
        <f t="shared" si="37"/>
        <v/>
      </c>
      <c r="M419" s="9"/>
      <c r="N419" s="9"/>
      <c r="O419" s="14" t="str">
        <f t="shared" si="38"/>
        <v/>
      </c>
      <c r="P419" s="14" t="str">
        <f t="shared" si="39"/>
        <v/>
      </c>
      <c r="Q419" s="14" t="str">
        <f t="shared" si="40"/>
        <v/>
      </c>
      <c r="R419" s="14" t="str">
        <f t="shared" si="41"/>
        <v/>
      </c>
      <c r="S419" s="9"/>
    </row>
    <row r="420" spans="1:19" ht="14.25" customHeight="1">
      <c r="A420" s="9"/>
      <c r="B420" s="9"/>
      <c r="C420" s="9"/>
      <c r="D420" s="9"/>
      <c r="E420" s="9"/>
      <c r="F420" s="13"/>
      <c r="G420" s="9"/>
      <c r="H420" s="9"/>
      <c r="I420" s="9"/>
      <c r="J420" s="9"/>
      <c r="K420" s="14" t="str">
        <f t="shared" si="36"/>
        <v/>
      </c>
      <c r="L420" s="14" t="str">
        <f t="shared" si="37"/>
        <v/>
      </c>
      <c r="M420" s="9"/>
      <c r="N420" s="9"/>
      <c r="O420" s="14" t="str">
        <f t="shared" si="38"/>
        <v/>
      </c>
      <c r="P420" s="14" t="str">
        <f t="shared" si="39"/>
        <v/>
      </c>
      <c r="Q420" s="14" t="str">
        <f t="shared" si="40"/>
        <v/>
      </c>
      <c r="R420" s="14" t="str">
        <f t="shared" si="41"/>
        <v/>
      </c>
      <c r="S420" s="9"/>
    </row>
    <row r="421" spans="1:19" ht="14.25" customHeight="1">
      <c r="A421" s="9"/>
      <c r="B421" s="9"/>
      <c r="C421" s="9"/>
      <c r="D421" s="9"/>
      <c r="E421" s="9"/>
      <c r="F421" s="13"/>
      <c r="G421" s="9"/>
      <c r="H421" s="9"/>
      <c r="I421" s="9"/>
      <c r="J421" s="9"/>
      <c r="K421" s="14" t="str">
        <f t="shared" si="36"/>
        <v/>
      </c>
      <c r="L421" s="14" t="str">
        <f t="shared" si="37"/>
        <v/>
      </c>
      <c r="M421" s="9"/>
      <c r="N421" s="9"/>
      <c r="O421" s="14" t="str">
        <f t="shared" si="38"/>
        <v/>
      </c>
      <c r="P421" s="14" t="str">
        <f t="shared" si="39"/>
        <v/>
      </c>
      <c r="Q421" s="14" t="str">
        <f t="shared" si="40"/>
        <v/>
      </c>
      <c r="R421" s="14" t="str">
        <f t="shared" si="41"/>
        <v/>
      </c>
      <c r="S421" s="9"/>
    </row>
    <row r="422" spans="1:19" ht="14.25" customHeight="1">
      <c r="A422" s="9"/>
      <c r="B422" s="9"/>
      <c r="C422" s="9"/>
      <c r="D422" s="9"/>
      <c r="E422" s="9"/>
      <c r="F422" s="13"/>
      <c r="G422" s="9"/>
      <c r="H422" s="9"/>
      <c r="I422" s="9"/>
      <c r="J422" s="9"/>
      <c r="K422" s="14" t="str">
        <f t="shared" si="36"/>
        <v/>
      </c>
      <c r="L422" s="14" t="str">
        <f t="shared" si="37"/>
        <v/>
      </c>
      <c r="M422" s="9"/>
      <c r="N422" s="9"/>
      <c r="O422" s="14" t="str">
        <f t="shared" si="38"/>
        <v/>
      </c>
      <c r="P422" s="14" t="str">
        <f t="shared" si="39"/>
        <v/>
      </c>
      <c r="Q422" s="14" t="str">
        <f t="shared" si="40"/>
        <v/>
      </c>
      <c r="R422" s="14" t="str">
        <f t="shared" si="41"/>
        <v/>
      </c>
      <c r="S422" s="9"/>
    </row>
    <row r="423" spans="1:19" ht="14.25" customHeight="1">
      <c r="A423" s="9"/>
      <c r="B423" s="9"/>
      <c r="C423" s="9"/>
      <c r="D423" s="9"/>
      <c r="E423" s="9"/>
      <c r="F423" s="13"/>
      <c r="G423" s="9"/>
      <c r="H423" s="9"/>
      <c r="I423" s="9"/>
      <c r="J423" s="9"/>
      <c r="K423" s="14" t="str">
        <f t="shared" si="36"/>
        <v/>
      </c>
      <c r="L423" s="14" t="str">
        <f t="shared" si="37"/>
        <v/>
      </c>
      <c r="M423" s="9"/>
      <c r="N423" s="9"/>
      <c r="O423" s="14" t="str">
        <f t="shared" si="38"/>
        <v/>
      </c>
      <c r="P423" s="14" t="str">
        <f t="shared" si="39"/>
        <v/>
      </c>
      <c r="Q423" s="14" t="str">
        <f t="shared" si="40"/>
        <v/>
      </c>
      <c r="R423" s="14" t="str">
        <f t="shared" si="41"/>
        <v/>
      </c>
      <c r="S423" s="9"/>
    </row>
    <row r="424" spans="1:19" ht="14.25" customHeight="1">
      <c r="A424" s="9"/>
      <c r="B424" s="9"/>
      <c r="C424" s="9"/>
      <c r="D424" s="9"/>
      <c r="E424" s="9"/>
      <c r="F424" s="13"/>
      <c r="G424" s="9"/>
      <c r="H424" s="9"/>
      <c r="I424" s="9"/>
      <c r="J424" s="9"/>
      <c r="K424" s="14" t="str">
        <f t="shared" si="36"/>
        <v/>
      </c>
      <c r="L424" s="14" t="str">
        <f t="shared" si="37"/>
        <v/>
      </c>
      <c r="M424" s="9"/>
      <c r="N424" s="9"/>
      <c r="O424" s="14" t="str">
        <f t="shared" si="38"/>
        <v/>
      </c>
      <c r="P424" s="14" t="str">
        <f t="shared" si="39"/>
        <v/>
      </c>
      <c r="Q424" s="14" t="str">
        <f t="shared" si="40"/>
        <v/>
      </c>
      <c r="R424" s="14" t="str">
        <f t="shared" si="41"/>
        <v/>
      </c>
      <c r="S424" s="9"/>
    </row>
    <row r="425" spans="1:19" ht="14.25" customHeight="1">
      <c r="A425" s="9"/>
      <c r="B425" s="9"/>
      <c r="C425" s="9"/>
      <c r="D425" s="9"/>
      <c r="E425" s="9"/>
      <c r="F425" s="13"/>
      <c r="G425" s="9"/>
      <c r="H425" s="9"/>
      <c r="I425" s="9"/>
      <c r="J425" s="9"/>
      <c r="K425" s="14" t="str">
        <f t="shared" si="36"/>
        <v/>
      </c>
      <c r="L425" s="14" t="str">
        <f t="shared" si="37"/>
        <v/>
      </c>
      <c r="M425" s="9"/>
      <c r="N425" s="9"/>
      <c r="O425" s="14" t="str">
        <f t="shared" si="38"/>
        <v/>
      </c>
      <c r="P425" s="14" t="str">
        <f t="shared" si="39"/>
        <v/>
      </c>
      <c r="Q425" s="14" t="str">
        <f t="shared" si="40"/>
        <v/>
      </c>
      <c r="R425" s="14" t="str">
        <f t="shared" si="41"/>
        <v/>
      </c>
      <c r="S425" s="9"/>
    </row>
    <row r="426" spans="1:19" ht="14.25" customHeight="1">
      <c r="A426" s="9"/>
      <c r="B426" s="9"/>
      <c r="C426" s="9"/>
      <c r="D426" s="9"/>
      <c r="E426" s="9"/>
      <c r="F426" s="13"/>
      <c r="G426" s="9"/>
      <c r="H426" s="9"/>
      <c r="I426" s="9"/>
      <c r="J426" s="9"/>
      <c r="K426" s="14" t="str">
        <f t="shared" si="36"/>
        <v/>
      </c>
      <c r="L426" s="14" t="str">
        <f t="shared" si="37"/>
        <v/>
      </c>
      <c r="M426" s="9"/>
      <c r="N426" s="9"/>
      <c r="O426" s="14" t="str">
        <f t="shared" si="38"/>
        <v/>
      </c>
      <c r="P426" s="14" t="str">
        <f t="shared" si="39"/>
        <v/>
      </c>
      <c r="Q426" s="14" t="str">
        <f t="shared" si="40"/>
        <v/>
      </c>
      <c r="R426" s="14" t="str">
        <f t="shared" si="41"/>
        <v/>
      </c>
      <c r="S426" s="9"/>
    </row>
    <row r="427" spans="1:19" ht="14.25" customHeight="1">
      <c r="A427" s="9"/>
      <c r="B427" s="9"/>
      <c r="C427" s="9"/>
      <c r="D427" s="9"/>
      <c r="E427" s="9"/>
      <c r="F427" s="13"/>
      <c r="G427" s="9"/>
      <c r="H427" s="9"/>
      <c r="I427" s="9"/>
      <c r="J427" s="9"/>
      <c r="K427" s="14" t="str">
        <f t="shared" si="36"/>
        <v/>
      </c>
      <c r="L427" s="14" t="str">
        <f t="shared" si="37"/>
        <v/>
      </c>
      <c r="M427" s="9"/>
      <c r="N427" s="9"/>
      <c r="O427" s="14" t="str">
        <f t="shared" si="38"/>
        <v/>
      </c>
      <c r="P427" s="14" t="str">
        <f t="shared" si="39"/>
        <v/>
      </c>
      <c r="Q427" s="14" t="str">
        <f t="shared" si="40"/>
        <v/>
      </c>
      <c r="R427" s="14" t="str">
        <f t="shared" si="41"/>
        <v/>
      </c>
      <c r="S427" s="9"/>
    </row>
    <row r="428" spans="1:19" ht="14.25" customHeight="1">
      <c r="A428" s="9"/>
      <c r="B428" s="9"/>
      <c r="C428" s="9"/>
      <c r="D428" s="9"/>
      <c r="E428" s="9"/>
      <c r="F428" s="13"/>
      <c r="G428" s="9"/>
      <c r="H428" s="9"/>
      <c r="I428" s="9"/>
      <c r="J428" s="9"/>
      <c r="K428" s="14" t="str">
        <f t="shared" si="36"/>
        <v/>
      </c>
      <c r="L428" s="14" t="str">
        <f t="shared" si="37"/>
        <v/>
      </c>
      <c r="M428" s="9"/>
      <c r="N428" s="9"/>
      <c r="O428" s="14" t="str">
        <f t="shared" si="38"/>
        <v/>
      </c>
      <c r="P428" s="14" t="str">
        <f t="shared" si="39"/>
        <v/>
      </c>
      <c r="Q428" s="14" t="str">
        <f t="shared" si="40"/>
        <v/>
      </c>
      <c r="R428" s="14" t="str">
        <f t="shared" si="41"/>
        <v/>
      </c>
      <c r="S428" s="9"/>
    </row>
    <row r="429" spans="1:19" ht="14.25" customHeight="1">
      <c r="A429" s="9"/>
      <c r="B429" s="9"/>
      <c r="C429" s="9"/>
      <c r="D429" s="9"/>
      <c r="E429" s="9"/>
      <c r="F429" s="13"/>
      <c r="G429" s="9"/>
      <c r="H429" s="9"/>
      <c r="I429" s="9"/>
      <c r="J429" s="9"/>
      <c r="K429" s="14" t="str">
        <f t="shared" si="36"/>
        <v/>
      </c>
      <c r="L429" s="14" t="str">
        <f t="shared" si="37"/>
        <v/>
      </c>
      <c r="M429" s="9"/>
      <c r="N429" s="9"/>
      <c r="O429" s="14" t="str">
        <f t="shared" si="38"/>
        <v/>
      </c>
      <c r="P429" s="14" t="str">
        <f t="shared" si="39"/>
        <v/>
      </c>
      <c r="Q429" s="14" t="str">
        <f t="shared" si="40"/>
        <v/>
      </c>
      <c r="R429" s="14" t="str">
        <f t="shared" si="41"/>
        <v/>
      </c>
      <c r="S429" s="9"/>
    </row>
    <row r="430" spans="1:19" ht="14.25" customHeight="1">
      <c r="A430" s="9"/>
      <c r="B430" s="9"/>
      <c r="C430" s="9"/>
      <c r="D430" s="9"/>
      <c r="E430" s="9"/>
      <c r="F430" s="13"/>
      <c r="G430" s="9"/>
      <c r="H430" s="9"/>
      <c r="I430" s="9"/>
      <c r="J430" s="9"/>
      <c r="K430" s="14" t="str">
        <f t="shared" si="36"/>
        <v/>
      </c>
      <c r="L430" s="14" t="str">
        <f t="shared" si="37"/>
        <v/>
      </c>
      <c r="M430" s="9"/>
      <c r="N430" s="9"/>
      <c r="O430" s="14" t="str">
        <f t="shared" si="38"/>
        <v/>
      </c>
      <c r="P430" s="14" t="str">
        <f t="shared" si="39"/>
        <v/>
      </c>
      <c r="Q430" s="14" t="str">
        <f t="shared" si="40"/>
        <v/>
      </c>
      <c r="R430" s="14" t="str">
        <f t="shared" si="41"/>
        <v/>
      </c>
      <c r="S430" s="9"/>
    </row>
    <row r="431" spans="1:19" ht="14.25" customHeight="1">
      <c r="A431" s="9"/>
      <c r="B431" s="9"/>
      <c r="C431" s="9"/>
      <c r="D431" s="9"/>
      <c r="E431" s="9"/>
      <c r="F431" s="13"/>
      <c r="G431" s="9"/>
      <c r="H431" s="9"/>
      <c r="I431" s="9"/>
      <c r="J431" s="9"/>
      <c r="K431" s="14" t="str">
        <f t="shared" si="36"/>
        <v/>
      </c>
      <c r="L431" s="14" t="str">
        <f t="shared" si="37"/>
        <v/>
      </c>
      <c r="M431" s="9"/>
      <c r="N431" s="9"/>
      <c r="O431" s="14" t="str">
        <f t="shared" si="38"/>
        <v/>
      </c>
      <c r="P431" s="14" t="str">
        <f t="shared" si="39"/>
        <v/>
      </c>
      <c r="Q431" s="14" t="str">
        <f t="shared" si="40"/>
        <v/>
      </c>
      <c r="R431" s="14" t="str">
        <f t="shared" si="41"/>
        <v/>
      </c>
      <c r="S431" s="9"/>
    </row>
    <row r="432" spans="1:19" ht="14.25" customHeight="1">
      <c r="A432" s="9"/>
      <c r="B432" s="9"/>
      <c r="C432" s="9"/>
      <c r="D432" s="9"/>
      <c r="E432" s="9"/>
      <c r="F432" s="13"/>
      <c r="G432" s="9"/>
      <c r="H432" s="9"/>
      <c r="I432" s="9"/>
      <c r="J432" s="9"/>
      <c r="K432" s="14" t="str">
        <f t="shared" si="36"/>
        <v/>
      </c>
      <c r="L432" s="14" t="str">
        <f t="shared" si="37"/>
        <v/>
      </c>
      <c r="M432" s="9"/>
      <c r="N432" s="9"/>
      <c r="O432" s="14" t="str">
        <f t="shared" si="38"/>
        <v/>
      </c>
      <c r="P432" s="14" t="str">
        <f t="shared" si="39"/>
        <v/>
      </c>
      <c r="Q432" s="14" t="str">
        <f t="shared" si="40"/>
        <v/>
      </c>
      <c r="R432" s="14" t="str">
        <f t="shared" si="41"/>
        <v/>
      </c>
      <c r="S432" s="9"/>
    </row>
    <row r="433" spans="1:19" ht="14.25" customHeight="1">
      <c r="A433" s="9"/>
      <c r="B433" s="9"/>
      <c r="C433" s="9"/>
      <c r="D433" s="9"/>
      <c r="E433" s="9"/>
      <c r="F433" s="13"/>
      <c r="G433" s="9"/>
      <c r="H433" s="9"/>
      <c r="I433" s="9"/>
      <c r="J433" s="9"/>
      <c r="K433" s="14" t="str">
        <f t="shared" si="36"/>
        <v/>
      </c>
      <c r="L433" s="14" t="str">
        <f t="shared" si="37"/>
        <v/>
      </c>
      <c r="M433" s="9"/>
      <c r="N433" s="9"/>
      <c r="O433" s="14" t="str">
        <f t="shared" si="38"/>
        <v/>
      </c>
      <c r="P433" s="14" t="str">
        <f t="shared" si="39"/>
        <v/>
      </c>
      <c r="Q433" s="14" t="str">
        <f t="shared" si="40"/>
        <v/>
      </c>
      <c r="R433" s="14" t="str">
        <f t="shared" si="41"/>
        <v/>
      </c>
      <c r="S433" s="9"/>
    </row>
    <row r="434" spans="1:19" ht="14.25" customHeight="1">
      <c r="A434" s="9"/>
      <c r="B434" s="9"/>
      <c r="C434" s="9"/>
      <c r="D434" s="9"/>
      <c r="E434" s="9"/>
      <c r="F434" s="13"/>
      <c r="G434" s="9"/>
      <c r="H434" s="9"/>
      <c r="I434" s="9"/>
      <c r="J434" s="9"/>
      <c r="K434" s="14" t="str">
        <f t="shared" si="36"/>
        <v/>
      </c>
      <c r="L434" s="14" t="str">
        <f t="shared" si="37"/>
        <v/>
      </c>
      <c r="M434" s="9"/>
      <c r="N434" s="9"/>
      <c r="O434" s="14" t="str">
        <f t="shared" si="38"/>
        <v/>
      </c>
      <c r="P434" s="14" t="str">
        <f t="shared" si="39"/>
        <v/>
      </c>
      <c r="Q434" s="14" t="str">
        <f t="shared" si="40"/>
        <v/>
      </c>
      <c r="R434" s="14" t="str">
        <f t="shared" si="41"/>
        <v/>
      </c>
      <c r="S434" s="9"/>
    </row>
    <row r="435" spans="1:19" ht="14.25" customHeight="1">
      <c r="A435" s="9"/>
      <c r="B435" s="9"/>
      <c r="C435" s="9"/>
      <c r="D435" s="9"/>
      <c r="E435" s="9"/>
      <c r="F435" s="13"/>
      <c r="G435" s="9"/>
      <c r="H435" s="9"/>
      <c r="I435" s="9"/>
      <c r="J435" s="9"/>
      <c r="K435" s="14" t="str">
        <f t="shared" si="36"/>
        <v/>
      </c>
      <c r="L435" s="14" t="str">
        <f t="shared" si="37"/>
        <v/>
      </c>
      <c r="M435" s="9"/>
      <c r="N435" s="9"/>
      <c r="O435" s="14" t="str">
        <f t="shared" si="38"/>
        <v/>
      </c>
      <c r="P435" s="14" t="str">
        <f t="shared" si="39"/>
        <v/>
      </c>
      <c r="Q435" s="14" t="str">
        <f t="shared" si="40"/>
        <v/>
      </c>
      <c r="R435" s="14" t="str">
        <f t="shared" si="41"/>
        <v/>
      </c>
      <c r="S435" s="9"/>
    </row>
    <row r="436" spans="1:19" ht="14.25" customHeight="1">
      <c r="A436" s="9"/>
      <c r="B436" s="9"/>
      <c r="C436" s="9"/>
      <c r="D436" s="9"/>
      <c r="E436" s="9"/>
      <c r="F436" s="13"/>
      <c r="G436" s="9"/>
      <c r="H436" s="9"/>
      <c r="I436" s="9"/>
      <c r="J436" s="9"/>
      <c r="K436" s="14" t="str">
        <f t="shared" si="36"/>
        <v/>
      </c>
      <c r="L436" s="14" t="str">
        <f t="shared" si="37"/>
        <v/>
      </c>
      <c r="M436" s="9"/>
      <c r="N436" s="9"/>
      <c r="O436" s="14" t="str">
        <f t="shared" si="38"/>
        <v/>
      </c>
      <c r="P436" s="14" t="str">
        <f t="shared" si="39"/>
        <v/>
      </c>
      <c r="Q436" s="14" t="str">
        <f t="shared" si="40"/>
        <v/>
      </c>
      <c r="R436" s="14" t="str">
        <f t="shared" si="41"/>
        <v/>
      </c>
      <c r="S436" s="9"/>
    </row>
    <row r="437" spans="1:19" ht="14.25" customHeight="1">
      <c r="A437" s="9"/>
      <c r="B437" s="9"/>
      <c r="C437" s="9"/>
      <c r="D437" s="9"/>
      <c r="E437" s="9"/>
      <c r="F437" s="13"/>
      <c r="G437" s="9"/>
      <c r="H437" s="9"/>
      <c r="I437" s="9"/>
      <c r="J437" s="9"/>
      <c r="K437" s="14" t="str">
        <f t="shared" si="36"/>
        <v/>
      </c>
      <c r="L437" s="14" t="str">
        <f t="shared" si="37"/>
        <v/>
      </c>
      <c r="M437" s="9"/>
      <c r="N437" s="9"/>
      <c r="O437" s="14" t="str">
        <f t="shared" si="38"/>
        <v/>
      </c>
      <c r="P437" s="14" t="str">
        <f t="shared" si="39"/>
        <v/>
      </c>
      <c r="Q437" s="14" t="str">
        <f t="shared" si="40"/>
        <v/>
      </c>
      <c r="R437" s="14" t="str">
        <f t="shared" si="41"/>
        <v/>
      </c>
      <c r="S437" s="9"/>
    </row>
    <row r="438" spans="1:19" ht="14.25" customHeight="1">
      <c r="A438" s="9"/>
      <c r="B438" s="9"/>
      <c r="C438" s="9"/>
      <c r="D438" s="9"/>
      <c r="E438" s="9"/>
      <c r="F438" s="13"/>
      <c r="G438" s="9"/>
      <c r="H438" s="9"/>
      <c r="I438" s="9"/>
      <c r="J438" s="9"/>
      <c r="K438" s="14" t="str">
        <f t="shared" si="36"/>
        <v/>
      </c>
      <c r="L438" s="14" t="str">
        <f t="shared" si="37"/>
        <v/>
      </c>
      <c r="M438" s="9"/>
      <c r="N438" s="9"/>
      <c r="O438" s="14" t="str">
        <f t="shared" si="38"/>
        <v/>
      </c>
      <c r="P438" s="14" t="str">
        <f t="shared" si="39"/>
        <v/>
      </c>
      <c r="Q438" s="14" t="str">
        <f t="shared" si="40"/>
        <v/>
      </c>
      <c r="R438" s="14" t="str">
        <f t="shared" si="41"/>
        <v/>
      </c>
      <c r="S438" s="9"/>
    </row>
    <row r="439" spans="1:19" ht="14.25" customHeight="1">
      <c r="A439" s="9"/>
      <c r="B439" s="9"/>
      <c r="C439" s="9"/>
      <c r="D439" s="9"/>
      <c r="E439" s="9"/>
      <c r="F439" s="13"/>
      <c r="G439" s="9"/>
      <c r="H439" s="9"/>
      <c r="I439" s="9"/>
      <c r="J439" s="9"/>
      <c r="K439" s="14" t="str">
        <f t="shared" si="36"/>
        <v/>
      </c>
      <c r="L439" s="14" t="str">
        <f t="shared" si="37"/>
        <v/>
      </c>
      <c r="M439" s="9"/>
      <c r="N439" s="9"/>
      <c r="O439" s="14" t="str">
        <f t="shared" si="38"/>
        <v/>
      </c>
      <c r="P439" s="14" t="str">
        <f t="shared" si="39"/>
        <v/>
      </c>
      <c r="Q439" s="14" t="str">
        <f t="shared" si="40"/>
        <v/>
      </c>
      <c r="R439" s="14" t="str">
        <f t="shared" si="41"/>
        <v/>
      </c>
      <c r="S439" s="9"/>
    </row>
    <row r="440" spans="1:19" ht="14.25" customHeight="1">
      <c r="A440" s="9"/>
      <c r="B440" s="9"/>
      <c r="C440" s="9"/>
      <c r="D440" s="9"/>
      <c r="E440" s="9"/>
      <c r="F440" s="13"/>
      <c r="G440" s="9"/>
      <c r="H440" s="9"/>
      <c r="I440" s="9"/>
      <c r="J440" s="9"/>
      <c r="K440" s="14" t="str">
        <f t="shared" si="36"/>
        <v/>
      </c>
      <c r="L440" s="14" t="str">
        <f t="shared" si="37"/>
        <v/>
      </c>
      <c r="M440" s="9"/>
      <c r="N440" s="9"/>
      <c r="O440" s="14" t="str">
        <f t="shared" si="38"/>
        <v/>
      </c>
      <c r="P440" s="14" t="str">
        <f t="shared" si="39"/>
        <v/>
      </c>
      <c r="Q440" s="14" t="str">
        <f t="shared" si="40"/>
        <v/>
      </c>
      <c r="R440" s="14" t="str">
        <f t="shared" si="41"/>
        <v/>
      </c>
      <c r="S440" s="9"/>
    </row>
    <row r="441" spans="1:19" ht="14.25" customHeight="1">
      <c r="A441" s="9"/>
      <c r="B441" s="9"/>
      <c r="C441" s="9"/>
      <c r="D441" s="9"/>
      <c r="E441" s="9"/>
      <c r="F441" s="13"/>
      <c r="G441" s="9"/>
      <c r="H441" s="9"/>
      <c r="I441" s="9"/>
      <c r="J441" s="9"/>
      <c r="K441" s="14" t="str">
        <f t="shared" si="36"/>
        <v/>
      </c>
      <c r="L441" s="14" t="str">
        <f t="shared" si="37"/>
        <v/>
      </c>
      <c r="M441" s="9"/>
      <c r="N441" s="9"/>
      <c r="O441" s="14" t="str">
        <f t="shared" si="38"/>
        <v/>
      </c>
      <c r="P441" s="14" t="str">
        <f t="shared" si="39"/>
        <v/>
      </c>
      <c r="Q441" s="14" t="str">
        <f t="shared" si="40"/>
        <v/>
      </c>
      <c r="R441" s="14" t="str">
        <f t="shared" si="41"/>
        <v/>
      </c>
      <c r="S441" s="9"/>
    </row>
    <row r="442" spans="1:19" ht="14.25" customHeight="1">
      <c r="A442" s="9"/>
      <c r="B442" s="9"/>
      <c r="C442" s="9"/>
      <c r="D442" s="9"/>
      <c r="E442" s="9"/>
      <c r="F442" s="13"/>
      <c r="G442" s="9"/>
      <c r="H442" s="9"/>
      <c r="I442" s="9"/>
      <c r="J442" s="9"/>
      <c r="K442" s="14" t="str">
        <f t="shared" si="36"/>
        <v/>
      </c>
      <c r="L442" s="14" t="str">
        <f t="shared" si="37"/>
        <v/>
      </c>
      <c r="M442" s="9"/>
      <c r="N442" s="9"/>
      <c r="O442" s="14" t="str">
        <f t="shared" si="38"/>
        <v/>
      </c>
      <c r="P442" s="14" t="str">
        <f t="shared" si="39"/>
        <v/>
      </c>
      <c r="Q442" s="14" t="str">
        <f t="shared" si="40"/>
        <v/>
      </c>
      <c r="R442" s="14" t="str">
        <f t="shared" si="41"/>
        <v/>
      </c>
      <c r="S442" s="9"/>
    </row>
    <row r="443" spans="1:19" ht="14.25" customHeight="1">
      <c r="A443" s="9"/>
      <c r="B443" s="9"/>
      <c r="C443" s="9"/>
      <c r="D443" s="9"/>
      <c r="E443" s="9"/>
      <c r="F443" s="13"/>
      <c r="G443" s="9"/>
      <c r="H443" s="9"/>
      <c r="I443" s="9"/>
      <c r="J443" s="9"/>
      <c r="K443" s="14" t="str">
        <f t="shared" si="36"/>
        <v/>
      </c>
      <c r="L443" s="14" t="str">
        <f t="shared" si="37"/>
        <v/>
      </c>
      <c r="M443" s="9"/>
      <c r="N443" s="9"/>
      <c r="O443" s="14" t="str">
        <f t="shared" si="38"/>
        <v/>
      </c>
      <c r="P443" s="14" t="str">
        <f t="shared" si="39"/>
        <v/>
      </c>
      <c r="Q443" s="14" t="str">
        <f t="shared" si="40"/>
        <v/>
      </c>
      <c r="R443" s="14" t="str">
        <f t="shared" si="41"/>
        <v/>
      </c>
      <c r="S443" s="9"/>
    </row>
    <row r="444" spans="1:19" ht="14.25" customHeight="1">
      <c r="A444" s="9"/>
      <c r="B444" s="9"/>
      <c r="C444" s="9"/>
      <c r="D444" s="9"/>
      <c r="E444" s="9"/>
      <c r="F444" s="13"/>
      <c r="G444" s="9"/>
      <c r="H444" s="9"/>
      <c r="I444" s="9"/>
      <c r="J444" s="9"/>
      <c r="K444" s="14" t="str">
        <f t="shared" si="36"/>
        <v/>
      </c>
      <c r="L444" s="14" t="str">
        <f t="shared" si="37"/>
        <v/>
      </c>
      <c r="M444" s="9"/>
      <c r="N444" s="9"/>
      <c r="O444" s="14" t="str">
        <f t="shared" si="38"/>
        <v/>
      </c>
      <c r="P444" s="14" t="str">
        <f t="shared" si="39"/>
        <v/>
      </c>
      <c r="Q444" s="14" t="str">
        <f t="shared" si="40"/>
        <v/>
      </c>
      <c r="R444" s="14" t="str">
        <f t="shared" si="41"/>
        <v/>
      </c>
      <c r="S444" s="9"/>
    </row>
    <row r="445" spans="1:19" ht="14.25" customHeight="1">
      <c r="A445" s="9"/>
      <c r="B445" s="9"/>
      <c r="C445" s="9"/>
      <c r="D445" s="9"/>
      <c r="E445" s="9"/>
      <c r="F445" s="13"/>
      <c r="G445" s="9"/>
      <c r="H445" s="9"/>
      <c r="I445" s="9"/>
      <c r="J445" s="9"/>
      <c r="K445" s="14" t="str">
        <f t="shared" si="36"/>
        <v/>
      </c>
      <c r="L445" s="14" t="str">
        <f t="shared" si="37"/>
        <v/>
      </c>
      <c r="M445" s="9"/>
      <c r="N445" s="9"/>
      <c r="O445" s="14" t="str">
        <f t="shared" si="38"/>
        <v/>
      </c>
      <c r="P445" s="14" t="str">
        <f t="shared" si="39"/>
        <v/>
      </c>
      <c r="Q445" s="14" t="str">
        <f t="shared" si="40"/>
        <v/>
      </c>
      <c r="R445" s="14" t="str">
        <f t="shared" si="41"/>
        <v/>
      </c>
      <c r="S445" s="9"/>
    </row>
    <row r="446" spans="1:19" ht="14.25" customHeight="1">
      <c r="A446" s="9"/>
      <c r="B446" s="9"/>
      <c r="C446" s="9"/>
      <c r="D446" s="9"/>
      <c r="E446" s="9"/>
      <c r="F446" s="13"/>
      <c r="G446" s="9"/>
      <c r="H446" s="9"/>
      <c r="I446" s="9"/>
      <c r="J446" s="9"/>
      <c r="K446" s="14" t="str">
        <f t="shared" si="36"/>
        <v/>
      </c>
      <c r="L446" s="14" t="str">
        <f t="shared" si="37"/>
        <v/>
      </c>
      <c r="M446" s="9"/>
      <c r="N446" s="9"/>
      <c r="O446" s="14" t="str">
        <f t="shared" si="38"/>
        <v/>
      </c>
      <c r="P446" s="14" t="str">
        <f t="shared" si="39"/>
        <v/>
      </c>
      <c r="Q446" s="14" t="str">
        <f t="shared" si="40"/>
        <v/>
      </c>
      <c r="R446" s="14" t="str">
        <f t="shared" si="41"/>
        <v/>
      </c>
      <c r="S446" s="9"/>
    </row>
    <row r="447" spans="1:19" ht="14.25" customHeight="1">
      <c r="A447" s="9"/>
      <c r="B447" s="9"/>
      <c r="C447" s="9"/>
      <c r="D447" s="9"/>
      <c r="E447" s="9"/>
      <c r="F447" s="13"/>
      <c r="G447" s="9"/>
      <c r="H447" s="9"/>
      <c r="I447" s="9"/>
      <c r="J447" s="9"/>
      <c r="K447" s="14" t="str">
        <f t="shared" si="36"/>
        <v/>
      </c>
      <c r="L447" s="14" t="str">
        <f t="shared" si="37"/>
        <v/>
      </c>
      <c r="M447" s="9"/>
      <c r="N447" s="9"/>
      <c r="O447" s="14" t="str">
        <f t="shared" si="38"/>
        <v/>
      </c>
      <c r="P447" s="14" t="str">
        <f t="shared" si="39"/>
        <v/>
      </c>
      <c r="Q447" s="14" t="str">
        <f t="shared" si="40"/>
        <v/>
      </c>
      <c r="R447" s="14" t="str">
        <f t="shared" si="41"/>
        <v/>
      </c>
      <c r="S447" s="9"/>
    </row>
    <row r="448" spans="1:19" ht="14.25" customHeight="1">
      <c r="A448" s="9"/>
      <c r="B448" s="9"/>
      <c r="C448" s="9"/>
      <c r="D448" s="9"/>
      <c r="E448" s="9"/>
      <c r="F448" s="13"/>
      <c r="G448" s="9"/>
      <c r="H448" s="9"/>
      <c r="I448" s="9"/>
      <c r="J448" s="9"/>
      <c r="K448" s="14" t="str">
        <f t="shared" si="36"/>
        <v/>
      </c>
      <c r="L448" s="14" t="str">
        <f t="shared" si="37"/>
        <v/>
      </c>
      <c r="M448" s="9"/>
      <c r="N448" s="9"/>
      <c r="O448" s="14" t="str">
        <f t="shared" si="38"/>
        <v/>
      </c>
      <c r="P448" s="14" t="str">
        <f t="shared" si="39"/>
        <v/>
      </c>
      <c r="Q448" s="14" t="str">
        <f t="shared" si="40"/>
        <v/>
      </c>
      <c r="R448" s="14" t="str">
        <f t="shared" si="41"/>
        <v/>
      </c>
      <c r="S448" s="9"/>
    </row>
    <row r="449" spans="1:19" ht="14.25" customHeight="1">
      <c r="A449" s="9"/>
      <c r="B449" s="9"/>
      <c r="C449" s="9"/>
      <c r="D449" s="9"/>
      <c r="E449" s="9"/>
      <c r="F449" s="13"/>
      <c r="G449" s="9"/>
      <c r="H449" s="9"/>
      <c r="I449" s="9"/>
      <c r="J449" s="9"/>
      <c r="K449" s="14" t="str">
        <f t="shared" si="36"/>
        <v/>
      </c>
      <c r="L449" s="14" t="str">
        <f t="shared" si="37"/>
        <v/>
      </c>
      <c r="M449" s="9"/>
      <c r="N449" s="9"/>
      <c r="O449" s="14" t="str">
        <f t="shared" si="38"/>
        <v/>
      </c>
      <c r="P449" s="14" t="str">
        <f t="shared" si="39"/>
        <v/>
      </c>
      <c r="Q449" s="14" t="str">
        <f t="shared" si="40"/>
        <v/>
      </c>
      <c r="R449" s="14" t="str">
        <f t="shared" si="41"/>
        <v/>
      </c>
      <c r="S449" s="9"/>
    </row>
    <row r="450" spans="1:19" ht="14.25" customHeight="1">
      <c r="A450" s="9"/>
      <c r="B450" s="9"/>
      <c r="C450" s="9"/>
      <c r="D450" s="9"/>
      <c r="E450" s="9"/>
      <c r="F450" s="13"/>
      <c r="G450" s="9"/>
      <c r="H450" s="9"/>
      <c r="I450" s="9"/>
      <c r="J450" s="9"/>
      <c r="K450" s="14" t="str">
        <f t="shared" si="36"/>
        <v/>
      </c>
      <c r="L450" s="14" t="str">
        <f t="shared" si="37"/>
        <v/>
      </c>
      <c r="M450" s="9"/>
      <c r="N450" s="9"/>
      <c r="O450" s="14" t="str">
        <f t="shared" si="38"/>
        <v/>
      </c>
      <c r="P450" s="14" t="str">
        <f t="shared" si="39"/>
        <v/>
      </c>
      <c r="Q450" s="14" t="str">
        <f t="shared" si="40"/>
        <v/>
      </c>
      <c r="R450" s="14" t="str">
        <f t="shared" si="41"/>
        <v/>
      </c>
      <c r="S450" s="9"/>
    </row>
    <row r="451" spans="1:19" ht="14.25" customHeight="1">
      <c r="A451" s="9"/>
      <c r="B451" s="9"/>
      <c r="C451" s="9"/>
      <c r="D451" s="9"/>
      <c r="E451" s="9"/>
      <c r="F451" s="13"/>
      <c r="G451" s="9"/>
      <c r="H451" s="9"/>
      <c r="I451" s="9"/>
      <c r="J451" s="9"/>
      <c r="K451" s="14" t="str">
        <f t="shared" si="36"/>
        <v/>
      </c>
      <c r="L451" s="14" t="str">
        <f t="shared" si="37"/>
        <v/>
      </c>
      <c r="M451" s="9"/>
      <c r="N451" s="9"/>
      <c r="O451" s="14" t="str">
        <f t="shared" si="38"/>
        <v/>
      </c>
      <c r="P451" s="14" t="str">
        <f t="shared" si="39"/>
        <v/>
      </c>
      <c r="Q451" s="14" t="str">
        <f t="shared" si="40"/>
        <v/>
      </c>
      <c r="R451" s="14" t="str">
        <f t="shared" si="41"/>
        <v/>
      </c>
      <c r="S451" s="9"/>
    </row>
    <row r="452" spans="1:19" ht="14.25" customHeight="1">
      <c r="A452" s="9"/>
      <c r="B452" s="9"/>
      <c r="C452" s="9"/>
      <c r="D452" s="9"/>
      <c r="E452" s="9"/>
      <c r="F452" s="13"/>
      <c r="G452" s="9"/>
      <c r="H452" s="9"/>
      <c r="I452" s="9"/>
      <c r="J452" s="9"/>
      <c r="K452" s="14" t="str">
        <f t="shared" si="36"/>
        <v/>
      </c>
      <c r="L452" s="14" t="str">
        <f t="shared" si="37"/>
        <v/>
      </c>
      <c r="M452" s="9"/>
      <c r="N452" s="9"/>
      <c r="O452" s="14" t="str">
        <f t="shared" si="38"/>
        <v/>
      </c>
      <c r="P452" s="14" t="str">
        <f t="shared" si="39"/>
        <v/>
      </c>
      <c r="Q452" s="14" t="str">
        <f t="shared" si="40"/>
        <v/>
      </c>
      <c r="R452" s="14" t="str">
        <f t="shared" si="41"/>
        <v/>
      </c>
      <c r="S452" s="9"/>
    </row>
    <row r="453" spans="1:19" ht="14.25" customHeight="1">
      <c r="A453" s="9"/>
      <c r="B453" s="9"/>
      <c r="C453" s="9"/>
      <c r="D453" s="9"/>
      <c r="E453" s="9"/>
      <c r="F453" s="13"/>
      <c r="G453" s="9"/>
      <c r="H453" s="9"/>
      <c r="I453" s="9"/>
      <c r="J453" s="9"/>
      <c r="K453" s="14" t="str">
        <f t="shared" si="36"/>
        <v/>
      </c>
      <c r="L453" s="14" t="str">
        <f t="shared" si="37"/>
        <v/>
      </c>
      <c r="M453" s="9"/>
      <c r="N453" s="9"/>
      <c r="O453" s="14" t="str">
        <f t="shared" si="38"/>
        <v/>
      </c>
      <c r="P453" s="14" t="str">
        <f t="shared" si="39"/>
        <v/>
      </c>
      <c r="Q453" s="14" t="str">
        <f t="shared" si="40"/>
        <v/>
      </c>
      <c r="R453" s="14" t="str">
        <f t="shared" si="41"/>
        <v/>
      </c>
      <c r="S453" s="9"/>
    </row>
    <row r="454" spans="1:19" ht="14.25" customHeight="1">
      <c r="A454" s="9"/>
      <c r="B454" s="9"/>
      <c r="C454" s="9"/>
      <c r="D454" s="9"/>
      <c r="E454" s="9"/>
      <c r="F454" s="13"/>
      <c r="G454" s="9"/>
      <c r="H454" s="9"/>
      <c r="I454" s="9"/>
      <c r="J454" s="9"/>
      <c r="K454" s="14" t="str">
        <f t="shared" ref="K454:K517" si="42">IF(OR(I454="",J454=""),"",I454&amp;"-"&amp;J454)</f>
        <v/>
      </c>
      <c r="L454" s="14" t="str">
        <f t="shared" ref="L454:L505" si="43">IF(OR(I454="",J454=""),"",IF(I454&gt;J454,"Gana",IF(I454=J454,"Empata","Pierde")))</f>
        <v/>
      </c>
      <c r="M454" s="9"/>
      <c r="N454" s="9"/>
      <c r="O454" s="14" t="str">
        <f t="shared" ref="O454:O505" si="44">IF(OR(I454="",J454=""),"",I454+J454)</f>
        <v/>
      </c>
      <c r="P454" s="14" t="str">
        <f t="shared" ref="P454:P505" si="45">IF(OR(I454="",J454=""),"",I454-J454)</f>
        <v/>
      </c>
      <c r="Q454" s="14" t="str">
        <f t="shared" ref="Q454:Q505" si="46">IF(L454="","",IF(L454="Gana",3,IF(L454="Empata",1,0)))</f>
        <v/>
      </c>
      <c r="R454" s="14" t="str">
        <f t="shared" ref="R454:R505" si="47">IF(L454="","",IF(L454="Pierde",3,IF(L454="Empata",1,0)))</f>
        <v/>
      </c>
      <c r="S454" s="9"/>
    </row>
    <row r="455" spans="1:19" ht="14.25" customHeight="1">
      <c r="A455" s="9"/>
      <c r="B455" s="9"/>
      <c r="C455" s="9"/>
      <c r="D455" s="9"/>
      <c r="E455" s="9"/>
      <c r="F455" s="13"/>
      <c r="G455" s="9"/>
      <c r="H455" s="9"/>
      <c r="I455" s="9"/>
      <c r="J455" s="9"/>
      <c r="K455" s="14" t="str">
        <f t="shared" si="42"/>
        <v/>
      </c>
      <c r="L455" s="14" t="str">
        <f t="shared" si="43"/>
        <v/>
      </c>
      <c r="M455" s="9"/>
      <c r="N455" s="9"/>
      <c r="O455" s="14" t="str">
        <f t="shared" si="44"/>
        <v/>
      </c>
      <c r="P455" s="14" t="str">
        <f t="shared" si="45"/>
        <v/>
      </c>
      <c r="Q455" s="14" t="str">
        <f t="shared" si="46"/>
        <v/>
      </c>
      <c r="R455" s="14" t="str">
        <f t="shared" si="47"/>
        <v/>
      </c>
      <c r="S455" s="9"/>
    </row>
    <row r="456" spans="1:19" ht="14.25" customHeight="1">
      <c r="A456" s="9"/>
      <c r="B456" s="9"/>
      <c r="C456" s="9"/>
      <c r="D456" s="9"/>
      <c r="E456" s="9"/>
      <c r="F456" s="13"/>
      <c r="G456" s="9"/>
      <c r="H456" s="9"/>
      <c r="I456" s="9"/>
      <c r="J456" s="9"/>
      <c r="K456" s="14" t="str">
        <f t="shared" si="42"/>
        <v/>
      </c>
      <c r="L456" s="14" t="str">
        <f t="shared" si="43"/>
        <v/>
      </c>
      <c r="M456" s="9"/>
      <c r="N456" s="9"/>
      <c r="O456" s="14" t="str">
        <f t="shared" si="44"/>
        <v/>
      </c>
      <c r="P456" s="14" t="str">
        <f t="shared" si="45"/>
        <v/>
      </c>
      <c r="Q456" s="14" t="str">
        <f t="shared" si="46"/>
        <v/>
      </c>
      <c r="R456" s="14" t="str">
        <f t="shared" si="47"/>
        <v/>
      </c>
      <c r="S456" s="9"/>
    </row>
    <row r="457" spans="1:19" ht="14.25" customHeight="1">
      <c r="A457" s="9"/>
      <c r="B457" s="9"/>
      <c r="C457" s="9"/>
      <c r="D457" s="9"/>
      <c r="E457" s="9"/>
      <c r="F457" s="13"/>
      <c r="G457" s="9"/>
      <c r="H457" s="9"/>
      <c r="I457" s="9"/>
      <c r="J457" s="9"/>
      <c r="K457" s="14" t="str">
        <f t="shared" si="42"/>
        <v/>
      </c>
      <c r="L457" s="14" t="str">
        <f t="shared" si="43"/>
        <v/>
      </c>
      <c r="M457" s="9"/>
      <c r="N457" s="9"/>
      <c r="O457" s="14" t="str">
        <f t="shared" si="44"/>
        <v/>
      </c>
      <c r="P457" s="14" t="str">
        <f t="shared" si="45"/>
        <v/>
      </c>
      <c r="Q457" s="14" t="str">
        <f t="shared" si="46"/>
        <v/>
      </c>
      <c r="R457" s="14" t="str">
        <f t="shared" si="47"/>
        <v/>
      </c>
      <c r="S457" s="9"/>
    </row>
    <row r="458" spans="1:19" ht="14.25" customHeight="1">
      <c r="A458" s="9"/>
      <c r="B458" s="9"/>
      <c r="C458" s="9"/>
      <c r="D458" s="9"/>
      <c r="E458" s="9"/>
      <c r="F458" s="13"/>
      <c r="G458" s="9"/>
      <c r="H458" s="9"/>
      <c r="I458" s="9"/>
      <c r="J458" s="9"/>
      <c r="K458" s="14" t="str">
        <f t="shared" si="42"/>
        <v/>
      </c>
      <c r="L458" s="14" t="str">
        <f t="shared" si="43"/>
        <v/>
      </c>
      <c r="M458" s="9"/>
      <c r="N458" s="9"/>
      <c r="O458" s="14" t="str">
        <f t="shared" si="44"/>
        <v/>
      </c>
      <c r="P458" s="14" t="str">
        <f t="shared" si="45"/>
        <v/>
      </c>
      <c r="Q458" s="14" t="str">
        <f t="shared" si="46"/>
        <v/>
      </c>
      <c r="R458" s="14" t="str">
        <f t="shared" si="47"/>
        <v/>
      </c>
      <c r="S458" s="9"/>
    </row>
    <row r="459" spans="1:19" ht="14.25" customHeight="1">
      <c r="A459" s="9"/>
      <c r="B459" s="9"/>
      <c r="C459" s="9"/>
      <c r="D459" s="9"/>
      <c r="E459" s="9"/>
      <c r="F459" s="13"/>
      <c r="G459" s="9"/>
      <c r="H459" s="9"/>
      <c r="I459" s="9"/>
      <c r="J459" s="9"/>
      <c r="K459" s="14" t="str">
        <f t="shared" si="42"/>
        <v/>
      </c>
      <c r="L459" s="14" t="str">
        <f t="shared" si="43"/>
        <v/>
      </c>
      <c r="M459" s="9"/>
      <c r="N459" s="9"/>
      <c r="O459" s="14" t="str">
        <f t="shared" si="44"/>
        <v/>
      </c>
      <c r="P459" s="14" t="str">
        <f t="shared" si="45"/>
        <v/>
      </c>
      <c r="Q459" s="14" t="str">
        <f t="shared" si="46"/>
        <v/>
      </c>
      <c r="R459" s="14" t="str">
        <f t="shared" si="47"/>
        <v/>
      </c>
      <c r="S459" s="9"/>
    </row>
    <row r="460" spans="1:19" ht="14.25" customHeight="1">
      <c r="A460" s="9"/>
      <c r="B460" s="9"/>
      <c r="C460" s="9"/>
      <c r="D460" s="9"/>
      <c r="E460" s="9"/>
      <c r="F460" s="13"/>
      <c r="G460" s="9"/>
      <c r="H460" s="9"/>
      <c r="I460" s="9"/>
      <c r="J460" s="9"/>
      <c r="K460" s="14" t="str">
        <f t="shared" si="42"/>
        <v/>
      </c>
      <c r="L460" s="14" t="str">
        <f t="shared" si="43"/>
        <v/>
      </c>
      <c r="M460" s="9"/>
      <c r="N460" s="9"/>
      <c r="O460" s="14" t="str">
        <f t="shared" si="44"/>
        <v/>
      </c>
      <c r="P460" s="14" t="str">
        <f t="shared" si="45"/>
        <v/>
      </c>
      <c r="Q460" s="14" t="str">
        <f t="shared" si="46"/>
        <v/>
      </c>
      <c r="R460" s="14" t="str">
        <f t="shared" si="47"/>
        <v/>
      </c>
      <c r="S460" s="9"/>
    </row>
    <row r="461" spans="1:19" ht="14.25" customHeight="1">
      <c r="A461" s="9"/>
      <c r="B461" s="9"/>
      <c r="C461" s="9"/>
      <c r="D461" s="9"/>
      <c r="E461" s="9"/>
      <c r="F461" s="13"/>
      <c r="G461" s="9"/>
      <c r="H461" s="9"/>
      <c r="I461" s="9"/>
      <c r="J461" s="9"/>
      <c r="K461" s="14" t="str">
        <f t="shared" si="42"/>
        <v/>
      </c>
      <c r="L461" s="14" t="str">
        <f t="shared" si="43"/>
        <v/>
      </c>
      <c r="M461" s="9"/>
      <c r="N461" s="9"/>
      <c r="O461" s="14" t="str">
        <f t="shared" si="44"/>
        <v/>
      </c>
      <c r="P461" s="14" t="str">
        <f t="shared" si="45"/>
        <v/>
      </c>
      <c r="Q461" s="14" t="str">
        <f t="shared" si="46"/>
        <v/>
      </c>
      <c r="R461" s="14" t="str">
        <f t="shared" si="47"/>
        <v/>
      </c>
      <c r="S461" s="9"/>
    </row>
    <row r="462" spans="1:19" ht="14.25" customHeight="1">
      <c r="A462" s="9"/>
      <c r="B462" s="9"/>
      <c r="C462" s="9"/>
      <c r="D462" s="9"/>
      <c r="E462" s="9"/>
      <c r="F462" s="13"/>
      <c r="G462" s="9"/>
      <c r="H462" s="9"/>
      <c r="I462" s="9"/>
      <c r="J462" s="9"/>
      <c r="K462" s="14" t="str">
        <f t="shared" si="42"/>
        <v/>
      </c>
      <c r="L462" s="14" t="str">
        <f t="shared" si="43"/>
        <v/>
      </c>
      <c r="M462" s="9"/>
      <c r="N462" s="9"/>
      <c r="O462" s="14" t="str">
        <f t="shared" si="44"/>
        <v/>
      </c>
      <c r="P462" s="14" t="str">
        <f t="shared" si="45"/>
        <v/>
      </c>
      <c r="Q462" s="14" t="str">
        <f t="shared" si="46"/>
        <v/>
      </c>
      <c r="R462" s="14" t="str">
        <f t="shared" si="47"/>
        <v/>
      </c>
      <c r="S462" s="9"/>
    </row>
    <row r="463" spans="1:19" ht="14.25" customHeight="1">
      <c r="A463" s="9"/>
      <c r="B463" s="9"/>
      <c r="C463" s="9"/>
      <c r="D463" s="9"/>
      <c r="E463" s="9"/>
      <c r="F463" s="13"/>
      <c r="G463" s="9"/>
      <c r="H463" s="9"/>
      <c r="I463" s="9"/>
      <c r="J463" s="9"/>
      <c r="K463" s="14" t="str">
        <f t="shared" si="42"/>
        <v/>
      </c>
      <c r="L463" s="14" t="str">
        <f t="shared" si="43"/>
        <v/>
      </c>
      <c r="M463" s="9"/>
      <c r="N463" s="9"/>
      <c r="O463" s="14" t="str">
        <f t="shared" si="44"/>
        <v/>
      </c>
      <c r="P463" s="14" t="str">
        <f t="shared" si="45"/>
        <v/>
      </c>
      <c r="Q463" s="14" t="str">
        <f t="shared" si="46"/>
        <v/>
      </c>
      <c r="R463" s="14" t="str">
        <f t="shared" si="47"/>
        <v/>
      </c>
      <c r="S463" s="9"/>
    </row>
    <row r="464" spans="1:19" ht="14.25" customHeight="1">
      <c r="A464" s="9"/>
      <c r="B464" s="9"/>
      <c r="C464" s="9"/>
      <c r="D464" s="9"/>
      <c r="E464" s="9"/>
      <c r="F464" s="13"/>
      <c r="G464" s="9"/>
      <c r="H464" s="9"/>
      <c r="I464" s="9"/>
      <c r="J464" s="9"/>
      <c r="K464" s="14" t="str">
        <f t="shared" si="42"/>
        <v/>
      </c>
      <c r="L464" s="14" t="str">
        <f t="shared" si="43"/>
        <v/>
      </c>
      <c r="M464" s="9"/>
      <c r="N464" s="9"/>
      <c r="O464" s="14" t="str">
        <f t="shared" si="44"/>
        <v/>
      </c>
      <c r="P464" s="14" t="str">
        <f t="shared" si="45"/>
        <v/>
      </c>
      <c r="Q464" s="14" t="str">
        <f t="shared" si="46"/>
        <v/>
      </c>
      <c r="R464" s="14" t="str">
        <f t="shared" si="47"/>
        <v/>
      </c>
      <c r="S464" s="9"/>
    </row>
    <row r="465" spans="1:19" ht="14.25" customHeight="1">
      <c r="A465" s="9"/>
      <c r="B465" s="9"/>
      <c r="C465" s="9"/>
      <c r="D465" s="9"/>
      <c r="E465" s="9"/>
      <c r="F465" s="13"/>
      <c r="G465" s="9"/>
      <c r="H465" s="9"/>
      <c r="I465" s="9"/>
      <c r="J465" s="9"/>
      <c r="K465" s="14" t="str">
        <f t="shared" si="42"/>
        <v/>
      </c>
      <c r="L465" s="14" t="str">
        <f t="shared" si="43"/>
        <v/>
      </c>
      <c r="M465" s="9"/>
      <c r="N465" s="9"/>
      <c r="O465" s="14" t="str">
        <f t="shared" si="44"/>
        <v/>
      </c>
      <c r="P465" s="14" t="str">
        <f t="shared" si="45"/>
        <v/>
      </c>
      <c r="Q465" s="14" t="str">
        <f t="shared" si="46"/>
        <v/>
      </c>
      <c r="R465" s="14" t="str">
        <f t="shared" si="47"/>
        <v/>
      </c>
      <c r="S465" s="9"/>
    </row>
    <row r="466" spans="1:19" ht="14.25" customHeight="1">
      <c r="A466" s="9"/>
      <c r="B466" s="9"/>
      <c r="C466" s="9"/>
      <c r="D466" s="9"/>
      <c r="E466" s="9"/>
      <c r="F466" s="13"/>
      <c r="G466" s="9"/>
      <c r="H466" s="9"/>
      <c r="I466" s="9"/>
      <c r="J466" s="9"/>
      <c r="K466" s="14" t="str">
        <f t="shared" si="42"/>
        <v/>
      </c>
      <c r="L466" s="14" t="str">
        <f t="shared" si="43"/>
        <v/>
      </c>
      <c r="M466" s="9"/>
      <c r="N466" s="9"/>
      <c r="O466" s="14" t="str">
        <f t="shared" si="44"/>
        <v/>
      </c>
      <c r="P466" s="14" t="str">
        <f t="shared" si="45"/>
        <v/>
      </c>
      <c r="Q466" s="14" t="str">
        <f t="shared" si="46"/>
        <v/>
      </c>
      <c r="R466" s="14" t="str">
        <f t="shared" si="47"/>
        <v/>
      </c>
      <c r="S466" s="9"/>
    </row>
    <row r="467" spans="1:19" ht="14.25" customHeight="1">
      <c r="A467" s="9"/>
      <c r="B467" s="9"/>
      <c r="C467" s="9"/>
      <c r="D467" s="9"/>
      <c r="E467" s="9"/>
      <c r="F467" s="13"/>
      <c r="G467" s="9"/>
      <c r="H467" s="9"/>
      <c r="I467" s="9"/>
      <c r="J467" s="9"/>
      <c r="K467" s="14" t="str">
        <f t="shared" si="42"/>
        <v/>
      </c>
      <c r="L467" s="14" t="str">
        <f t="shared" si="43"/>
        <v/>
      </c>
      <c r="M467" s="9"/>
      <c r="N467" s="9"/>
      <c r="O467" s="14" t="str">
        <f t="shared" si="44"/>
        <v/>
      </c>
      <c r="P467" s="14" t="str">
        <f t="shared" si="45"/>
        <v/>
      </c>
      <c r="Q467" s="14" t="str">
        <f t="shared" si="46"/>
        <v/>
      </c>
      <c r="R467" s="14" t="str">
        <f t="shared" si="47"/>
        <v/>
      </c>
      <c r="S467" s="9"/>
    </row>
    <row r="468" spans="1:19" ht="14.25" customHeight="1">
      <c r="A468" s="9"/>
      <c r="B468" s="9"/>
      <c r="C468" s="9"/>
      <c r="D468" s="9"/>
      <c r="E468" s="9"/>
      <c r="F468" s="13"/>
      <c r="G468" s="9"/>
      <c r="H468" s="9"/>
      <c r="I468" s="9"/>
      <c r="J468" s="9"/>
      <c r="K468" s="14" t="str">
        <f t="shared" si="42"/>
        <v/>
      </c>
      <c r="L468" s="14" t="str">
        <f t="shared" si="43"/>
        <v/>
      </c>
      <c r="M468" s="9"/>
      <c r="N468" s="9"/>
      <c r="O468" s="14" t="str">
        <f t="shared" si="44"/>
        <v/>
      </c>
      <c r="P468" s="14" t="str">
        <f t="shared" si="45"/>
        <v/>
      </c>
      <c r="Q468" s="14" t="str">
        <f t="shared" si="46"/>
        <v/>
      </c>
      <c r="R468" s="14" t="str">
        <f t="shared" si="47"/>
        <v/>
      </c>
      <c r="S468" s="9"/>
    </row>
    <row r="469" spans="1:19" ht="14.25" customHeight="1">
      <c r="A469" s="9"/>
      <c r="B469" s="9"/>
      <c r="C469" s="9"/>
      <c r="D469" s="9"/>
      <c r="E469" s="9"/>
      <c r="F469" s="13"/>
      <c r="G469" s="9"/>
      <c r="H469" s="9"/>
      <c r="I469" s="9"/>
      <c r="J469" s="9"/>
      <c r="K469" s="14" t="str">
        <f t="shared" si="42"/>
        <v/>
      </c>
      <c r="L469" s="14" t="str">
        <f t="shared" si="43"/>
        <v/>
      </c>
      <c r="M469" s="9"/>
      <c r="N469" s="9"/>
      <c r="O469" s="14" t="str">
        <f t="shared" si="44"/>
        <v/>
      </c>
      <c r="P469" s="14" t="str">
        <f t="shared" si="45"/>
        <v/>
      </c>
      <c r="Q469" s="14" t="str">
        <f t="shared" si="46"/>
        <v/>
      </c>
      <c r="R469" s="14" t="str">
        <f t="shared" si="47"/>
        <v/>
      </c>
      <c r="S469" s="9"/>
    </row>
    <row r="470" spans="1:19" ht="14.25" customHeight="1">
      <c r="A470" s="9"/>
      <c r="B470" s="9"/>
      <c r="C470" s="9"/>
      <c r="D470" s="9"/>
      <c r="E470" s="9"/>
      <c r="F470" s="13"/>
      <c r="G470" s="9"/>
      <c r="H470" s="9"/>
      <c r="I470" s="9"/>
      <c r="J470" s="9"/>
      <c r="K470" s="14" t="str">
        <f t="shared" si="42"/>
        <v/>
      </c>
      <c r="L470" s="14" t="str">
        <f t="shared" si="43"/>
        <v/>
      </c>
      <c r="M470" s="9"/>
      <c r="N470" s="9"/>
      <c r="O470" s="14" t="str">
        <f t="shared" si="44"/>
        <v/>
      </c>
      <c r="P470" s="14" t="str">
        <f t="shared" si="45"/>
        <v/>
      </c>
      <c r="Q470" s="14" t="str">
        <f t="shared" si="46"/>
        <v/>
      </c>
      <c r="R470" s="14" t="str">
        <f t="shared" si="47"/>
        <v/>
      </c>
      <c r="S470" s="9"/>
    </row>
    <row r="471" spans="1:19" ht="14.25" customHeight="1">
      <c r="A471" s="9"/>
      <c r="B471" s="9"/>
      <c r="C471" s="9"/>
      <c r="D471" s="9"/>
      <c r="E471" s="9"/>
      <c r="F471" s="13"/>
      <c r="G471" s="9"/>
      <c r="H471" s="9"/>
      <c r="I471" s="9"/>
      <c r="J471" s="9"/>
      <c r="K471" s="14" t="str">
        <f t="shared" si="42"/>
        <v/>
      </c>
      <c r="L471" s="14" t="str">
        <f t="shared" si="43"/>
        <v/>
      </c>
      <c r="M471" s="9"/>
      <c r="N471" s="9"/>
      <c r="O471" s="14" t="str">
        <f t="shared" si="44"/>
        <v/>
      </c>
      <c r="P471" s="14" t="str">
        <f t="shared" si="45"/>
        <v/>
      </c>
      <c r="Q471" s="14" t="str">
        <f t="shared" si="46"/>
        <v/>
      </c>
      <c r="R471" s="14" t="str">
        <f t="shared" si="47"/>
        <v/>
      </c>
      <c r="S471" s="9"/>
    </row>
    <row r="472" spans="1:19" ht="14.25" customHeight="1">
      <c r="A472" s="9"/>
      <c r="B472" s="9"/>
      <c r="C472" s="9"/>
      <c r="D472" s="9"/>
      <c r="E472" s="9"/>
      <c r="F472" s="13"/>
      <c r="G472" s="9"/>
      <c r="H472" s="9"/>
      <c r="I472" s="9"/>
      <c r="J472" s="9"/>
      <c r="K472" s="14" t="str">
        <f t="shared" si="42"/>
        <v/>
      </c>
      <c r="L472" s="14" t="str">
        <f t="shared" si="43"/>
        <v/>
      </c>
      <c r="M472" s="9"/>
      <c r="N472" s="9"/>
      <c r="O472" s="14" t="str">
        <f t="shared" si="44"/>
        <v/>
      </c>
      <c r="P472" s="14" t="str">
        <f t="shared" si="45"/>
        <v/>
      </c>
      <c r="Q472" s="14" t="str">
        <f t="shared" si="46"/>
        <v/>
      </c>
      <c r="R472" s="14" t="str">
        <f t="shared" si="47"/>
        <v/>
      </c>
      <c r="S472" s="9"/>
    </row>
    <row r="473" spans="1:19" ht="14.25" customHeight="1">
      <c r="A473" s="9"/>
      <c r="B473" s="9"/>
      <c r="C473" s="9"/>
      <c r="D473" s="9"/>
      <c r="E473" s="9"/>
      <c r="F473" s="13"/>
      <c r="G473" s="9"/>
      <c r="H473" s="9"/>
      <c r="I473" s="9"/>
      <c r="J473" s="9"/>
      <c r="K473" s="14" t="str">
        <f t="shared" si="42"/>
        <v/>
      </c>
      <c r="L473" s="14" t="str">
        <f t="shared" si="43"/>
        <v/>
      </c>
      <c r="M473" s="9"/>
      <c r="N473" s="9"/>
      <c r="O473" s="14" t="str">
        <f t="shared" si="44"/>
        <v/>
      </c>
      <c r="P473" s="14" t="str">
        <f t="shared" si="45"/>
        <v/>
      </c>
      <c r="Q473" s="14" t="str">
        <f t="shared" si="46"/>
        <v/>
      </c>
      <c r="R473" s="14" t="str">
        <f t="shared" si="47"/>
        <v/>
      </c>
      <c r="S473" s="9"/>
    </row>
    <row r="474" spans="1:19" ht="14.25" customHeight="1">
      <c r="A474" s="9"/>
      <c r="B474" s="9"/>
      <c r="C474" s="9"/>
      <c r="D474" s="9"/>
      <c r="E474" s="9"/>
      <c r="F474" s="13"/>
      <c r="G474" s="9"/>
      <c r="H474" s="9"/>
      <c r="I474" s="9"/>
      <c r="J474" s="9"/>
      <c r="K474" s="14" t="str">
        <f t="shared" si="42"/>
        <v/>
      </c>
      <c r="L474" s="14" t="str">
        <f t="shared" si="43"/>
        <v/>
      </c>
      <c r="M474" s="9"/>
      <c r="N474" s="9"/>
      <c r="O474" s="14" t="str">
        <f t="shared" si="44"/>
        <v/>
      </c>
      <c r="P474" s="14" t="str">
        <f t="shared" si="45"/>
        <v/>
      </c>
      <c r="Q474" s="14" t="str">
        <f t="shared" si="46"/>
        <v/>
      </c>
      <c r="R474" s="14" t="str">
        <f t="shared" si="47"/>
        <v/>
      </c>
      <c r="S474" s="9"/>
    </row>
    <row r="475" spans="1:19" ht="14.25" customHeight="1">
      <c r="A475" s="9"/>
      <c r="B475" s="9"/>
      <c r="C475" s="9"/>
      <c r="D475" s="9"/>
      <c r="E475" s="9"/>
      <c r="F475" s="13"/>
      <c r="G475" s="9"/>
      <c r="H475" s="9"/>
      <c r="I475" s="9"/>
      <c r="J475" s="9"/>
      <c r="K475" s="14" t="str">
        <f t="shared" si="42"/>
        <v/>
      </c>
      <c r="L475" s="14" t="str">
        <f t="shared" si="43"/>
        <v/>
      </c>
      <c r="M475" s="9"/>
      <c r="N475" s="9"/>
      <c r="O475" s="14" t="str">
        <f t="shared" si="44"/>
        <v/>
      </c>
      <c r="P475" s="14" t="str">
        <f t="shared" si="45"/>
        <v/>
      </c>
      <c r="Q475" s="14" t="str">
        <f t="shared" si="46"/>
        <v/>
      </c>
      <c r="R475" s="14" t="str">
        <f t="shared" si="47"/>
        <v/>
      </c>
      <c r="S475" s="9"/>
    </row>
    <row r="476" spans="1:19" ht="14.25" customHeight="1">
      <c r="A476" s="9"/>
      <c r="B476" s="9"/>
      <c r="C476" s="9"/>
      <c r="D476" s="9"/>
      <c r="E476" s="9"/>
      <c r="F476" s="13"/>
      <c r="G476" s="9"/>
      <c r="H476" s="9"/>
      <c r="I476" s="9"/>
      <c r="J476" s="9"/>
      <c r="K476" s="14" t="str">
        <f t="shared" si="42"/>
        <v/>
      </c>
      <c r="L476" s="14" t="str">
        <f t="shared" si="43"/>
        <v/>
      </c>
      <c r="M476" s="9"/>
      <c r="N476" s="9"/>
      <c r="O476" s="14" t="str">
        <f t="shared" si="44"/>
        <v/>
      </c>
      <c r="P476" s="14" t="str">
        <f t="shared" si="45"/>
        <v/>
      </c>
      <c r="Q476" s="14" t="str">
        <f t="shared" si="46"/>
        <v/>
      </c>
      <c r="R476" s="14" t="str">
        <f t="shared" si="47"/>
        <v/>
      </c>
      <c r="S476" s="9"/>
    </row>
    <row r="477" spans="1:19" ht="14.25" customHeight="1">
      <c r="A477" s="9"/>
      <c r="B477" s="9"/>
      <c r="C477" s="9"/>
      <c r="D477" s="9"/>
      <c r="E477" s="9"/>
      <c r="F477" s="13"/>
      <c r="G477" s="9"/>
      <c r="H477" s="9"/>
      <c r="I477" s="9"/>
      <c r="J477" s="9"/>
      <c r="K477" s="14" t="str">
        <f t="shared" si="42"/>
        <v/>
      </c>
      <c r="L477" s="14" t="str">
        <f t="shared" si="43"/>
        <v/>
      </c>
      <c r="M477" s="9"/>
      <c r="N477" s="9"/>
      <c r="O477" s="14" t="str">
        <f t="shared" si="44"/>
        <v/>
      </c>
      <c r="P477" s="14" t="str">
        <f t="shared" si="45"/>
        <v/>
      </c>
      <c r="Q477" s="14" t="str">
        <f t="shared" si="46"/>
        <v/>
      </c>
      <c r="R477" s="14" t="str">
        <f t="shared" si="47"/>
        <v/>
      </c>
      <c r="S477" s="9"/>
    </row>
    <row r="478" spans="1:19" ht="14.25" customHeight="1">
      <c r="A478" s="9"/>
      <c r="B478" s="9"/>
      <c r="C478" s="9"/>
      <c r="D478" s="9"/>
      <c r="E478" s="9"/>
      <c r="F478" s="13"/>
      <c r="G478" s="9"/>
      <c r="H478" s="9"/>
      <c r="I478" s="9"/>
      <c r="J478" s="9"/>
      <c r="K478" s="14" t="str">
        <f t="shared" si="42"/>
        <v/>
      </c>
      <c r="L478" s="14" t="str">
        <f t="shared" si="43"/>
        <v/>
      </c>
      <c r="M478" s="9"/>
      <c r="N478" s="9"/>
      <c r="O478" s="14" t="str">
        <f t="shared" si="44"/>
        <v/>
      </c>
      <c r="P478" s="14" t="str">
        <f t="shared" si="45"/>
        <v/>
      </c>
      <c r="Q478" s="14" t="str">
        <f t="shared" si="46"/>
        <v/>
      </c>
      <c r="R478" s="14" t="str">
        <f t="shared" si="47"/>
        <v/>
      </c>
      <c r="S478" s="9"/>
    </row>
    <row r="479" spans="1:19" ht="14.25" customHeight="1">
      <c r="A479" s="9"/>
      <c r="B479" s="9"/>
      <c r="C479" s="9"/>
      <c r="D479" s="9"/>
      <c r="E479" s="9"/>
      <c r="F479" s="13"/>
      <c r="G479" s="9"/>
      <c r="H479" s="9"/>
      <c r="I479" s="9"/>
      <c r="J479" s="9"/>
      <c r="K479" s="14" t="str">
        <f t="shared" si="42"/>
        <v/>
      </c>
      <c r="L479" s="14" t="str">
        <f t="shared" si="43"/>
        <v/>
      </c>
      <c r="M479" s="9"/>
      <c r="N479" s="9"/>
      <c r="O479" s="14" t="str">
        <f t="shared" si="44"/>
        <v/>
      </c>
      <c r="P479" s="14" t="str">
        <f t="shared" si="45"/>
        <v/>
      </c>
      <c r="Q479" s="14" t="str">
        <f t="shared" si="46"/>
        <v/>
      </c>
      <c r="R479" s="14" t="str">
        <f t="shared" si="47"/>
        <v/>
      </c>
      <c r="S479" s="9"/>
    </row>
    <row r="480" spans="1:19" ht="14.25" customHeight="1">
      <c r="A480" s="9"/>
      <c r="B480" s="9"/>
      <c r="C480" s="9"/>
      <c r="D480" s="9"/>
      <c r="E480" s="9"/>
      <c r="F480" s="13"/>
      <c r="G480" s="9"/>
      <c r="H480" s="9"/>
      <c r="I480" s="9"/>
      <c r="J480" s="9"/>
      <c r="K480" s="14" t="str">
        <f t="shared" si="42"/>
        <v/>
      </c>
      <c r="L480" s="14" t="str">
        <f t="shared" si="43"/>
        <v/>
      </c>
      <c r="M480" s="9"/>
      <c r="N480" s="9"/>
      <c r="O480" s="14" t="str">
        <f t="shared" si="44"/>
        <v/>
      </c>
      <c r="P480" s="14" t="str">
        <f t="shared" si="45"/>
        <v/>
      </c>
      <c r="Q480" s="14" t="str">
        <f t="shared" si="46"/>
        <v/>
      </c>
      <c r="R480" s="14" t="str">
        <f t="shared" si="47"/>
        <v/>
      </c>
      <c r="S480" s="9"/>
    </row>
    <row r="481" spans="1:19" ht="14.25" customHeight="1">
      <c r="A481" s="9"/>
      <c r="B481" s="9"/>
      <c r="C481" s="9"/>
      <c r="D481" s="9"/>
      <c r="E481" s="9"/>
      <c r="F481" s="13"/>
      <c r="G481" s="9"/>
      <c r="H481" s="9"/>
      <c r="I481" s="9"/>
      <c r="J481" s="9"/>
      <c r="K481" s="14" t="str">
        <f t="shared" si="42"/>
        <v/>
      </c>
      <c r="L481" s="14" t="str">
        <f t="shared" si="43"/>
        <v/>
      </c>
      <c r="M481" s="9"/>
      <c r="N481" s="9"/>
      <c r="O481" s="14" t="str">
        <f t="shared" si="44"/>
        <v/>
      </c>
      <c r="P481" s="14" t="str">
        <f t="shared" si="45"/>
        <v/>
      </c>
      <c r="Q481" s="14" t="str">
        <f t="shared" si="46"/>
        <v/>
      </c>
      <c r="R481" s="14" t="str">
        <f t="shared" si="47"/>
        <v/>
      </c>
      <c r="S481" s="9"/>
    </row>
    <row r="482" spans="1:19" ht="14.25" customHeight="1">
      <c r="A482" s="9"/>
      <c r="B482" s="9"/>
      <c r="C482" s="9"/>
      <c r="D482" s="9"/>
      <c r="E482" s="9"/>
      <c r="F482" s="13"/>
      <c r="G482" s="9"/>
      <c r="H482" s="9"/>
      <c r="I482" s="9"/>
      <c r="J482" s="9"/>
      <c r="K482" s="14" t="str">
        <f t="shared" si="42"/>
        <v/>
      </c>
      <c r="L482" s="14" t="str">
        <f t="shared" si="43"/>
        <v/>
      </c>
      <c r="M482" s="9"/>
      <c r="N482" s="9"/>
      <c r="O482" s="14" t="str">
        <f t="shared" si="44"/>
        <v/>
      </c>
      <c r="P482" s="14" t="str">
        <f t="shared" si="45"/>
        <v/>
      </c>
      <c r="Q482" s="14" t="str">
        <f t="shared" si="46"/>
        <v/>
      </c>
      <c r="R482" s="14" t="str">
        <f t="shared" si="47"/>
        <v/>
      </c>
      <c r="S482" s="9"/>
    </row>
    <row r="483" spans="1:19" ht="14.25" customHeight="1">
      <c r="A483" s="9"/>
      <c r="B483" s="9"/>
      <c r="C483" s="9"/>
      <c r="D483" s="9"/>
      <c r="E483" s="9"/>
      <c r="F483" s="13"/>
      <c r="G483" s="9"/>
      <c r="H483" s="9"/>
      <c r="I483" s="9"/>
      <c r="J483" s="9"/>
      <c r="K483" s="14" t="str">
        <f t="shared" si="42"/>
        <v/>
      </c>
      <c r="L483" s="14" t="str">
        <f t="shared" si="43"/>
        <v/>
      </c>
      <c r="M483" s="9"/>
      <c r="N483" s="9"/>
      <c r="O483" s="14" t="str">
        <f t="shared" si="44"/>
        <v/>
      </c>
      <c r="P483" s="14" t="str">
        <f t="shared" si="45"/>
        <v/>
      </c>
      <c r="Q483" s="14" t="str">
        <f t="shared" si="46"/>
        <v/>
      </c>
      <c r="R483" s="14" t="str">
        <f t="shared" si="47"/>
        <v/>
      </c>
      <c r="S483" s="9"/>
    </row>
    <row r="484" spans="1:19" ht="14.25" customHeight="1">
      <c r="A484" s="9"/>
      <c r="B484" s="9"/>
      <c r="C484" s="9"/>
      <c r="D484" s="9"/>
      <c r="E484" s="9"/>
      <c r="F484" s="13"/>
      <c r="G484" s="9"/>
      <c r="H484" s="9"/>
      <c r="I484" s="9"/>
      <c r="J484" s="9"/>
      <c r="K484" s="14" t="str">
        <f t="shared" si="42"/>
        <v/>
      </c>
      <c r="L484" s="14" t="str">
        <f t="shared" si="43"/>
        <v/>
      </c>
      <c r="M484" s="9"/>
      <c r="N484" s="9"/>
      <c r="O484" s="14" t="str">
        <f t="shared" si="44"/>
        <v/>
      </c>
      <c r="P484" s="14" t="str">
        <f t="shared" si="45"/>
        <v/>
      </c>
      <c r="Q484" s="14" t="str">
        <f t="shared" si="46"/>
        <v/>
      </c>
      <c r="R484" s="14" t="str">
        <f t="shared" si="47"/>
        <v/>
      </c>
      <c r="S484" s="9"/>
    </row>
    <row r="485" spans="1:19" ht="14.25" customHeight="1">
      <c r="A485" s="9"/>
      <c r="B485" s="9"/>
      <c r="C485" s="9"/>
      <c r="D485" s="9"/>
      <c r="E485" s="9"/>
      <c r="F485" s="13"/>
      <c r="G485" s="9"/>
      <c r="H485" s="9"/>
      <c r="I485" s="9"/>
      <c r="J485" s="9"/>
      <c r="K485" s="14" t="str">
        <f t="shared" si="42"/>
        <v/>
      </c>
      <c r="L485" s="14" t="str">
        <f t="shared" si="43"/>
        <v/>
      </c>
      <c r="M485" s="9"/>
      <c r="N485" s="9"/>
      <c r="O485" s="14" t="str">
        <f t="shared" si="44"/>
        <v/>
      </c>
      <c r="P485" s="14" t="str">
        <f t="shared" si="45"/>
        <v/>
      </c>
      <c r="Q485" s="14" t="str">
        <f t="shared" si="46"/>
        <v/>
      </c>
      <c r="R485" s="14" t="str">
        <f t="shared" si="47"/>
        <v/>
      </c>
      <c r="S485" s="9"/>
    </row>
    <row r="486" spans="1:19" ht="14.25" customHeight="1">
      <c r="A486" s="9"/>
      <c r="B486" s="9"/>
      <c r="C486" s="9"/>
      <c r="D486" s="9"/>
      <c r="E486" s="9"/>
      <c r="F486" s="13"/>
      <c r="G486" s="9"/>
      <c r="H486" s="9"/>
      <c r="I486" s="9"/>
      <c r="J486" s="9"/>
      <c r="K486" s="14" t="str">
        <f t="shared" si="42"/>
        <v/>
      </c>
      <c r="L486" s="14" t="str">
        <f t="shared" si="43"/>
        <v/>
      </c>
      <c r="M486" s="9"/>
      <c r="N486" s="9"/>
      <c r="O486" s="14" t="str">
        <f t="shared" si="44"/>
        <v/>
      </c>
      <c r="P486" s="14" t="str">
        <f t="shared" si="45"/>
        <v/>
      </c>
      <c r="Q486" s="14" t="str">
        <f t="shared" si="46"/>
        <v/>
      </c>
      <c r="R486" s="14" t="str">
        <f t="shared" si="47"/>
        <v/>
      </c>
      <c r="S486" s="9"/>
    </row>
    <row r="487" spans="1:19" ht="14.25" customHeight="1">
      <c r="A487" s="9"/>
      <c r="B487" s="9"/>
      <c r="C487" s="9"/>
      <c r="D487" s="9"/>
      <c r="E487" s="9"/>
      <c r="F487" s="13"/>
      <c r="G487" s="9"/>
      <c r="H487" s="9"/>
      <c r="I487" s="9"/>
      <c r="J487" s="9"/>
      <c r="K487" s="14" t="str">
        <f t="shared" si="42"/>
        <v/>
      </c>
      <c r="L487" s="14" t="str">
        <f t="shared" si="43"/>
        <v/>
      </c>
      <c r="M487" s="9"/>
      <c r="N487" s="9"/>
      <c r="O487" s="14" t="str">
        <f t="shared" si="44"/>
        <v/>
      </c>
      <c r="P487" s="14" t="str">
        <f t="shared" si="45"/>
        <v/>
      </c>
      <c r="Q487" s="14" t="str">
        <f t="shared" si="46"/>
        <v/>
      </c>
      <c r="R487" s="14" t="str">
        <f t="shared" si="47"/>
        <v/>
      </c>
      <c r="S487" s="9"/>
    </row>
    <row r="488" spans="1:19" ht="14.25" customHeight="1">
      <c r="A488" s="9"/>
      <c r="B488" s="9"/>
      <c r="C488" s="9"/>
      <c r="D488" s="9"/>
      <c r="E488" s="9"/>
      <c r="F488" s="13"/>
      <c r="G488" s="9"/>
      <c r="H488" s="9"/>
      <c r="I488" s="9"/>
      <c r="J488" s="9"/>
      <c r="K488" s="14" t="str">
        <f t="shared" si="42"/>
        <v/>
      </c>
      <c r="L488" s="14" t="str">
        <f t="shared" si="43"/>
        <v/>
      </c>
      <c r="M488" s="9"/>
      <c r="N488" s="9"/>
      <c r="O488" s="14" t="str">
        <f t="shared" si="44"/>
        <v/>
      </c>
      <c r="P488" s="14" t="str">
        <f t="shared" si="45"/>
        <v/>
      </c>
      <c r="Q488" s="14" t="str">
        <f t="shared" si="46"/>
        <v/>
      </c>
      <c r="R488" s="14" t="str">
        <f t="shared" si="47"/>
        <v/>
      </c>
      <c r="S488" s="9"/>
    </row>
    <row r="489" spans="1:19" ht="14.25" customHeight="1">
      <c r="A489" s="9"/>
      <c r="B489" s="9"/>
      <c r="C489" s="9"/>
      <c r="D489" s="9"/>
      <c r="E489" s="9"/>
      <c r="F489" s="13"/>
      <c r="G489" s="9"/>
      <c r="H489" s="9"/>
      <c r="I489" s="9"/>
      <c r="J489" s="9"/>
      <c r="K489" s="14" t="str">
        <f t="shared" si="42"/>
        <v/>
      </c>
      <c r="L489" s="14" t="str">
        <f t="shared" si="43"/>
        <v/>
      </c>
      <c r="M489" s="9"/>
      <c r="N489" s="9"/>
      <c r="O489" s="14" t="str">
        <f t="shared" si="44"/>
        <v/>
      </c>
      <c r="P489" s="14" t="str">
        <f t="shared" si="45"/>
        <v/>
      </c>
      <c r="Q489" s="14" t="str">
        <f t="shared" si="46"/>
        <v/>
      </c>
      <c r="R489" s="14" t="str">
        <f t="shared" si="47"/>
        <v/>
      </c>
      <c r="S489" s="9"/>
    </row>
    <row r="490" spans="1:19" ht="14.25" customHeight="1">
      <c r="A490" s="9"/>
      <c r="B490" s="9"/>
      <c r="C490" s="9"/>
      <c r="D490" s="9"/>
      <c r="E490" s="9"/>
      <c r="F490" s="13"/>
      <c r="G490" s="9"/>
      <c r="H490" s="9"/>
      <c r="I490" s="9"/>
      <c r="J490" s="9"/>
      <c r="K490" s="14" t="str">
        <f t="shared" si="42"/>
        <v/>
      </c>
      <c r="L490" s="14" t="str">
        <f t="shared" si="43"/>
        <v/>
      </c>
      <c r="M490" s="9"/>
      <c r="N490" s="9"/>
      <c r="O490" s="14" t="str">
        <f t="shared" si="44"/>
        <v/>
      </c>
      <c r="P490" s="14" t="str">
        <f t="shared" si="45"/>
        <v/>
      </c>
      <c r="Q490" s="14" t="str">
        <f t="shared" si="46"/>
        <v/>
      </c>
      <c r="R490" s="14" t="str">
        <f t="shared" si="47"/>
        <v/>
      </c>
      <c r="S490" s="9"/>
    </row>
    <row r="491" spans="1:19" ht="14.25" customHeight="1">
      <c r="A491" s="9"/>
      <c r="B491" s="9"/>
      <c r="C491" s="9"/>
      <c r="D491" s="9"/>
      <c r="E491" s="9"/>
      <c r="F491" s="13"/>
      <c r="G491" s="9"/>
      <c r="H491" s="9"/>
      <c r="I491" s="9"/>
      <c r="J491" s="9"/>
      <c r="K491" s="14" t="str">
        <f t="shared" si="42"/>
        <v/>
      </c>
      <c r="L491" s="14" t="str">
        <f t="shared" si="43"/>
        <v/>
      </c>
      <c r="M491" s="9"/>
      <c r="N491" s="9"/>
      <c r="O491" s="14" t="str">
        <f t="shared" si="44"/>
        <v/>
      </c>
      <c r="P491" s="14" t="str">
        <f t="shared" si="45"/>
        <v/>
      </c>
      <c r="Q491" s="14" t="str">
        <f t="shared" si="46"/>
        <v/>
      </c>
      <c r="R491" s="14" t="str">
        <f t="shared" si="47"/>
        <v/>
      </c>
      <c r="S491" s="9"/>
    </row>
    <row r="492" spans="1:19" ht="14.25" customHeight="1">
      <c r="A492" s="9"/>
      <c r="B492" s="9"/>
      <c r="C492" s="9"/>
      <c r="D492" s="9"/>
      <c r="E492" s="9"/>
      <c r="F492" s="13"/>
      <c r="G492" s="9"/>
      <c r="H492" s="9"/>
      <c r="I492" s="9"/>
      <c r="J492" s="9"/>
      <c r="K492" s="14" t="str">
        <f t="shared" si="42"/>
        <v/>
      </c>
      <c r="L492" s="14" t="str">
        <f t="shared" si="43"/>
        <v/>
      </c>
      <c r="M492" s="9"/>
      <c r="N492" s="9"/>
      <c r="O492" s="14" t="str">
        <f t="shared" si="44"/>
        <v/>
      </c>
      <c r="P492" s="14" t="str">
        <f t="shared" si="45"/>
        <v/>
      </c>
      <c r="Q492" s="14" t="str">
        <f t="shared" si="46"/>
        <v/>
      </c>
      <c r="R492" s="14" t="str">
        <f t="shared" si="47"/>
        <v/>
      </c>
      <c r="S492" s="9"/>
    </row>
    <row r="493" spans="1:19" ht="14.25" customHeight="1">
      <c r="A493" s="9"/>
      <c r="B493" s="9"/>
      <c r="C493" s="9"/>
      <c r="D493" s="9"/>
      <c r="E493" s="9"/>
      <c r="F493" s="13"/>
      <c r="G493" s="9"/>
      <c r="H493" s="9"/>
      <c r="I493" s="9"/>
      <c r="J493" s="9"/>
      <c r="K493" s="14" t="str">
        <f t="shared" si="42"/>
        <v/>
      </c>
      <c r="L493" s="14" t="str">
        <f t="shared" si="43"/>
        <v/>
      </c>
      <c r="M493" s="9"/>
      <c r="N493" s="9"/>
      <c r="O493" s="14" t="str">
        <f t="shared" si="44"/>
        <v/>
      </c>
      <c r="P493" s="14" t="str">
        <f t="shared" si="45"/>
        <v/>
      </c>
      <c r="Q493" s="14" t="str">
        <f t="shared" si="46"/>
        <v/>
      </c>
      <c r="R493" s="14" t="str">
        <f t="shared" si="47"/>
        <v/>
      </c>
      <c r="S493" s="9"/>
    </row>
    <row r="494" spans="1:19" ht="14.25" customHeight="1">
      <c r="A494" s="9"/>
      <c r="B494" s="9"/>
      <c r="C494" s="9"/>
      <c r="D494" s="9"/>
      <c r="E494" s="9"/>
      <c r="F494" s="13"/>
      <c r="G494" s="9"/>
      <c r="H494" s="9"/>
      <c r="I494" s="9"/>
      <c r="J494" s="9"/>
      <c r="K494" s="14" t="str">
        <f t="shared" si="42"/>
        <v/>
      </c>
      <c r="L494" s="14" t="str">
        <f t="shared" si="43"/>
        <v/>
      </c>
      <c r="M494" s="9"/>
      <c r="N494" s="9"/>
      <c r="O494" s="14" t="str">
        <f t="shared" si="44"/>
        <v/>
      </c>
      <c r="P494" s="14" t="str">
        <f t="shared" si="45"/>
        <v/>
      </c>
      <c r="Q494" s="14" t="str">
        <f t="shared" si="46"/>
        <v/>
      </c>
      <c r="R494" s="14" t="str">
        <f t="shared" si="47"/>
        <v/>
      </c>
      <c r="S494" s="9"/>
    </row>
    <row r="495" spans="1:19" ht="14.25" customHeight="1">
      <c r="A495" s="9"/>
      <c r="B495" s="9"/>
      <c r="C495" s="9"/>
      <c r="D495" s="9"/>
      <c r="E495" s="9"/>
      <c r="F495" s="13"/>
      <c r="G495" s="9"/>
      <c r="H495" s="9"/>
      <c r="I495" s="9"/>
      <c r="J495" s="9"/>
      <c r="K495" s="14" t="str">
        <f t="shared" si="42"/>
        <v/>
      </c>
      <c r="L495" s="14" t="str">
        <f t="shared" si="43"/>
        <v/>
      </c>
      <c r="M495" s="9"/>
      <c r="N495" s="9"/>
      <c r="O495" s="14" t="str">
        <f t="shared" si="44"/>
        <v/>
      </c>
      <c r="P495" s="14" t="str">
        <f t="shared" si="45"/>
        <v/>
      </c>
      <c r="Q495" s="14" t="str">
        <f t="shared" si="46"/>
        <v/>
      </c>
      <c r="R495" s="14" t="str">
        <f t="shared" si="47"/>
        <v/>
      </c>
      <c r="S495" s="9"/>
    </row>
    <row r="496" spans="1:19" ht="14.25" customHeight="1">
      <c r="A496" s="9"/>
      <c r="B496" s="9"/>
      <c r="C496" s="9"/>
      <c r="D496" s="9"/>
      <c r="E496" s="9"/>
      <c r="F496" s="13"/>
      <c r="G496" s="9"/>
      <c r="H496" s="9"/>
      <c r="I496" s="9"/>
      <c r="J496" s="9"/>
      <c r="K496" s="14" t="str">
        <f t="shared" si="42"/>
        <v/>
      </c>
      <c r="L496" s="14" t="str">
        <f t="shared" si="43"/>
        <v/>
      </c>
      <c r="M496" s="9"/>
      <c r="N496" s="9"/>
      <c r="O496" s="14" t="str">
        <f t="shared" si="44"/>
        <v/>
      </c>
      <c r="P496" s="14" t="str">
        <f t="shared" si="45"/>
        <v/>
      </c>
      <c r="Q496" s="14" t="str">
        <f t="shared" si="46"/>
        <v/>
      </c>
      <c r="R496" s="14" t="str">
        <f t="shared" si="47"/>
        <v/>
      </c>
      <c r="S496" s="9"/>
    </row>
    <row r="497" spans="1:19" ht="14.25" customHeight="1">
      <c r="A497" s="9"/>
      <c r="B497" s="9"/>
      <c r="C497" s="9"/>
      <c r="D497" s="9"/>
      <c r="E497" s="9"/>
      <c r="F497" s="13"/>
      <c r="G497" s="9"/>
      <c r="H497" s="9"/>
      <c r="I497" s="9"/>
      <c r="J497" s="9"/>
      <c r="K497" s="14" t="str">
        <f t="shared" si="42"/>
        <v/>
      </c>
      <c r="L497" s="14" t="str">
        <f t="shared" si="43"/>
        <v/>
      </c>
      <c r="M497" s="9"/>
      <c r="N497" s="9"/>
      <c r="O497" s="14" t="str">
        <f t="shared" si="44"/>
        <v/>
      </c>
      <c r="P497" s="14" t="str">
        <f t="shared" si="45"/>
        <v/>
      </c>
      <c r="Q497" s="14" t="str">
        <f t="shared" si="46"/>
        <v/>
      </c>
      <c r="R497" s="14" t="str">
        <f t="shared" si="47"/>
        <v/>
      </c>
      <c r="S497" s="9"/>
    </row>
    <row r="498" spans="1:19" ht="14.25" customHeight="1">
      <c r="A498" s="9"/>
      <c r="B498" s="9"/>
      <c r="C498" s="9"/>
      <c r="D498" s="9"/>
      <c r="E498" s="9"/>
      <c r="F498" s="13"/>
      <c r="G498" s="9"/>
      <c r="H498" s="9"/>
      <c r="I498" s="9"/>
      <c r="J498" s="9"/>
      <c r="K498" s="14" t="str">
        <f t="shared" si="42"/>
        <v/>
      </c>
      <c r="L498" s="14" t="str">
        <f t="shared" si="43"/>
        <v/>
      </c>
      <c r="M498" s="9"/>
      <c r="N498" s="9"/>
      <c r="O498" s="14" t="str">
        <f t="shared" si="44"/>
        <v/>
      </c>
      <c r="P498" s="14" t="str">
        <f t="shared" si="45"/>
        <v/>
      </c>
      <c r="Q498" s="14" t="str">
        <f t="shared" si="46"/>
        <v/>
      </c>
      <c r="R498" s="14" t="str">
        <f t="shared" si="47"/>
        <v/>
      </c>
      <c r="S498" s="9"/>
    </row>
    <row r="499" spans="1:19" ht="14.25" customHeight="1">
      <c r="A499" s="9"/>
      <c r="B499" s="9"/>
      <c r="C499" s="9"/>
      <c r="D499" s="9"/>
      <c r="E499" s="9"/>
      <c r="F499" s="13"/>
      <c r="G499" s="9"/>
      <c r="H499" s="9"/>
      <c r="I499" s="9"/>
      <c r="J499" s="9"/>
      <c r="K499" s="14" t="str">
        <f t="shared" si="42"/>
        <v/>
      </c>
      <c r="L499" s="14" t="str">
        <f t="shared" si="43"/>
        <v/>
      </c>
      <c r="M499" s="9"/>
      <c r="N499" s="9"/>
      <c r="O499" s="14" t="str">
        <f t="shared" si="44"/>
        <v/>
      </c>
      <c r="P499" s="14" t="str">
        <f t="shared" si="45"/>
        <v/>
      </c>
      <c r="Q499" s="14" t="str">
        <f t="shared" si="46"/>
        <v/>
      </c>
      <c r="R499" s="14" t="str">
        <f t="shared" si="47"/>
        <v/>
      </c>
      <c r="S499" s="9"/>
    </row>
    <row r="500" spans="1:19" ht="14.25" customHeight="1">
      <c r="A500" s="9"/>
      <c r="B500" s="9"/>
      <c r="C500" s="9"/>
      <c r="D500" s="9"/>
      <c r="E500" s="9"/>
      <c r="F500" s="13"/>
      <c r="G500" s="9"/>
      <c r="H500" s="9"/>
      <c r="I500" s="9"/>
      <c r="J500" s="9"/>
      <c r="K500" s="14" t="str">
        <f t="shared" si="42"/>
        <v/>
      </c>
      <c r="L500" s="14" t="str">
        <f t="shared" si="43"/>
        <v/>
      </c>
      <c r="M500" s="9"/>
      <c r="N500" s="9"/>
      <c r="O500" s="14" t="str">
        <f t="shared" si="44"/>
        <v/>
      </c>
      <c r="P500" s="14" t="str">
        <f t="shared" si="45"/>
        <v/>
      </c>
      <c r="Q500" s="14" t="str">
        <f t="shared" si="46"/>
        <v/>
      </c>
      <c r="R500" s="14" t="str">
        <f t="shared" si="47"/>
        <v/>
      </c>
      <c r="S500" s="9"/>
    </row>
    <row r="501" spans="1:19" ht="14.25" customHeight="1">
      <c r="A501" s="9"/>
      <c r="B501" s="9"/>
      <c r="C501" s="9"/>
      <c r="D501" s="9"/>
      <c r="E501" s="9"/>
      <c r="F501" s="13"/>
      <c r="G501" s="9"/>
      <c r="H501" s="9"/>
      <c r="I501" s="9"/>
      <c r="J501" s="9"/>
      <c r="K501" s="14" t="str">
        <f t="shared" si="42"/>
        <v/>
      </c>
      <c r="L501" s="14" t="str">
        <f t="shared" si="43"/>
        <v/>
      </c>
      <c r="M501" s="9"/>
      <c r="N501" s="9"/>
      <c r="O501" s="14" t="str">
        <f t="shared" si="44"/>
        <v/>
      </c>
      <c r="P501" s="14" t="str">
        <f t="shared" si="45"/>
        <v/>
      </c>
      <c r="Q501" s="14" t="str">
        <f t="shared" si="46"/>
        <v/>
      </c>
      <c r="R501" s="14" t="str">
        <f t="shared" si="47"/>
        <v/>
      </c>
      <c r="S501" s="9"/>
    </row>
    <row r="502" spans="1:19" ht="14.25" customHeight="1">
      <c r="A502" s="9"/>
      <c r="B502" s="9"/>
      <c r="C502" s="9"/>
      <c r="D502" s="9"/>
      <c r="E502" s="9"/>
      <c r="F502" s="13"/>
      <c r="G502" s="9"/>
      <c r="H502" s="9"/>
      <c r="I502" s="9"/>
      <c r="J502" s="9"/>
      <c r="K502" s="14" t="str">
        <f t="shared" si="42"/>
        <v/>
      </c>
      <c r="L502" s="14" t="str">
        <f t="shared" si="43"/>
        <v/>
      </c>
      <c r="M502" s="9"/>
      <c r="N502" s="9"/>
      <c r="O502" s="14" t="str">
        <f t="shared" si="44"/>
        <v/>
      </c>
      <c r="P502" s="14" t="str">
        <f t="shared" si="45"/>
        <v/>
      </c>
      <c r="Q502" s="14" t="str">
        <f t="shared" si="46"/>
        <v/>
      </c>
      <c r="R502" s="14" t="str">
        <f t="shared" si="47"/>
        <v/>
      </c>
      <c r="S502" s="9"/>
    </row>
    <row r="503" spans="1:19" ht="14.25" customHeight="1">
      <c r="A503" s="9"/>
      <c r="B503" s="9"/>
      <c r="C503" s="9"/>
      <c r="D503" s="9"/>
      <c r="E503" s="9"/>
      <c r="F503" s="13"/>
      <c r="G503" s="9"/>
      <c r="H503" s="9"/>
      <c r="I503" s="9"/>
      <c r="J503" s="9"/>
      <c r="K503" s="14" t="str">
        <f t="shared" si="42"/>
        <v/>
      </c>
      <c r="L503" s="14" t="str">
        <f t="shared" si="43"/>
        <v/>
      </c>
      <c r="M503" s="9"/>
      <c r="N503" s="9"/>
      <c r="O503" s="14" t="str">
        <f t="shared" si="44"/>
        <v/>
      </c>
      <c r="P503" s="14" t="str">
        <f t="shared" si="45"/>
        <v/>
      </c>
      <c r="Q503" s="14" t="str">
        <f t="shared" si="46"/>
        <v/>
      </c>
      <c r="R503" s="14" t="str">
        <f t="shared" si="47"/>
        <v/>
      </c>
      <c r="S503" s="9"/>
    </row>
    <row r="504" spans="1:19" ht="14.25" customHeight="1">
      <c r="A504" s="9"/>
      <c r="B504" s="9"/>
      <c r="C504" s="9"/>
      <c r="D504" s="9"/>
      <c r="E504" s="9"/>
      <c r="F504" s="13"/>
      <c r="G504" s="9"/>
      <c r="H504" s="9"/>
      <c r="I504" s="9"/>
      <c r="J504" s="9"/>
      <c r="K504" s="14" t="str">
        <f t="shared" si="42"/>
        <v/>
      </c>
      <c r="L504" s="14" t="str">
        <f t="shared" si="43"/>
        <v/>
      </c>
      <c r="M504" s="9"/>
      <c r="N504" s="9"/>
      <c r="O504" s="14" t="str">
        <f t="shared" si="44"/>
        <v/>
      </c>
      <c r="P504" s="14" t="str">
        <f t="shared" si="45"/>
        <v/>
      </c>
      <c r="Q504" s="14" t="str">
        <f t="shared" si="46"/>
        <v/>
      </c>
      <c r="R504" s="14" t="str">
        <f t="shared" si="47"/>
        <v/>
      </c>
      <c r="S504" s="9"/>
    </row>
    <row r="505" spans="1:19" ht="14.25" customHeight="1">
      <c r="A505" s="9"/>
      <c r="B505" s="9"/>
      <c r="C505" s="9"/>
      <c r="D505" s="9"/>
      <c r="E505" s="9"/>
      <c r="F505" s="13"/>
      <c r="G505" s="9"/>
      <c r="H505" s="9"/>
      <c r="I505" s="9"/>
      <c r="J505" s="9"/>
      <c r="K505" s="14" t="str">
        <f t="shared" si="42"/>
        <v/>
      </c>
      <c r="L505" s="14" t="str">
        <f t="shared" si="43"/>
        <v/>
      </c>
      <c r="M505" s="9"/>
      <c r="N505" s="9"/>
      <c r="O505" s="14" t="str">
        <f t="shared" si="44"/>
        <v/>
      </c>
      <c r="P505" s="14" t="str">
        <f t="shared" si="45"/>
        <v/>
      </c>
      <c r="Q505" s="14" t="str">
        <f t="shared" si="46"/>
        <v/>
      </c>
      <c r="R505" s="14" t="str">
        <f t="shared" si="47"/>
        <v/>
      </c>
      <c r="S505" s="9"/>
    </row>
  </sheetData>
  <mergeCells count="2">
    <mergeCell ref="A1:S1"/>
    <mergeCell ref="A2:S3"/>
  </mergeCells>
  <conditionalFormatting sqref="I6:J505">
    <cfRule type="cellIs" dxfId="4" priority="2" operator="lessThan">
      <formula>0</formula>
    </cfRule>
  </conditionalFormatting>
  <dataValidations count="3">
    <dataValidation type="list" sqref="B6:B505" xr:uid="{00000000-0002-0000-0700-000000000000}">
      <formula1>"2018,2022,2026"</formula1>
      <formula2>0</formula2>
    </dataValidation>
    <dataValidation type="list" sqref="D6:D505" xr:uid="{00000000-0002-0000-0700-000001000000}">
      <formula1>"A,B,C,D,E,F,G,H,I,J,K,L"</formula1>
      <formula2>0</formula2>
    </dataValidation>
    <dataValidation type="list" sqref="M6:N505" xr:uid="{00000000-0002-0000-0700-000002000000}">
      <formula1>"Sí,No"</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37"/>
  <sheetViews>
    <sheetView tabSelected="1" zoomScale="76" zoomScaleNormal="146" workbookViewId="0">
      <selection activeCell="A13" sqref="A13:D16"/>
    </sheetView>
  </sheetViews>
  <sheetFormatPr baseColWidth="10" defaultColWidth="9" defaultRowHeight="14.4"/>
  <cols>
    <col min="1" max="3" width="12" style="7" customWidth="1"/>
    <col min="4" max="4" width="17" style="7" customWidth="1"/>
    <col min="5" max="5" width="12" style="7" customWidth="1"/>
    <col min="6" max="6" width="14" style="7" customWidth="1"/>
    <col min="7" max="7" width="18" style="7" customWidth="1"/>
    <col min="8" max="9" width="20" style="7" customWidth="1"/>
    <col min="10" max="10" width="19" style="7" customWidth="1"/>
  </cols>
  <sheetData>
    <row r="1" spans="1:10" ht="30" customHeight="1">
      <c r="A1" s="6" t="s">
        <v>957</v>
      </c>
      <c r="B1" s="6"/>
      <c r="C1" s="6"/>
      <c r="D1" s="6"/>
      <c r="E1" s="6"/>
      <c r="F1" s="6"/>
      <c r="G1" s="6"/>
      <c r="H1" s="6"/>
      <c r="I1" s="6"/>
      <c r="J1" s="6"/>
    </row>
    <row r="2" spans="1:10" ht="21.75" customHeight="1">
      <c r="A2" s="5" t="s">
        <v>958</v>
      </c>
      <c r="B2" s="5"/>
      <c r="C2" s="5"/>
      <c r="D2" s="5"/>
      <c r="E2" s="5"/>
      <c r="F2" s="5"/>
      <c r="G2" s="5"/>
      <c r="H2" s="5"/>
      <c r="I2" s="5"/>
      <c r="J2" s="5"/>
    </row>
    <row r="3" spans="1:10" ht="21.75" customHeight="1">
      <c r="A3" s="5"/>
      <c r="B3" s="5"/>
      <c r="C3" s="5"/>
      <c r="D3" s="5"/>
      <c r="E3" s="5"/>
      <c r="F3" s="5"/>
      <c r="G3" s="5"/>
      <c r="H3" s="5"/>
      <c r="I3" s="5"/>
      <c r="J3" s="5"/>
    </row>
    <row r="5" spans="1:10" ht="15" customHeight="1">
      <c r="A5" s="8" t="s">
        <v>34</v>
      </c>
      <c r="B5" s="8" t="s">
        <v>35</v>
      </c>
      <c r="C5" s="8" t="s">
        <v>36</v>
      </c>
      <c r="D5" s="8" t="s">
        <v>37</v>
      </c>
      <c r="E5" s="8" t="s">
        <v>38</v>
      </c>
      <c r="F5" s="8" t="s">
        <v>959</v>
      </c>
      <c r="G5" s="8" t="s">
        <v>960</v>
      </c>
      <c r="H5" s="8" t="s">
        <v>961</v>
      </c>
      <c r="I5" s="8" t="s">
        <v>962</v>
      </c>
      <c r="J5" s="8" t="s">
        <v>963</v>
      </c>
    </row>
    <row r="6" spans="1:10" ht="14.25" customHeight="1">
      <c r="A6" s="9">
        <v>2018</v>
      </c>
      <c r="B6" s="9">
        <f>COUNTIF('07_Base_Limpia'!$B$6:$B$505,$A6)</f>
        <v>48</v>
      </c>
      <c r="C6" s="9">
        <f>SUMIF('07_Base_Limpia'!$B$6:$B$505,$A6,'07_Base_Limpia'!$O$6:$O$505)</f>
        <v>122</v>
      </c>
      <c r="D6" s="15">
        <f>IFERROR(C6/B6,0)</f>
        <v>2.5416666666666665</v>
      </c>
      <c r="E6" s="9">
        <f>COUNTIFS('07_Base_Limpia'!$B$6:$B$505,$A6,'07_Base_Limpia'!$L$6:$L$505,"Empata")</f>
        <v>9</v>
      </c>
      <c r="F6" s="16">
        <f>IFERROR(E6/B6,0)</f>
        <v>0.1875</v>
      </c>
      <c r="G6" s="9">
        <f>COUNTIFS('07_Base_Limpia'!$B$6:$B$505,$A6,'07_Base_Limpia'!$M$6:$M$505,TRUE())+COUNTIFS('07_Base_Limpia'!$B$6:$B$505,$A6,'07_Base_Limpia'!$N$6:$N$505,TRUE())</f>
        <v>3</v>
      </c>
      <c r="H6" s="9">
        <f>COUNTIFS('07_Base_Limpia'!$B$6:$B$505,$A6,'07_Base_Limpia'!$M$6:$M$505,TRUE(),'07_Base_Limpia'!$L$6:$L$505,"Gana")+COUNTIFS('07_Base_Limpia'!$B$6:$B$505,$A6,'07_Base_Limpia'!$N$6:$N$505,TRUE(),'07_Base_Limpia'!$L$6:$L$505,"Pierde")</f>
        <v>2</v>
      </c>
      <c r="I6" s="16">
        <f>IFERROR(H6/G6,0)</f>
        <v>0.66666666666666663</v>
      </c>
      <c r="J6" s="16">
        <f>IFERROR(COUNTIFS('07_Base_Limpia'!$B$6:$B$505,$A6,'07_Base_Limpia'!$O$6:$O$505,"&gt;2")/B6,0)</f>
        <v>0.5</v>
      </c>
    </row>
    <row r="7" spans="1:10" ht="14.25" customHeight="1">
      <c r="A7" s="9">
        <v>2022</v>
      </c>
      <c r="B7" s="9">
        <f>COUNTIF('07_Base_Limpia'!$B$6:$B$505,$A7)</f>
        <v>48</v>
      </c>
      <c r="C7" s="9">
        <f>SUMIF('07_Base_Limpia'!$B$6:$B$505,$A7,'07_Base_Limpia'!$O$6:$O$505)</f>
        <v>120</v>
      </c>
      <c r="D7" s="15">
        <f>IFERROR(C7/B7,0)</f>
        <v>2.5</v>
      </c>
      <c r="E7" s="9">
        <f>COUNTIFS('07_Base_Limpia'!$B$6:$B$505,$A7,'07_Base_Limpia'!$L$6:$L$505,"Empata")</f>
        <v>10</v>
      </c>
      <c r="F7" s="16">
        <f>IFERROR(E7/B7,0)</f>
        <v>0.20833333333333334</v>
      </c>
      <c r="G7" s="9">
        <f>COUNTIFS('07_Base_Limpia'!$B$6:$B$505,$A7,'07_Base_Limpia'!$M$6:$M$505,TRUE())+COUNTIFS('07_Base_Limpia'!$B$6:$B$505,$A7,'07_Base_Limpia'!$N$6:$N$505,TRUE())</f>
        <v>3</v>
      </c>
      <c r="H7" s="9">
        <f>COUNTIFS('07_Base_Limpia'!$B$6:$B$505,$A7,'07_Base_Limpia'!$M$6:$M$505,TRUE(),'07_Base_Limpia'!$L$6:$L$505,"Gana")+COUNTIFS('07_Base_Limpia'!$B$6:$B$505,$A7,'07_Base_Limpia'!$N$6:$N$505,TRUE(),'07_Base_Limpia'!$L$6:$L$505,"Pierde")</f>
        <v>0</v>
      </c>
      <c r="I7" s="16">
        <f>IFERROR(H7/G7,0)</f>
        <v>0</v>
      </c>
      <c r="J7" s="16">
        <f>IFERROR(COUNTIFS('07_Base_Limpia'!$B$6:$B$505,$A7,'07_Base_Limpia'!$O$6:$O$505,"&gt;2")/B7,0)</f>
        <v>0.39583333333333331</v>
      </c>
    </row>
    <row r="8" spans="1:10" ht="14.25" customHeight="1">
      <c r="A8" s="9">
        <v>2026</v>
      </c>
      <c r="B8" s="9">
        <f>COUNTIF('07_Base_Limpia'!$B$6:$B$505,$A8)</f>
        <v>72</v>
      </c>
      <c r="C8" s="9">
        <f>SUMIF('07_Base_Limpia'!$B$6:$B$505,$A8,'07_Base_Limpia'!$O$6:$O$505)</f>
        <v>215</v>
      </c>
      <c r="D8" s="15">
        <f>IFERROR(C8/B8,0)</f>
        <v>2.9861111111111112</v>
      </c>
      <c r="E8" s="9">
        <f>COUNTIFS('07_Base_Limpia'!$B$6:$B$505,$A8,'07_Base_Limpia'!$L$6:$L$505,"Empata")</f>
        <v>20</v>
      </c>
      <c r="F8" s="16">
        <f>IFERROR(E8/B8,0)</f>
        <v>0.27777777777777779</v>
      </c>
      <c r="G8" s="9">
        <f>COUNTIFS('07_Base_Limpia'!$B$6:$B$505,$A8,'07_Base_Limpia'!$M$6:$M$505,TRUE())+COUNTIFS('07_Base_Limpia'!$B$6:$B$505,$A8,'07_Base_Limpia'!$N$6:$N$505,TRUE())</f>
        <v>9</v>
      </c>
      <c r="H8" s="9">
        <f>COUNTIFS('07_Base_Limpia'!$B$6:$B$505,$A8,'07_Base_Limpia'!$M$6:$M$505,TRUE(),'07_Base_Limpia'!$L$6:$L$505,"Gana")+COUNTIFS('07_Base_Limpia'!$B$6:$B$505,$A8,'07_Base_Limpia'!$N$6:$N$505,TRUE(),'07_Base_Limpia'!$L$6:$L$505,"Pierde")</f>
        <v>6</v>
      </c>
      <c r="I8" s="16">
        <f>IFERROR(H8/G8,0)</f>
        <v>0.66666666666666663</v>
      </c>
      <c r="J8" s="16">
        <f>IFERROR(COUNTIFS('07_Base_Limpia'!$B$6:$B$505,$A8,'07_Base_Limpia'!$O$6:$O$505,"&gt;2")/B8,0)</f>
        <v>0.55555555555555558</v>
      </c>
    </row>
    <row r="12" spans="1:10">
      <c r="A12" s="4" t="s">
        <v>964</v>
      </c>
      <c r="B12" s="4"/>
      <c r="C12" s="4"/>
      <c r="D12" s="4"/>
    </row>
    <row r="13" spans="1:10">
      <c r="A13" s="23" t="s">
        <v>1046</v>
      </c>
      <c r="B13" s="3"/>
      <c r="C13" s="3"/>
      <c r="D13" s="3"/>
    </row>
    <row r="14" spans="1:10">
      <c r="A14" s="3"/>
      <c r="B14" s="3"/>
      <c r="C14" s="3"/>
      <c r="D14" s="3"/>
    </row>
    <row r="15" spans="1:10">
      <c r="A15" s="3"/>
      <c r="B15" s="3"/>
      <c r="C15" s="3"/>
      <c r="D15" s="3"/>
    </row>
    <row r="16" spans="1:10">
      <c r="A16" s="3"/>
      <c r="B16" s="3"/>
      <c r="C16" s="3"/>
      <c r="D16" s="3"/>
    </row>
    <row r="18" spans="1:4">
      <c r="A18" s="24" t="s">
        <v>1042</v>
      </c>
      <c r="B18" s="22"/>
      <c r="C18" s="25"/>
    </row>
    <row r="19" spans="1:4">
      <c r="A19" s="22" t="s">
        <v>34</v>
      </c>
      <c r="B19" s="7" t="s">
        <v>1043</v>
      </c>
      <c r="C19" s="25" t="s">
        <v>1044</v>
      </c>
      <c r="D19" s="25" t="s">
        <v>1045</v>
      </c>
    </row>
    <row r="20" spans="1:4">
      <c r="A20" s="22">
        <v>2018</v>
      </c>
      <c r="B20" s="22">
        <f>COUNTIFS('07_Base_Limpia'!$B$6:$B$505,A20,'07_Base_Limpia'!$L$6:$L$505,"Gana")</f>
        <v>17</v>
      </c>
      <c r="C20" s="7">
        <f>COUNTIFS('07_Base_Limpia'!$B$6:$B$505,A20,'07_Base_Limpia'!$L$6:$L$505,"Empata")</f>
        <v>9</v>
      </c>
      <c r="D20" s="22">
        <f>COUNTIFS('07_Base_Limpia'!$B$6:$B$505,A20,'07_Base_Limpia'!$L$6:$L$505,"Pierde")</f>
        <v>22</v>
      </c>
    </row>
    <row r="21" spans="1:4">
      <c r="A21" s="22">
        <v>2022</v>
      </c>
      <c r="B21" s="22">
        <f>COUNTIFS('07_Base_Limpia'!$B$6:$B$505,A21,'07_Base_Limpia'!$L$6:$L$505,"Gana")</f>
        <v>19</v>
      </c>
      <c r="C21" s="22">
        <f>COUNTIFS('07_Base_Limpia'!$B$6:$B$505,A21,'07_Base_Limpia'!$L$6:$L$505,"Empata")</f>
        <v>10</v>
      </c>
      <c r="D21" s="22">
        <f>COUNTIFS('07_Base_Limpia'!$B$6:$B$505,A21,'07_Base_Limpia'!$L$6:$L$505,"Pierde")</f>
        <v>19</v>
      </c>
    </row>
    <row r="22" spans="1:4">
      <c r="A22" s="22">
        <v>2026</v>
      </c>
      <c r="B22" s="22">
        <f>COUNTIFS('07_Base_Limpia'!$B$6:$B$505,A22,'07_Base_Limpia'!$L$6:$L$505,"Gana")</f>
        <v>34</v>
      </c>
      <c r="C22" s="22">
        <f>COUNTIFS('07_Base_Limpia'!$B$6:$B$505,A22,'07_Base_Limpia'!$L$6:$L$505,"Empata")</f>
        <v>20</v>
      </c>
      <c r="D22" s="22">
        <f>COUNTIFS('07_Base_Limpia'!$B$6:$B$505,A22,'07_Base_Limpia'!$L$6:$L$505,"Pierde")</f>
        <v>18</v>
      </c>
    </row>
    <row r="24" spans="1:4">
      <c r="A24" s="22"/>
    </row>
    <row r="25" spans="1:4" ht="17.399999999999999">
      <c r="A25" s="18" t="s">
        <v>1017</v>
      </c>
    </row>
    <row r="26" spans="1:4">
      <c r="A26" s="17" t="s">
        <v>34</v>
      </c>
      <c r="B26" s="17" t="s">
        <v>1018</v>
      </c>
      <c r="C26" s="17" t="s">
        <v>1019</v>
      </c>
    </row>
    <row r="27" spans="1:4">
      <c r="A27" s="7">
        <v>2018</v>
      </c>
      <c r="B27" s="7">
        <v>7</v>
      </c>
      <c r="C27" s="7" t="s">
        <v>118</v>
      </c>
    </row>
    <row r="28" spans="1:4">
      <c r="A28" s="7">
        <v>2022</v>
      </c>
      <c r="B28" s="7">
        <v>7</v>
      </c>
      <c r="C28" s="7" t="s">
        <v>161</v>
      </c>
    </row>
    <row r="29" spans="1:4">
      <c r="A29" s="7">
        <v>2026</v>
      </c>
      <c r="B29" s="7">
        <v>8</v>
      </c>
      <c r="C29" s="25" t="s">
        <v>163</v>
      </c>
    </row>
    <row r="37" spans="2:2">
      <c r="B37" s="26"/>
    </row>
  </sheetData>
  <mergeCells count="4">
    <mergeCell ref="A1:J1"/>
    <mergeCell ref="A2:J3"/>
    <mergeCell ref="A12:D12"/>
    <mergeCell ref="A13:D16"/>
  </mergeCells>
  <pageMargins left="0.7" right="0.7" top="0.75" bottom="0.75" header="0.511811023622047" footer="0.511811023622047"/>
  <pageSetup paperSize="9" orientation="portrait" horizontalDpi="300" verticalDpi="300"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9"/>
  <sheetViews>
    <sheetView zoomScaleNormal="100" workbookViewId="0">
      <selection activeCell="D16" sqref="D16"/>
    </sheetView>
  </sheetViews>
  <sheetFormatPr baseColWidth="10" defaultColWidth="9" defaultRowHeight="14.4"/>
  <cols>
    <col min="1" max="1" width="22" style="7" customWidth="1"/>
    <col min="2" max="2" width="27" style="7" customWidth="1"/>
    <col min="3" max="3" width="24" style="7" customWidth="1"/>
    <col min="4" max="4" width="56" style="7" customWidth="1"/>
    <col min="5" max="8" width="16" style="7" customWidth="1"/>
  </cols>
  <sheetData>
    <row r="1" spans="1:8" ht="30" customHeight="1">
      <c r="A1" s="6" t="s">
        <v>965</v>
      </c>
      <c r="B1" s="6"/>
      <c r="C1" s="6"/>
      <c r="D1" s="6"/>
      <c r="E1" s="6"/>
      <c r="F1" s="6"/>
      <c r="G1" s="6"/>
      <c r="H1" s="6"/>
    </row>
    <row r="2" spans="1:8" ht="21.75" customHeight="1">
      <c r="A2" s="5" t="s">
        <v>966</v>
      </c>
      <c r="B2" s="5"/>
      <c r="C2" s="5"/>
      <c r="D2" s="5"/>
      <c r="E2" s="5"/>
      <c r="F2" s="5"/>
      <c r="G2" s="5"/>
      <c r="H2" s="5"/>
    </row>
    <row r="3" spans="1:8" ht="21.75" customHeight="1">
      <c r="A3" s="5"/>
      <c r="B3" s="5"/>
      <c r="C3" s="5"/>
      <c r="D3" s="5"/>
      <c r="E3" s="5"/>
      <c r="F3" s="5"/>
      <c r="G3" s="5"/>
      <c r="H3" s="5"/>
    </row>
    <row r="5" spans="1:8" ht="15" customHeight="1">
      <c r="A5" s="8" t="s">
        <v>967</v>
      </c>
      <c r="B5" s="8" t="s">
        <v>968</v>
      </c>
      <c r="C5" s="8" t="s">
        <v>48</v>
      </c>
      <c r="D5" s="8" t="s">
        <v>969</v>
      </c>
    </row>
    <row r="6" spans="1:8" ht="14.25" customHeight="1">
      <c r="A6" s="9" t="s">
        <v>970</v>
      </c>
      <c r="B6" s="9" t="s">
        <v>85</v>
      </c>
      <c r="C6" s="9" t="s">
        <v>971</v>
      </c>
      <c r="D6" s="9" t="s">
        <v>972</v>
      </c>
    </row>
    <row r="7" spans="1:8" ht="14.25" customHeight="1">
      <c r="A7" s="9" t="s">
        <v>973</v>
      </c>
      <c r="B7" s="9" t="s">
        <v>65</v>
      </c>
      <c r="C7" s="9" t="s">
        <v>974</v>
      </c>
      <c r="D7" s="9" t="s">
        <v>975</v>
      </c>
    </row>
    <row r="8" spans="1:8" ht="14.25" customHeight="1">
      <c r="A8" s="9" t="s">
        <v>973</v>
      </c>
      <c r="B8" s="9" t="s">
        <v>976</v>
      </c>
      <c r="C8" s="9" t="s">
        <v>977</v>
      </c>
      <c r="D8" s="9" t="s">
        <v>978</v>
      </c>
    </row>
    <row r="9" spans="1:8" ht="14.25" customHeight="1">
      <c r="A9" s="9" t="s">
        <v>973</v>
      </c>
      <c r="B9" s="9" t="s">
        <v>979</v>
      </c>
      <c r="C9" s="9" t="s">
        <v>980</v>
      </c>
      <c r="D9" s="9" t="s">
        <v>981</v>
      </c>
    </row>
    <row r="10" spans="1:8" ht="14.25" customHeight="1">
      <c r="A10" s="9" t="s">
        <v>973</v>
      </c>
      <c r="B10" s="9" t="s">
        <v>982</v>
      </c>
      <c r="C10" s="9" t="s">
        <v>983</v>
      </c>
      <c r="D10" s="9" t="s">
        <v>975</v>
      </c>
    </row>
    <row r="11" spans="1:8" ht="14.25" customHeight="1">
      <c r="A11" s="9" t="s">
        <v>984</v>
      </c>
      <c r="B11" s="9" t="s">
        <v>77</v>
      </c>
      <c r="C11" s="9" t="s">
        <v>985</v>
      </c>
      <c r="D11" s="9" t="s">
        <v>986</v>
      </c>
    </row>
    <row r="12" spans="1:8" ht="14.25" customHeight="1">
      <c r="A12" s="9" t="s">
        <v>984</v>
      </c>
      <c r="B12" s="9" t="s">
        <v>95</v>
      </c>
      <c r="C12" s="9" t="s">
        <v>985</v>
      </c>
      <c r="D12" s="9" t="s">
        <v>987</v>
      </c>
    </row>
    <row r="15" spans="1:8" ht="15" customHeight="1">
      <c r="A15" s="4" t="s">
        <v>988</v>
      </c>
      <c r="B15" s="4"/>
      <c r="C15" s="4"/>
      <c r="D15" s="4"/>
      <c r="E15" s="4"/>
      <c r="F15" s="4"/>
      <c r="G15" s="4"/>
      <c r="H15" s="4"/>
    </row>
    <row r="16" spans="1:8" ht="15" customHeight="1">
      <c r="A16" s="8" t="s">
        <v>3</v>
      </c>
      <c r="B16" s="8" t="s">
        <v>989</v>
      </c>
    </row>
    <row r="17" spans="1:8" ht="14.25" customHeight="1">
      <c r="A17" s="9" t="s">
        <v>7</v>
      </c>
      <c r="B17" s="9" t="s">
        <v>990</v>
      </c>
    </row>
    <row r="18" spans="1:8" ht="14.25" customHeight="1">
      <c r="A18" s="9" t="s">
        <v>11</v>
      </c>
      <c r="B18" s="9" t="s">
        <v>991</v>
      </c>
    </row>
    <row r="19" spans="1:8" ht="14.25" customHeight="1">
      <c r="A19" s="9" t="s">
        <v>15</v>
      </c>
      <c r="B19" s="9" t="s">
        <v>992</v>
      </c>
    </row>
    <row r="20" spans="1:8" ht="14.25" customHeight="1">
      <c r="A20" s="9" t="s">
        <v>19</v>
      </c>
      <c r="B20" s="9" t="s">
        <v>993</v>
      </c>
    </row>
    <row r="21" spans="1:8" ht="14.25" customHeight="1">
      <c r="A21" s="9" t="s">
        <v>23</v>
      </c>
      <c r="B21" s="9" t="s">
        <v>994</v>
      </c>
    </row>
    <row r="22" spans="1:8" ht="14.25" customHeight="1">
      <c r="A22" s="9" t="s">
        <v>26</v>
      </c>
      <c r="B22" s="9" t="s">
        <v>995</v>
      </c>
    </row>
    <row r="23" spans="1:8" ht="14.25" customHeight="1">
      <c r="A23" s="9" t="s">
        <v>30</v>
      </c>
      <c r="B23" s="9" t="s">
        <v>996</v>
      </c>
    </row>
    <row r="26" spans="1:8" ht="14.25" customHeight="1">
      <c r="A26" s="3" t="s">
        <v>997</v>
      </c>
      <c r="B26" s="3"/>
      <c r="C26" s="3"/>
      <c r="D26" s="3"/>
      <c r="E26" s="3"/>
      <c r="F26" s="3"/>
      <c r="G26" s="3"/>
      <c r="H26" s="3"/>
    </row>
    <row r="27" spans="1:8" ht="14.25" customHeight="1">
      <c r="A27" s="3"/>
      <c r="B27" s="3"/>
      <c r="C27" s="3"/>
      <c r="D27" s="3"/>
      <c r="E27" s="3"/>
      <c r="F27" s="3"/>
      <c r="G27" s="3"/>
      <c r="H27" s="3"/>
    </row>
    <row r="28" spans="1:8" ht="14.25" customHeight="1">
      <c r="A28" s="3"/>
      <c r="B28" s="3"/>
      <c r="C28" s="3"/>
      <c r="D28" s="3"/>
      <c r="E28" s="3"/>
      <c r="F28" s="3"/>
      <c r="G28" s="3"/>
      <c r="H28" s="3"/>
    </row>
    <row r="29" spans="1:8" ht="14.25" customHeight="1">
      <c r="A29" s="3"/>
      <c r="B29" s="3"/>
      <c r="C29" s="3"/>
      <c r="D29" s="3"/>
      <c r="E29" s="3"/>
      <c r="F29" s="3"/>
      <c r="G29" s="3"/>
      <c r="H29" s="3"/>
    </row>
  </sheetData>
  <mergeCells count="4">
    <mergeCell ref="A1:H1"/>
    <mergeCell ref="A2:H3"/>
    <mergeCell ref="A15:H15"/>
    <mergeCell ref="A26:H29"/>
  </mergeCells>
  <pageMargins left="0.7" right="0.7" top="0.75" bottom="0.75" header="0.511811023622047" footer="0.511811023622047"/>
  <pageSetup paperSize="9" orientation="portrait" horizontalDpi="300" verticalDpi="30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64"/>
  <sheetViews>
    <sheetView topLeftCell="A424" zoomScale="41" zoomScaleNormal="100" workbookViewId="0">
      <selection activeCell="A460" sqref="A460:G464"/>
    </sheetView>
  </sheetViews>
  <sheetFormatPr baseColWidth="10" defaultColWidth="8.6640625" defaultRowHeight="14.4"/>
  <cols>
    <col min="1" max="1" width="10" style="7" customWidth="1"/>
    <col min="2" max="3" width="20" style="7" customWidth="1"/>
    <col min="4" max="4" width="12" style="7" customWidth="1"/>
    <col min="5" max="11" width="7" style="7" customWidth="1"/>
  </cols>
  <sheetData>
    <row r="1" spans="1:12" ht="21.75" customHeight="1">
      <c r="A1" s="2" t="s">
        <v>998</v>
      </c>
      <c r="B1" s="2"/>
      <c r="C1" s="2"/>
      <c r="D1" s="2"/>
      <c r="E1" s="2"/>
      <c r="F1" s="2"/>
      <c r="G1" s="2"/>
      <c r="H1" s="2"/>
      <c r="I1" s="2"/>
      <c r="J1" s="2"/>
      <c r="K1" s="2"/>
      <c r="L1" s="2"/>
    </row>
    <row r="2" spans="1:12" ht="15" customHeight="1">
      <c r="A2" s="1" t="s">
        <v>999</v>
      </c>
      <c r="B2" s="1"/>
      <c r="C2" s="1"/>
      <c r="D2" s="1"/>
      <c r="E2" s="1"/>
      <c r="F2" s="1"/>
      <c r="G2" s="1"/>
      <c r="H2" s="1"/>
      <c r="I2" s="1"/>
      <c r="J2" s="1"/>
      <c r="K2" s="1"/>
      <c r="L2" s="1"/>
    </row>
    <row r="3" spans="1:12" ht="15" customHeight="1">
      <c r="A3" s="1"/>
      <c r="B3" s="1"/>
      <c r="C3" s="1"/>
      <c r="D3" s="1"/>
      <c r="E3" s="1"/>
      <c r="F3" s="1"/>
      <c r="G3" s="1"/>
      <c r="H3" s="1"/>
      <c r="I3" s="1"/>
      <c r="J3" s="1"/>
      <c r="K3" s="1"/>
      <c r="L3" s="1"/>
    </row>
    <row r="5" spans="1:12" ht="15" customHeight="1">
      <c r="A5" s="17" t="s">
        <v>55</v>
      </c>
      <c r="B5" s="17" t="s">
        <v>1000</v>
      </c>
      <c r="C5" s="17" t="s">
        <v>1001</v>
      </c>
      <c r="D5" s="17" t="s">
        <v>1002</v>
      </c>
      <c r="E5" s="17" t="s">
        <v>1003</v>
      </c>
      <c r="F5" s="17" t="s">
        <v>1004</v>
      </c>
      <c r="G5" s="17" t="s">
        <v>1005</v>
      </c>
      <c r="H5" s="17" t="s">
        <v>1006</v>
      </c>
      <c r="I5" s="17" t="s">
        <v>1007</v>
      </c>
    </row>
    <row r="6" spans="1:12" ht="15" customHeight="1">
      <c r="A6" s="7">
        <f>'07_Base_Limpia'!B6</f>
        <v>2018</v>
      </c>
      <c r="B6" s="7" t="str">
        <f>'07_Base_Limpia'!G6</f>
        <v>Russia</v>
      </c>
      <c r="C6" s="7" t="str">
        <f>'07_Base_Limpia'!H6</f>
        <v>Saudi Arabia</v>
      </c>
      <c r="D6" s="7" t="s">
        <v>1008</v>
      </c>
      <c r="E6" s="7">
        <f>'07_Base_Limpia'!I6</f>
        <v>5</v>
      </c>
      <c r="F6" s="7">
        <f>'07_Base_Limpia'!J6</f>
        <v>0</v>
      </c>
      <c r="G6" s="7">
        <f t="shared" ref="G6:G69" si="0">E6-F6</f>
        <v>5</v>
      </c>
      <c r="H6" s="7" t="str">
        <f>'07_Base_Limpia'!L6</f>
        <v>Gana</v>
      </c>
      <c r="I6" s="7">
        <f t="shared" ref="I6:I69" si="1">IF(H6="Gana",3,IF(H6="Empata",1,0))</f>
        <v>3</v>
      </c>
    </row>
    <row r="7" spans="1:12" ht="15" customHeight="1">
      <c r="A7" s="7">
        <f>'07_Base_Limpia'!B7</f>
        <v>2018</v>
      </c>
      <c r="B7" s="7" t="str">
        <f>'07_Base_Limpia'!G7</f>
        <v>Egypt</v>
      </c>
      <c r="C7" s="7" t="str">
        <f>'07_Base_Limpia'!H7</f>
        <v>Uruguay</v>
      </c>
      <c r="D7" s="7" t="s">
        <v>1008</v>
      </c>
      <c r="E7" s="7">
        <f>'07_Base_Limpia'!I7</f>
        <v>0</v>
      </c>
      <c r="F7" s="7">
        <f>'07_Base_Limpia'!J7</f>
        <v>1</v>
      </c>
      <c r="G7" s="7">
        <f t="shared" si="0"/>
        <v>-1</v>
      </c>
      <c r="H7" s="7" t="str">
        <f>'07_Base_Limpia'!L7</f>
        <v>Pierde</v>
      </c>
      <c r="I7" s="7">
        <f t="shared" si="1"/>
        <v>0</v>
      </c>
    </row>
    <row r="8" spans="1:12" ht="15" customHeight="1">
      <c r="A8" s="7">
        <f>'07_Base_Limpia'!B8</f>
        <v>2018</v>
      </c>
      <c r="B8" s="7" t="str">
        <f>'07_Base_Limpia'!G8</f>
        <v>Morocco</v>
      </c>
      <c r="C8" s="7" t="str">
        <f>'07_Base_Limpia'!H8</f>
        <v>Iran</v>
      </c>
      <c r="D8" s="7" t="s">
        <v>1008</v>
      </c>
      <c r="E8" s="7">
        <f>'07_Base_Limpia'!I8</f>
        <v>0</v>
      </c>
      <c r="F8" s="7">
        <f>'07_Base_Limpia'!J8</f>
        <v>1</v>
      </c>
      <c r="G8" s="7">
        <f t="shared" si="0"/>
        <v>-1</v>
      </c>
      <c r="H8" s="7" t="str">
        <f>'07_Base_Limpia'!L8</f>
        <v>Pierde</v>
      </c>
      <c r="I8" s="7">
        <f t="shared" si="1"/>
        <v>0</v>
      </c>
    </row>
    <row r="9" spans="1:12" ht="15" customHeight="1">
      <c r="A9" s="7">
        <f>'07_Base_Limpia'!B9</f>
        <v>2018</v>
      </c>
      <c r="B9" s="7" t="str">
        <f>'07_Base_Limpia'!G9</f>
        <v>Portugal</v>
      </c>
      <c r="C9" s="7" t="str">
        <f>'07_Base_Limpia'!H9</f>
        <v>Spain</v>
      </c>
      <c r="D9" s="7" t="s">
        <v>1008</v>
      </c>
      <c r="E9" s="7">
        <f>'07_Base_Limpia'!I9</f>
        <v>3</v>
      </c>
      <c r="F9" s="7">
        <f>'07_Base_Limpia'!J9</f>
        <v>3</v>
      </c>
      <c r="G9" s="7">
        <f t="shared" si="0"/>
        <v>0</v>
      </c>
      <c r="H9" s="7" t="str">
        <f>'07_Base_Limpia'!L9</f>
        <v>Empata</v>
      </c>
      <c r="I9" s="7">
        <f t="shared" si="1"/>
        <v>1</v>
      </c>
    </row>
    <row r="10" spans="1:12" ht="15" customHeight="1">
      <c r="A10" s="7">
        <f>'07_Base_Limpia'!B10</f>
        <v>2018</v>
      </c>
      <c r="B10" s="7" t="str">
        <f>'07_Base_Limpia'!G10</f>
        <v>France</v>
      </c>
      <c r="C10" s="7" t="str">
        <f>'07_Base_Limpia'!H10</f>
        <v>Australia</v>
      </c>
      <c r="D10" s="7" t="s">
        <v>1008</v>
      </c>
      <c r="E10" s="7">
        <f>'07_Base_Limpia'!I10</f>
        <v>2</v>
      </c>
      <c r="F10" s="7">
        <f>'07_Base_Limpia'!J10</f>
        <v>1</v>
      </c>
      <c r="G10" s="7">
        <f t="shared" si="0"/>
        <v>1</v>
      </c>
      <c r="H10" s="7" t="str">
        <f>'07_Base_Limpia'!L10</f>
        <v>Gana</v>
      </c>
      <c r="I10" s="7">
        <f t="shared" si="1"/>
        <v>3</v>
      </c>
    </row>
    <row r="11" spans="1:12" ht="15" customHeight="1">
      <c r="A11" s="7">
        <f>'07_Base_Limpia'!B11</f>
        <v>2018</v>
      </c>
      <c r="B11" s="7" t="str">
        <f>'07_Base_Limpia'!G11</f>
        <v>Argentina</v>
      </c>
      <c r="C11" s="7" t="str">
        <f>'07_Base_Limpia'!H11</f>
        <v>Iceland</v>
      </c>
      <c r="D11" s="7" t="s">
        <v>1008</v>
      </c>
      <c r="E11" s="7">
        <f>'07_Base_Limpia'!I11</f>
        <v>1</v>
      </c>
      <c r="F11" s="7">
        <f>'07_Base_Limpia'!J11</f>
        <v>1</v>
      </c>
      <c r="G11" s="7">
        <f t="shared" si="0"/>
        <v>0</v>
      </c>
      <c r="H11" s="7" t="str">
        <f>'07_Base_Limpia'!L11</f>
        <v>Empata</v>
      </c>
      <c r="I11" s="7">
        <f t="shared" si="1"/>
        <v>1</v>
      </c>
    </row>
    <row r="12" spans="1:12" ht="15" customHeight="1">
      <c r="A12" s="7">
        <f>'07_Base_Limpia'!B12</f>
        <v>2018</v>
      </c>
      <c r="B12" s="7" t="str">
        <f>'07_Base_Limpia'!G12</f>
        <v>Peru</v>
      </c>
      <c r="C12" s="7" t="str">
        <f>'07_Base_Limpia'!H12</f>
        <v>Denmark</v>
      </c>
      <c r="D12" s="7" t="s">
        <v>1008</v>
      </c>
      <c r="E12" s="7">
        <f>'07_Base_Limpia'!I12</f>
        <v>0</v>
      </c>
      <c r="F12" s="7">
        <f>'07_Base_Limpia'!J12</f>
        <v>1</v>
      </c>
      <c r="G12" s="7">
        <f t="shared" si="0"/>
        <v>-1</v>
      </c>
      <c r="H12" s="7" t="str">
        <f>'07_Base_Limpia'!L12</f>
        <v>Pierde</v>
      </c>
      <c r="I12" s="7">
        <f t="shared" si="1"/>
        <v>0</v>
      </c>
    </row>
    <row r="13" spans="1:12" ht="15" customHeight="1">
      <c r="A13" s="7">
        <f>'07_Base_Limpia'!B13</f>
        <v>2018</v>
      </c>
      <c r="B13" s="7" t="str">
        <f>'07_Base_Limpia'!G13</f>
        <v>Croatia</v>
      </c>
      <c r="C13" s="7" t="str">
        <f>'07_Base_Limpia'!H13</f>
        <v>Nigeria</v>
      </c>
      <c r="D13" s="7" t="s">
        <v>1008</v>
      </c>
      <c r="E13" s="7">
        <f>'07_Base_Limpia'!I13</f>
        <v>2</v>
      </c>
      <c r="F13" s="7">
        <f>'07_Base_Limpia'!J13</f>
        <v>0</v>
      </c>
      <c r="G13" s="7">
        <f t="shared" si="0"/>
        <v>2</v>
      </c>
      <c r="H13" s="7" t="str">
        <f>'07_Base_Limpia'!L13</f>
        <v>Gana</v>
      </c>
      <c r="I13" s="7">
        <f t="shared" si="1"/>
        <v>3</v>
      </c>
    </row>
    <row r="14" spans="1:12" ht="15" customHeight="1">
      <c r="A14" s="7">
        <f>'07_Base_Limpia'!B14</f>
        <v>2018</v>
      </c>
      <c r="B14" s="7" t="str">
        <f>'07_Base_Limpia'!G14</f>
        <v>Costa Rica</v>
      </c>
      <c r="C14" s="7" t="str">
        <f>'07_Base_Limpia'!H14</f>
        <v>Serbia</v>
      </c>
      <c r="D14" s="7" t="s">
        <v>1008</v>
      </c>
      <c r="E14" s="7">
        <f>'07_Base_Limpia'!I14</f>
        <v>0</v>
      </c>
      <c r="F14" s="7">
        <f>'07_Base_Limpia'!J14</f>
        <v>1</v>
      </c>
      <c r="G14" s="7">
        <f t="shared" si="0"/>
        <v>-1</v>
      </c>
      <c r="H14" s="7" t="str">
        <f>'07_Base_Limpia'!L14</f>
        <v>Pierde</v>
      </c>
      <c r="I14" s="7">
        <f t="shared" si="1"/>
        <v>0</v>
      </c>
    </row>
    <row r="15" spans="1:12" ht="15" customHeight="1">
      <c r="A15" s="7">
        <f>'07_Base_Limpia'!B15</f>
        <v>2018</v>
      </c>
      <c r="B15" s="7" t="str">
        <f>'07_Base_Limpia'!G15</f>
        <v>Germany</v>
      </c>
      <c r="C15" s="7" t="str">
        <f>'07_Base_Limpia'!H15</f>
        <v>Mexico</v>
      </c>
      <c r="D15" s="7" t="s">
        <v>1008</v>
      </c>
      <c r="E15" s="7">
        <f>'07_Base_Limpia'!I15</f>
        <v>0</v>
      </c>
      <c r="F15" s="7">
        <f>'07_Base_Limpia'!J15</f>
        <v>1</v>
      </c>
      <c r="G15" s="7">
        <f t="shared" si="0"/>
        <v>-1</v>
      </c>
      <c r="H15" s="7" t="str">
        <f>'07_Base_Limpia'!L15</f>
        <v>Pierde</v>
      </c>
      <c r="I15" s="7">
        <f t="shared" si="1"/>
        <v>0</v>
      </c>
    </row>
    <row r="16" spans="1:12" ht="15" customHeight="1">
      <c r="A16" s="7">
        <f>'07_Base_Limpia'!B16</f>
        <v>2018</v>
      </c>
      <c r="B16" s="7" t="str">
        <f>'07_Base_Limpia'!G16</f>
        <v>Brazil</v>
      </c>
      <c r="C16" s="7" t="str">
        <f>'07_Base_Limpia'!H16</f>
        <v>Switzerland</v>
      </c>
      <c r="D16" s="7" t="s">
        <v>1008</v>
      </c>
      <c r="E16" s="7">
        <f>'07_Base_Limpia'!I16</f>
        <v>1</v>
      </c>
      <c r="F16" s="7">
        <f>'07_Base_Limpia'!J16</f>
        <v>1</v>
      </c>
      <c r="G16" s="7">
        <f t="shared" si="0"/>
        <v>0</v>
      </c>
      <c r="H16" s="7" t="str">
        <f>'07_Base_Limpia'!L16</f>
        <v>Empata</v>
      </c>
      <c r="I16" s="7">
        <f t="shared" si="1"/>
        <v>1</v>
      </c>
    </row>
    <row r="17" spans="1:9" ht="15" customHeight="1">
      <c r="A17" s="7">
        <f>'07_Base_Limpia'!B17</f>
        <v>2018</v>
      </c>
      <c r="B17" s="7" t="str">
        <f>'07_Base_Limpia'!G17</f>
        <v>Sweden</v>
      </c>
      <c r="C17" s="7" t="str">
        <f>'07_Base_Limpia'!H17</f>
        <v>South Korea</v>
      </c>
      <c r="D17" s="7" t="s">
        <v>1008</v>
      </c>
      <c r="E17" s="7">
        <f>'07_Base_Limpia'!I17</f>
        <v>1</v>
      </c>
      <c r="F17" s="7">
        <f>'07_Base_Limpia'!J17</f>
        <v>0</v>
      </c>
      <c r="G17" s="7">
        <f t="shared" si="0"/>
        <v>1</v>
      </c>
      <c r="H17" s="7" t="str">
        <f>'07_Base_Limpia'!L17</f>
        <v>Gana</v>
      </c>
      <c r="I17" s="7">
        <f t="shared" si="1"/>
        <v>3</v>
      </c>
    </row>
    <row r="18" spans="1:9" ht="15" customHeight="1">
      <c r="A18" s="7">
        <f>'07_Base_Limpia'!B18</f>
        <v>2018</v>
      </c>
      <c r="B18" s="7" t="str">
        <f>'07_Base_Limpia'!G18</f>
        <v>Belgium</v>
      </c>
      <c r="C18" s="7" t="str">
        <f>'07_Base_Limpia'!H18</f>
        <v>Panama</v>
      </c>
      <c r="D18" s="7" t="s">
        <v>1008</v>
      </c>
      <c r="E18" s="7">
        <f>'07_Base_Limpia'!I18</f>
        <v>3</v>
      </c>
      <c r="F18" s="7">
        <f>'07_Base_Limpia'!J18</f>
        <v>0</v>
      </c>
      <c r="G18" s="7">
        <f t="shared" si="0"/>
        <v>3</v>
      </c>
      <c r="H18" s="7" t="str">
        <f>'07_Base_Limpia'!L18</f>
        <v>Gana</v>
      </c>
      <c r="I18" s="7">
        <f t="shared" si="1"/>
        <v>3</v>
      </c>
    </row>
    <row r="19" spans="1:9" ht="15" customHeight="1">
      <c r="A19" s="7">
        <f>'07_Base_Limpia'!B19</f>
        <v>2018</v>
      </c>
      <c r="B19" s="7" t="str">
        <f>'07_Base_Limpia'!G19</f>
        <v>Tunisia</v>
      </c>
      <c r="C19" s="7" t="str">
        <f>'07_Base_Limpia'!H19</f>
        <v>England</v>
      </c>
      <c r="D19" s="7" t="s">
        <v>1008</v>
      </c>
      <c r="E19" s="7">
        <f>'07_Base_Limpia'!I19</f>
        <v>1</v>
      </c>
      <c r="F19" s="7">
        <f>'07_Base_Limpia'!J19</f>
        <v>2</v>
      </c>
      <c r="G19" s="7">
        <f t="shared" si="0"/>
        <v>-1</v>
      </c>
      <c r="H19" s="7" t="str">
        <f>'07_Base_Limpia'!L19</f>
        <v>Pierde</v>
      </c>
      <c r="I19" s="7">
        <f t="shared" si="1"/>
        <v>0</v>
      </c>
    </row>
    <row r="20" spans="1:9" ht="15" customHeight="1">
      <c r="A20" s="7">
        <f>'07_Base_Limpia'!B20</f>
        <v>2018</v>
      </c>
      <c r="B20" s="7" t="str">
        <f>'07_Base_Limpia'!G20</f>
        <v>Colombia</v>
      </c>
      <c r="C20" s="7" t="str">
        <f>'07_Base_Limpia'!H20</f>
        <v>Japan</v>
      </c>
      <c r="D20" s="7" t="s">
        <v>1008</v>
      </c>
      <c r="E20" s="7">
        <f>'07_Base_Limpia'!I20</f>
        <v>1</v>
      </c>
      <c r="F20" s="7">
        <f>'07_Base_Limpia'!J20</f>
        <v>2</v>
      </c>
      <c r="G20" s="7">
        <f t="shared" si="0"/>
        <v>-1</v>
      </c>
      <c r="H20" s="7" t="str">
        <f>'07_Base_Limpia'!L20</f>
        <v>Pierde</v>
      </c>
      <c r="I20" s="7">
        <f t="shared" si="1"/>
        <v>0</v>
      </c>
    </row>
    <row r="21" spans="1:9" ht="15" customHeight="1">
      <c r="A21" s="7">
        <f>'07_Base_Limpia'!B21</f>
        <v>2018</v>
      </c>
      <c r="B21" s="7" t="str">
        <f>'07_Base_Limpia'!G21</f>
        <v>Poland</v>
      </c>
      <c r="C21" s="7" t="str">
        <f>'07_Base_Limpia'!H21</f>
        <v>Senegal</v>
      </c>
      <c r="D21" s="7" t="s">
        <v>1008</v>
      </c>
      <c r="E21" s="7">
        <f>'07_Base_Limpia'!I21</f>
        <v>1</v>
      </c>
      <c r="F21" s="7">
        <f>'07_Base_Limpia'!J21</f>
        <v>2</v>
      </c>
      <c r="G21" s="7">
        <f t="shared" si="0"/>
        <v>-1</v>
      </c>
      <c r="H21" s="7" t="str">
        <f>'07_Base_Limpia'!L21</f>
        <v>Pierde</v>
      </c>
      <c r="I21" s="7">
        <f t="shared" si="1"/>
        <v>0</v>
      </c>
    </row>
    <row r="22" spans="1:9" ht="15" customHeight="1">
      <c r="A22" s="7">
        <f>'07_Base_Limpia'!B22</f>
        <v>2018</v>
      </c>
      <c r="B22" s="7" t="str">
        <f>'07_Base_Limpia'!G22</f>
        <v>Russia</v>
      </c>
      <c r="C22" s="7" t="str">
        <f>'07_Base_Limpia'!H22</f>
        <v>Egypt</v>
      </c>
      <c r="D22" s="7" t="s">
        <v>1008</v>
      </c>
      <c r="E22" s="7">
        <f>'07_Base_Limpia'!I22</f>
        <v>3</v>
      </c>
      <c r="F22" s="7">
        <f>'07_Base_Limpia'!J22</f>
        <v>1</v>
      </c>
      <c r="G22" s="7">
        <f t="shared" si="0"/>
        <v>2</v>
      </c>
      <c r="H22" s="7" t="str">
        <f>'07_Base_Limpia'!L22</f>
        <v>Gana</v>
      </c>
      <c r="I22" s="7">
        <f t="shared" si="1"/>
        <v>3</v>
      </c>
    </row>
    <row r="23" spans="1:9" ht="15" customHeight="1">
      <c r="A23" s="7">
        <f>'07_Base_Limpia'!B23</f>
        <v>2018</v>
      </c>
      <c r="B23" s="7" t="str">
        <f>'07_Base_Limpia'!G23</f>
        <v>Portugal</v>
      </c>
      <c r="C23" s="7" t="str">
        <f>'07_Base_Limpia'!H23</f>
        <v>Morocco</v>
      </c>
      <c r="D23" s="7" t="s">
        <v>1008</v>
      </c>
      <c r="E23" s="7">
        <f>'07_Base_Limpia'!I23</f>
        <v>1</v>
      </c>
      <c r="F23" s="7">
        <f>'07_Base_Limpia'!J23</f>
        <v>0</v>
      </c>
      <c r="G23" s="7">
        <f t="shared" si="0"/>
        <v>1</v>
      </c>
      <c r="H23" s="7" t="str">
        <f>'07_Base_Limpia'!L23</f>
        <v>Gana</v>
      </c>
      <c r="I23" s="7">
        <f t="shared" si="1"/>
        <v>3</v>
      </c>
    </row>
    <row r="24" spans="1:9" ht="15" customHeight="1">
      <c r="A24" s="7">
        <f>'07_Base_Limpia'!B24</f>
        <v>2018</v>
      </c>
      <c r="B24" s="7" t="str">
        <f>'07_Base_Limpia'!G24</f>
        <v>Uruguay</v>
      </c>
      <c r="C24" s="7" t="str">
        <f>'07_Base_Limpia'!H24</f>
        <v>Saudi Arabia</v>
      </c>
      <c r="D24" s="7" t="s">
        <v>1008</v>
      </c>
      <c r="E24" s="7">
        <f>'07_Base_Limpia'!I24</f>
        <v>1</v>
      </c>
      <c r="F24" s="7">
        <f>'07_Base_Limpia'!J24</f>
        <v>0</v>
      </c>
      <c r="G24" s="7">
        <f t="shared" si="0"/>
        <v>1</v>
      </c>
      <c r="H24" s="7" t="str">
        <f>'07_Base_Limpia'!L24</f>
        <v>Gana</v>
      </c>
      <c r="I24" s="7">
        <f t="shared" si="1"/>
        <v>3</v>
      </c>
    </row>
    <row r="25" spans="1:9" ht="15" customHeight="1">
      <c r="A25" s="7">
        <f>'07_Base_Limpia'!B25</f>
        <v>2018</v>
      </c>
      <c r="B25" s="7" t="str">
        <f>'07_Base_Limpia'!G25</f>
        <v>Iran</v>
      </c>
      <c r="C25" s="7" t="str">
        <f>'07_Base_Limpia'!H25</f>
        <v>Spain</v>
      </c>
      <c r="D25" s="7" t="s">
        <v>1008</v>
      </c>
      <c r="E25" s="7">
        <f>'07_Base_Limpia'!I25</f>
        <v>0</v>
      </c>
      <c r="F25" s="7">
        <f>'07_Base_Limpia'!J25</f>
        <v>1</v>
      </c>
      <c r="G25" s="7">
        <f t="shared" si="0"/>
        <v>-1</v>
      </c>
      <c r="H25" s="7" t="str">
        <f>'07_Base_Limpia'!L25</f>
        <v>Pierde</v>
      </c>
      <c r="I25" s="7">
        <f t="shared" si="1"/>
        <v>0</v>
      </c>
    </row>
    <row r="26" spans="1:9" ht="15" customHeight="1">
      <c r="A26" s="7">
        <f>'07_Base_Limpia'!B26</f>
        <v>2018</v>
      </c>
      <c r="B26" s="7" t="str">
        <f>'07_Base_Limpia'!G26</f>
        <v>Denmark</v>
      </c>
      <c r="C26" s="7" t="str">
        <f>'07_Base_Limpia'!H26</f>
        <v>Australia</v>
      </c>
      <c r="D26" s="7" t="s">
        <v>1008</v>
      </c>
      <c r="E26" s="7">
        <f>'07_Base_Limpia'!I26</f>
        <v>1</v>
      </c>
      <c r="F26" s="7">
        <f>'07_Base_Limpia'!J26</f>
        <v>1</v>
      </c>
      <c r="G26" s="7">
        <f t="shared" si="0"/>
        <v>0</v>
      </c>
      <c r="H26" s="7" t="str">
        <f>'07_Base_Limpia'!L26</f>
        <v>Empata</v>
      </c>
      <c r="I26" s="7">
        <f t="shared" si="1"/>
        <v>1</v>
      </c>
    </row>
    <row r="27" spans="1:9" ht="15" customHeight="1">
      <c r="A27" s="7">
        <f>'07_Base_Limpia'!B27</f>
        <v>2018</v>
      </c>
      <c r="B27" s="7" t="str">
        <f>'07_Base_Limpia'!G27</f>
        <v>France</v>
      </c>
      <c r="C27" s="7" t="str">
        <f>'07_Base_Limpia'!H27</f>
        <v>Peru</v>
      </c>
      <c r="D27" s="7" t="s">
        <v>1008</v>
      </c>
      <c r="E27" s="7">
        <f>'07_Base_Limpia'!I27</f>
        <v>1</v>
      </c>
      <c r="F27" s="7">
        <f>'07_Base_Limpia'!J27</f>
        <v>0</v>
      </c>
      <c r="G27" s="7">
        <f t="shared" si="0"/>
        <v>1</v>
      </c>
      <c r="H27" s="7" t="str">
        <f>'07_Base_Limpia'!L27</f>
        <v>Gana</v>
      </c>
      <c r="I27" s="7">
        <f t="shared" si="1"/>
        <v>3</v>
      </c>
    </row>
    <row r="28" spans="1:9" ht="15" customHeight="1">
      <c r="A28" s="7">
        <f>'07_Base_Limpia'!B28</f>
        <v>2018</v>
      </c>
      <c r="B28" s="7" t="str">
        <f>'07_Base_Limpia'!G28</f>
        <v>Argentina</v>
      </c>
      <c r="C28" s="7" t="str">
        <f>'07_Base_Limpia'!H28</f>
        <v>Croatia</v>
      </c>
      <c r="D28" s="7" t="s">
        <v>1008</v>
      </c>
      <c r="E28" s="7">
        <f>'07_Base_Limpia'!I28</f>
        <v>0</v>
      </c>
      <c r="F28" s="7">
        <f>'07_Base_Limpia'!J28</f>
        <v>3</v>
      </c>
      <c r="G28" s="7">
        <f t="shared" si="0"/>
        <v>-3</v>
      </c>
      <c r="H28" s="7" t="str">
        <f>'07_Base_Limpia'!L28</f>
        <v>Pierde</v>
      </c>
      <c r="I28" s="7">
        <f t="shared" si="1"/>
        <v>0</v>
      </c>
    </row>
    <row r="29" spans="1:9" ht="15" customHeight="1">
      <c r="A29" s="7">
        <f>'07_Base_Limpia'!B29</f>
        <v>2018</v>
      </c>
      <c r="B29" s="7" t="str">
        <f>'07_Base_Limpia'!G29</f>
        <v>Brazil</v>
      </c>
      <c r="C29" s="7" t="str">
        <f>'07_Base_Limpia'!H29</f>
        <v>Costa Rica</v>
      </c>
      <c r="D29" s="7" t="s">
        <v>1008</v>
      </c>
      <c r="E29" s="7">
        <f>'07_Base_Limpia'!I29</f>
        <v>2</v>
      </c>
      <c r="F29" s="7">
        <f>'07_Base_Limpia'!J29</f>
        <v>0</v>
      </c>
      <c r="G29" s="7">
        <f t="shared" si="0"/>
        <v>2</v>
      </c>
      <c r="H29" s="7" t="str">
        <f>'07_Base_Limpia'!L29</f>
        <v>Gana</v>
      </c>
      <c r="I29" s="7">
        <f t="shared" si="1"/>
        <v>3</v>
      </c>
    </row>
    <row r="30" spans="1:9" ht="15" customHeight="1">
      <c r="A30" s="7">
        <f>'07_Base_Limpia'!B30</f>
        <v>2018</v>
      </c>
      <c r="B30" s="7" t="str">
        <f>'07_Base_Limpia'!G30</f>
        <v>Nigeria</v>
      </c>
      <c r="C30" s="7" t="str">
        <f>'07_Base_Limpia'!H30</f>
        <v>Iceland</v>
      </c>
      <c r="D30" s="7" t="s">
        <v>1008</v>
      </c>
      <c r="E30" s="7">
        <f>'07_Base_Limpia'!I30</f>
        <v>2</v>
      </c>
      <c r="F30" s="7">
        <f>'07_Base_Limpia'!J30</f>
        <v>0</v>
      </c>
      <c r="G30" s="7">
        <f t="shared" si="0"/>
        <v>2</v>
      </c>
      <c r="H30" s="7" t="str">
        <f>'07_Base_Limpia'!L30</f>
        <v>Gana</v>
      </c>
      <c r="I30" s="7">
        <f t="shared" si="1"/>
        <v>3</v>
      </c>
    </row>
    <row r="31" spans="1:9" ht="15" customHeight="1">
      <c r="A31" s="7">
        <f>'07_Base_Limpia'!B31</f>
        <v>2018</v>
      </c>
      <c r="B31" s="7" t="str">
        <f>'07_Base_Limpia'!G31</f>
        <v>Serbia</v>
      </c>
      <c r="C31" s="7" t="str">
        <f>'07_Base_Limpia'!H31</f>
        <v>Switzerland</v>
      </c>
      <c r="D31" s="7" t="s">
        <v>1008</v>
      </c>
      <c r="E31" s="7">
        <f>'07_Base_Limpia'!I31</f>
        <v>1</v>
      </c>
      <c r="F31" s="7">
        <f>'07_Base_Limpia'!J31</f>
        <v>2</v>
      </c>
      <c r="G31" s="7">
        <f t="shared" si="0"/>
        <v>-1</v>
      </c>
      <c r="H31" s="7" t="str">
        <f>'07_Base_Limpia'!L31</f>
        <v>Pierde</v>
      </c>
      <c r="I31" s="7">
        <f t="shared" si="1"/>
        <v>0</v>
      </c>
    </row>
    <row r="32" spans="1:9" ht="15" customHeight="1">
      <c r="A32" s="7">
        <f>'07_Base_Limpia'!B32</f>
        <v>2018</v>
      </c>
      <c r="B32" s="7" t="str">
        <f>'07_Base_Limpia'!G32</f>
        <v>Belgium</v>
      </c>
      <c r="C32" s="7" t="str">
        <f>'07_Base_Limpia'!H32</f>
        <v>Tunisia</v>
      </c>
      <c r="D32" s="7" t="s">
        <v>1008</v>
      </c>
      <c r="E32" s="7">
        <f>'07_Base_Limpia'!I32</f>
        <v>5</v>
      </c>
      <c r="F32" s="7">
        <f>'07_Base_Limpia'!J32</f>
        <v>2</v>
      </c>
      <c r="G32" s="7">
        <f t="shared" si="0"/>
        <v>3</v>
      </c>
      <c r="H32" s="7" t="str">
        <f>'07_Base_Limpia'!L32</f>
        <v>Gana</v>
      </c>
      <c r="I32" s="7">
        <f t="shared" si="1"/>
        <v>3</v>
      </c>
    </row>
    <row r="33" spans="1:9" ht="15" customHeight="1">
      <c r="A33" s="7">
        <f>'07_Base_Limpia'!B33</f>
        <v>2018</v>
      </c>
      <c r="B33" s="7" t="str">
        <f>'07_Base_Limpia'!G33</f>
        <v>South Korea</v>
      </c>
      <c r="C33" s="7" t="str">
        <f>'07_Base_Limpia'!H33</f>
        <v>Mexico</v>
      </c>
      <c r="D33" s="7" t="s">
        <v>1008</v>
      </c>
      <c r="E33" s="7">
        <f>'07_Base_Limpia'!I33</f>
        <v>1</v>
      </c>
      <c r="F33" s="7">
        <f>'07_Base_Limpia'!J33</f>
        <v>2</v>
      </c>
      <c r="G33" s="7">
        <f t="shared" si="0"/>
        <v>-1</v>
      </c>
      <c r="H33" s="7" t="str">
        <f>'07_Base_Limpia'!L33</f>
        <v>Pierde</v>
      </c>
      <c r="I33" s="7">
        <f t="shared" si="1"/>
        <v>0</v>
      </c>
    </row>
    <row r="34" spans="1:9" ht="15" customHeight="1">
      <c r="A34" s="7">
        <f>'07_Base_Limpia'!B34</f>
        <v>2018</v>
      </c>
      <c r="B34" s="7" t="str">
        <f>'07_Base_Limpia'!G34</f>
        <v>Germany</v>
      </c>
      <c r="C34" s="7" t="str">
        <f>'07_Base_Limpia'!H34</f>
        <v>Sweden</v>
      </c>
      <c r="D34" s="7" t="s">
        <v>1008</v>
      </c>
      <c r="E34" s="7">
        <f>'07_Base_Limpia'!I34</f>
        <v>2</v>
      </c>
      <c r="F34" s="7">
        <f>'07_Base_Limpia'!J34</f>
        <v>1</v>
      </c>
      <c r="G34" s="7">
        <f t="shared" si="0"/>
        <v>1</v>
      </c>
      <c r="H34" s="7" t="str">
        <f>'07_Base_Limpia'!L34</f>
        <v>Gana</v>
      </c>
      <c r="I34" s="7">
        <f t="shared" si="1"/>
        <v>3</v>
      </c>
    </row>
    <row r="35" spans="1:9" ht="15" customHeight="1">
      <c r="A35" s="7">
        <f>'07_Base_Limpia'!B35</f>
        <v>2018</v>
      </c>
      <c r="B35" s="7" t="str">
        <f>'07_Base_Limpia'!G35</f>
        <v>England</v>
      </c>
      <c r="C35" s="7" t="str">
        <f>'07_Base_Limpia'!H35</f>
        <v>Panama</v>
      </c>
      <c r="D35" s="7" t="s">
        <v>1008</v>
      </c>
      <c r="E35" s="7">
        <f>'07_Base_Limpia'!I35</f>
        <v>6</v>
      </c>
      <c r="F35" s="7">
        <f>'07_Base_Limpia'!J35</f>
        <v>1</v>
      </c>
      <c r="G35" s="7">
        <f t="shared" si="0"/>
        <v>5</v>
      </c>
      <c r="H35" s="7" t="str">
        <f>'07_Base_Limpia'!L35</f>
        <v>Gana</v>
      </c>
      <c r="I35" s="7">
        <f t="shared" si="1"/>
        <v>3</v>
      </c>
    </row>
    <row r="36" spans="1:9" ht="15" customHeight="1">
      <c r="A36" s="7">
        <f>'07_Base_Limpia'!B36</f>
        <v>2018</v>
      </c>
      <c r="B36" s="7" t="str">
        <f>'07_Base_Limpia'!G36</f>
        <v>Japan</v>
      </c>
      <c r="C36" s="7" t="str">
        <f>'07_Base_Limpia'!H36</f>
        <v>Senegal</v>
      </c>
      <c r="D36" s="7" t="s">
        <v>1008</v>
      </c>
      <c r="E36" s="7">
        <f>'07_Base_Limpia'!I36</f>
        <v>2</v>
      </c>
      <c r="F36" s="7">
        <f>'07_Base_Limpia'!J36</f>
        <v>2</v>
      </c>
      <c r="G36" s="7">
        <f t="shared" si="0"/>
        <v>0</v>
      </c>
      <c r="H36" s="7" t="str">
        <f>'07_Base_Limpia'!L36</f>
        <v>Empata</v>
      </c>
      <c r="I36" s="7">
        <f t="shared" si="1"/>
        <v>1</v>
      </c>
    </row>
    <row r="37" spans="1:9" ht="15" customHeight="1">
      <c r="A37" s="7">
        <f>'07_Base_Limpia'!B37</f>
        <v>2018</v>
      </c>
      <c r="B37" s="7" t="str">
        <f>'07_Base_Limpia'!G37</f>
        <v>Poland</v>
      </c>
      <c r="C37" s="7" t="str">
        <f>'07_Base_Limpia'!H37</f>
        <v>Colombia</v>
      </c>
      <c r="D37" s="7" t="s">
        <v>1008</v>
      </c>
      <c r="E37" s="7">
        <f>'07_Base_Limpia'!I37</f>
        <v>0</v>
      </c>
      <c r="F37" s="7">
        <f>'07_Base_Limpia'!J37</f>
        <v>3</v>
      </c>
      <c r="G37" s="7">
        <f t="shared" si="0"/>
        <v>-3</v>
      </c>
      <c r="H37" s="7" t="str">
        <f>'07_Base_Limpia'!L37</f>
        <v>Pierde</v>
      </c>
      <c r="I37" s="7">
        <f t="shared" si="1"/>
        <v>0</v>
      </c>
    </row>
    <row r="38" spans="1:9" ht="15" customHeight="1">
      <c r="A38" s="7">
        <f>'07_Base_Limpia'!B38</f>
        <v>2018</v>
      </c>
      <c r="B38" s="7" t="str">
        <f>'07_Base_Limpia'!G38</f>
        <v>Saudi Arabia</v>
      </c>
      <c r="C38" s="7" t="str">
        <f>'07_Base_Limpia'!H38</f>
        <v>Egypt</v>
      </c>
      <c r="D38" s="7" t="s">
        <v>1008</v>
      </c>
      <c r="E38" s="7">
        <f>'07_Base_Limpia'!I38</f>
        <v>2</v>
      </c>
      <c r="F38" s="7">
        <f>'07_Base_Limpia'!J38</f>
        <v>1</v>
      </c>
      <c r="G38" s="7">
        <f t="shared" si="0"/>
        <v>1</v>
      </c>
      <c r="H38" s="7" t="str">
        <f>'07_Base_Limpia'!L38</f>
        <v>Gana</v>
      </c>
      <c r="I38" s="7">
        <f t="shared" si="1"/>
        <v>3</v>
      </c>
    </row>
    <row r="39" spans="1:9" ht="15" customHeight="1">
      <c r="A39" s="7">
        <f>'07_Base_Limpia'!B39</f>
        <v>2018</v>
      </c>
      <c r="B39" s="7" t="str">
        <f>'07_Base_Limpia'!G39</f>
        <v>Uruguay</v>
      </c>
      <c r="C39" s="7" t="str">
        <f>'07_Base_Limpia'!H39</f>
        <v>Russia</v>
      </c>
      <c r="D39" s="7" t="s">
        <v>1008</v>
      </c>
      <c r="E39" s="7">
        <f>'07_Base_Limpia'!I39</f>
        <v>3</v>
      </c>
      <c r="F39" s="7">
        <f>'07_Base_Limpia'!J39</f>
        <v>0</v>
      </c>
      <c r="G39" s="7">
        <f t="shared" si="0"/>
        <v>3</v>
      </c>
      <c r="H39" s="7" t="str">
        <f>'07_Base_Limpia'!L39</f>
        <v>Gana</v>
      </c>
      <c r="I39" s="7">
        <f t="shared" si="1"/>
        <v>3</v>
      </c>
    </row>
    <row r="40" spans="1:9" ht="15" customHeight="1">
      <c r="A40" s="7">
        <f>'07_Base_Limpia'!B40</f>
        <v>2018</v>
      </c>
      <c r="B40" s="7" t="str">
        <f>'07_Base_Limpia'!G40</f>
        <v>Spain</v>
      </c>
      <c r="C40" s="7" t="str">
        <f>'07_Base_Limpia'!H40</f>
        <v>Morocco</v>
      </c>
      <c r="D40" s="7" t="s">
        <v>1008</v>
      </c>
      <c r="E40" s="7">
        <f>'07_Base_Limpia'!I40</f>
        <v>2</v>
      </c>
      <c r="F40" s="7">
        <f>'07_Base_Limpia'!J40</f>
        <v>2</v>
      </c>
      <c r="G40" s="7">
        <f t="shared" si="0"/>
        <v>0</v>
      </c>
      <c r="H40" s="7" t="str">
        <f>'07_Base_Limpia'!L40</f>
        <v>Empata</v>
      </c>
      <c r="I40" s="7">
        <f t="shared" si="1"/>
        <v>1</v>
      </c>
    </row>
    <row r="41" spans="1:9" ht="15" customHeight="1">
      <c r="A41" s="7">
        <f>'07_Base_Limpia'!B41</f>
        <v>2018</v>
      </c>
      <c r="B41" s="7" t="str">
        <f>'07_Base_Limpia'!G41</f>
        <v>Iran</v>
      </c>
      <c r="C41" s="7" t="str">
        <f>'07_Base_Limpia'!H41</f>
        <v>Portugal</v>
      </c>
      <c r="D41" s="7" t="s">
        <v>1008</v>
      </c>
      <c r="E41" s="7">
        <f>'07_Base_Limpia'!I41</f>
        <v>1</v>
      </c>
      <c r="F41" s="7">
        <f>'07_Base_Limpia'!J41</f>
        <v>1</v>
      </c>
      <c r="G41" s="7">
        <f t="shared" si="0"/>
        <v>0</v>
      </c>
      <c r="H41" s="7" t="str">
        <f>'07_Base_Limpia'!L41</f>
        <v>Empata</v>
      </c>
      <c r="I41" s="7">
        <f t="shared" si="1"/>
        <v>1</v>
      </c>
    </row>
    <row r="42" spans="1:9" ht="15" customHeight="1">
      <c r="A42" s="7">
        <f>'07_Base_Limpia'!B42</f>
        <v>2018</v>
      </c>
      <c r="B42" s="7" t="str">
        <f>'07_Base_Limpia'!G42</f>
        <v>Australia</v>
      </c>
      <c r="C42" s="7" t="str">
        <f>'07_Base_Limpia'!H42</f>
        <v>Peru</v>
      </c>
      <c r="D42" s="7" t="s">
        <v>1008</v>
      </c>
      <c r="E42" s="7">
        <f>'07_Base_Limpia'!I42</f>
        <v>0</v>
      </c>
      <c r="F42" s="7">
        <f>'07_Base_Limpia'!J42</f>
        <v>2</v>
      </c>
      <c r="G42" s="7">
        <f t="shared" si="0"/>
        <v>-2</v>
      </c>
      <c r="H42" s="7" t="str">
        <f>'07_Base_Limpia'!L42</f>
        <v>Pierde</v>
      </c>
      <c r="I42" s="7">
        <f t="shared" si="1"/>
        <v>0</v>
      </c>
    </row>
    <row r="43" spans="1:9" ht="15" customHeight="1">
      <c r="A43" s="7">
        <f>'07_Base_Limpia'!B43</f>
        <v>2018</v>
      </c>
      <c r="B43" s="7" t="str">
        <f>'07_Base_Limpia'!G43</f>
        <v>Denmark</v>
      </c>
      <c r="C43" s="7" t="str">
        <f>'07_Base_Limpia'!H43</f>
        <v>France</v>
      </c>
      <c r="D43" s="7" t="s">
        <v>1008</v>
      </c>
      <c r="E43" s="7">
        <f>'07_Base_Limpia'!I43</f>
        <v>0</v>
      </c>
      <c r="F43" s="7">
        <f>'07_Base_Limpia'!J43</f>
        <v>0</v>
      </c>
      <c r="G43" s="7">
        <f t="shared" si="0"/>
        <v>0</v>
      </c>
      <c r="H43" s="7" t="str">
        <f>'07_Base_Limpia'!L43</f>
        <v>Empata</v>
      </c>
      <c r="I43" s="7">
        <f t="shared" si="1"/>
        <v>1</v>
      </c>
    </row>
    <row r="44" spans="1:9" ht="15" customHeight="1">
      <c r="A44" s="7">
        <f>'07_Base_Limpia'!B44</f>
        <v>2018</v>
      </c>
      <c r="B44" s="7" t="str">
        <f>'07_Base_Limpia'!G44</f>
        <v>Iceland</v>
      </c>
      <c r="C44" s="7" t="str">
        <f>'07_Base_Limpia'!H44</f>
        <v>Croatia</v>
      </c>
      <c r="D44" s="7" t="s">
        <v>1008</v>
      </c>
      <c r="E44" s="7">
        <f>'07_Base_Limpia'!I44</f>
        <v>1</v>
      </c>
      <c r="F44" s="7">
        <f>'07_Base_Limpia'!J44</f>
        <v>2</v>
      </c>
      <c r="G44" s="7">
        <f t="shared" si="0"/>
        <v>-1</v>
      </c>
      <c r="H44" s="7" t="str">
        <f>'07_Base_Limpia'!L44</f>
        <v>Pierde</v>
      </c>
      <c r="I44" s="7">
        <f t="shared" si="1"/>
        <v>0</v>
      </c>
    </row>
    <row r="45" spans="1:9" ht="15" customHeight="1">
      <c r="A45" s="7">
        <f>'07_Base_Limpia'!B45</f>
        <v>2018</v>
      </c>
      <c r="B45" s="7" t="str">
        <f>'07_Base_Limpia'!G45</f>
        <v>Nigeria</v>
      </c>
      <c r="C45" s="7" t="str">
        <f>'07_Base_Limpia'!H45</f>
        <v>Argentina</v>
      </c>
      <c r="D45" s="7" t="s">
        <v>1008</v>
      </c>
      <c r="E45" s="7">
        <f>'07_Base_Limpia'!I45</f>
        <v>1</v>
      </c>
      <c r="F45" s="7">
        <f>'07_Base_Limpia'!J45</f>
        <v>2</v>
      </c>
      <c r="G45" s="7">
        <f t="shared" si="0"/>
        <v>-1</v>
      </c>
      <c r="H45" s="7" t="str">
        <f>'07_Base_Limpia'!L45</f>
        <v>Pierde</v>
      </c>
      <c r="I45" s="7">
        <f t="shared" si="1"/>
        <v>0</v>
      </c>
    </row>
    <row r="46" spans="1:9" ht="15" customHeight="1">
      <c r="A46" s="7">
        <f>'07_Base_Limpia'!B46</f>
        <v>2018</v>
      </c>
      <c r="B46" s="7" t="str">
        <f>'07_Base_Limpia'!G46</f>
        <v>South Korea</v>
      </c>
      <c r="C46" s="7" t="str">
        <f>'07_Base_Limpia'!H46</f>
        <v>Germany</v>
      </c>
      <c r="D46" s="7" t="s">
        <v>1008</v>
      </c>
      <c r="E46" s="7">
        <f>'07_Base_Limpia'!I46</f>
        <v>2</v>
      </c>
      <c r="F46" s="7">
        <f>'07_Base_Limpia'!J46</f>
        <v>0</v>
      </c>
      <c r="G46" s="7">
        <f t="shared" si="0"/>
        <v>2</v>
      </c>
      <c r="H46" s="7" t="str">
        <f>'07_Base_Limpia'!L46</f>
        <v>Gana</v>
      </c>
      <c r="I46" s="7">
        <f t="shared" si="1"/>
        <v>3</v>
      </c>
    </row>
    <row r="47" spans="1:9" ht="15" customHeight="1">
      <c r="A47" s="7">
        <f>'07_Base_Limpia'!B47</f>
        <v>2018</v>
      </c>
      <c r="B47" s="7" t="str">
        <f>'07_Base_Limpia'!G47</f>
        <v>Mexico</v>
      </c>
      <c r="C47" s="7" t="str">
        <f>'07_Base_Limpia'!H47</f>
        <v>Sweden</v>
      </c>
      <c r="D47" s="7" t="s">
        <v>1008</v>
      </c>
      <c r="E47" s="7">
        <f>'07_Base_Limpia'!I47</f>
        <v>0</v>
      </c>
      <c r="F47" s="7">
        <f>'07_Base_Limpia'!J47</f>
        <v>3</v>
      </c>
      <c r="G47" s="7">
        <f t="shared" si="0"/>
        <v>-3</v>
      </c>
      <c r="H47" s="7" t="str">
        <f>'07_Base_Limpia'!L47</f>
        <v>Pierde</v>
      </c>
      <c r="I47" s="7">
        <f t="shared" si="1"/>
        <v>0</v>
      </c>
    </row>
    <row r="48" spans="1:9" ht="15" customHeight="1">
      <c r="A48" s="7">
        <f>'07_Base_Limpia'!B48</f>
        <v>2018</v>
      </c>
      <c r="B48" s="7" t="str">
        <f>'07_Base_Limpia'!G48</f>
        <v>Serbia</v>
      </c>
      <c r="C48" s="7" t="str">
        <f>'07_Base_Limpia'!H48</f>
        <v>Brazil</v>
      </c>
      <c r="D48" s="7" t="s">
        <v>1008</v>
      </c>
      <c r="E48" s="7">
        <f>'07_Base_Limpia'!I48</f>
        <v>0</v>
      </c>
      <c r="F48" s="7">
        <f>'07_Base_Limpia'!J48</f>
        <v>2</v>
      </c>
      <c r="G48" s="7">
        <f t="shared" si="0"/>
        <v>-2</v>
      </c>
      <c r="H48" s="7" t="str">
        <f>'07_Base_Limpia'!L48</f>
        <v>Pierde</v>
      </c>
      <c r="I48" s="7">
        <f t="shared" si="1"/>
        <v>0</v>
      </c>
    </row>
    <row r="49" spans="1:9" ht="15" customHeight="1">
      <c r="A49" s="7">
        <f>'07_Base_Limpia'!B49</f>
        <v>2018</v>
      </c>
      <c r="B49" s="7" t="str">
        <f>'07_Base_Limpia'!G49</f>
        <v>Switzerland</v>
      </c>
      <c r="C49" s="7" t="str">
        <f>'07_Base_Limpia'!H49</f>
        <v>Costa Rica</v>
      </c>
      <c r="D49" s="7" t="s">
        <v>1008</v>
      </c>
      <c r="E49" s="7">
        <f>'07_Base_Limpia'!I49</f>
        <v>2</v>
      </c>
      <c r="F49" s="7">
        <f>'07_Base_Limpia'!J49</f>
        <v>2</v>
      </c>
      <c r="G49" s="7">
        <f t="shared" si="0"/>
        <v>0</v>
      </c>
      <c r="H49" s="7" t="str">
        <f>'07_Base_Limpia'!L49</f>
        <v>Empata</v>
      </c>
      <c r="I49" s="7">
        <f t="shared" si="1"/>
        <v>1</v>
      </c>
    </row>
    <row r="50" spans="1:9" ht="15" customHeight="1">
      <c r="A50" s="7">
        <f>'07_Base_Limpia'!B50</f>
        <v>2018</v>
      </c>
      <c r="B50" s="7" t="str">
        <f>'07_Base_Limpia'!G50</f>
        <v>Japan</v>
      </c>
      <c r="C50" s="7" t="str">
        <f>'07_Base_Limpia'!H50</f>
        <v>Poland</v>
      </c>
      <c r="D50" s="7" t="s">
        <v>1008</v>
      </c>
      <c r="E50" s="7">
        <f>'07_Base_Limpia'!I50</f>
        <v>0</v>
      </c>
      <c r="F50" s="7">
        <f>'07_Base_Limpia'!J50</f>
        <v>1</v>
      </c>
      <c r="G50" s="7">
        <f t="shared" si="0"/>
        <v>-1</v>
      </c>
      <c r="H50" s="7" t="str">
        <f>'07_Base_Limpia'!L50</f>
        <v>Pierde</v>
      </c>
      <c r="I50" s="7">
        <f t="shared" si="1"/>
        <v>0</v>
      </c>
    </row>
    <row r="51" spans="1:9" ht="15" customHeight="1">
      <c r="A51" s="7">
        <f>'07_Base_Limpia'!B51</f>
        <v>2018</v>
      </c>
      <c r="B51" s="7" t="str">
        <f>'07_Base_Limpia'!G51</f>
        <v>Senegal</v>
      </c>
      <c r="C51" s="7" t="str">
        <f>'07_Base_Limpia'!H51</f>
        <v>Colombia</v>
      </c>
      <c r="D51" s="7" t="s">
        <v>1008</v>
      </c>
      <c r="E51" s="7">
        <f>'07_Base_Limpia'!I51</f>
        <v>0</v>
      </c>
      <c r="F51" s="7">
        <f>'07_Base_Limpia'!J51</f>
        <v>1</v>
      </c>
      <c r="G51" s="7">
        <f t="shared" si="0"/>
        <v>-1</v>
      </c>
      <c r="H51" s="7" t="str">
        <f>'07_Base_Limpia'!L51</f>
        <v>Pierde</v>
      </c>
      <c r="I51" s="7">
        <f t="shared" si="1"/>
        <v>0</v>
      </c>
    </row>
    <row r="52" spans="1:9" ht="15" customHeight="1">
      <c r="A52" s="7">
        <f>'07_Base_Limpia'!B52</f>
        <v>2018</v>
      </c>
      <c r="B52" s="7" t="str">
        <f>'07_Base_Limpia'!G52</f>
        <v>England</v>
      </c>
      <c r="C52" s="7" t="str">
        <f>'07_Base_Limpia'!H52</f>
        <v>Belgium</v>
      </c>
      <c r="D52" s="7" t="s">
        <v>1008</v>
      </c>
      <c r="E52" s="7">
        <f>'07_Base_Limpia'!I52</f>
        <v>0</v>
      </c>
      <c r="F52" s="7">
        <f>'07_Base_Limpia'!J52</f>
        <v>1</v>
      </c>
      <c r="G52" s="7">
        <f t="shared" si="0"/>
        <v>-1</v>
      </c>
      <c r="H52" s="7" t="str">
        <f>'07_Base_Limpia'!L52</f>
        <v>Pierde</v>
      </c>
      <c r="I52" s="7">
        <f t="shared" si="1"/>
        <v>0</v>
      </c>
    </row>
    <row r="53" spans="1:9" ht="15" customHeight="1">
      <c r="A53" s="7">
        <f>'07_Base_Limpia'!B53</f>
        <v>2018</v>
      </c>
      <c r="B53" s="7" t="str">
        <f>'07_Base_Limpia'!G53</f>
        <v>Panama</v>
      </c>
      <c r="C53" s="7" t="str">
        <f>'07_Base_Limpia'!H53</f>
        <v>Tunisia</v>
      </c>
      <c r="D53" s="7" t="s">
        <v>1008</v>
      </c>
      <c r="E53" s="7">
        <f>'07_Base_Limpia'!I53</f>
        <v>1</v>
      </c>
      <c r="F53" s="7">
        <f>'07_Base_Limpia'!J53</f>
        <v>2</v>
      </c>
      <c r="G53" s="7">
        <f t="shared" si="0"/>
        <v>-1</v>
      </c>
      <c r="H53" s="7" t="str">
        <f>'07_Base_Limpia'!L53</f>
        <v>Pierde</v>
      </c>
      <c r="I53" s="7">
        <f t="shared" si="1"/>
        <v>0</v>
      </c>
    </row>
    <row r="54" spans="1:9" ht="15" customHeight="1">
      <c r="A54" s="7">
        <f>'07_Base_Limpia'!B54</f>
        <v>2022</v>
      </c>
      <c r="B54" s="7" t="str">
        <f>'07_Base_Limpia'!G54</f>
        <v>Qatar</v>
      </c>
      <c r="C54" s="7" t="str">
        <f>'07_Base_Limpia'!H54</f>
        <v>Ecuador</v>
      </c>
      <c r="D54" s="7" t="s">
        <v>1008</v>
      </c>
      <c r="E54" s="7">
        <f>'07_Base_Limpia'!I54</f>
        <v>0</v>
      </c>
      <c r="F54" s="7">
        <f>'07_Base_Limpia'!J54</f>
        <v>2</v>
      </c>
      <c r="G54" s="7">
        <f t="shared" si="0"/>
        <v>-2</v>
      </c>
      <c r="H54" s="7" t="str">
        <f>'07_Base_Limpia'!L54</f>
        <v>Pierde</v>
      </c>
      <c r="I54" s="7">
        <f t="shared" si="1"/>
        <v>0</v>
      </c>
    </row>
    <row r="55" spans="1:9" ht="15" customHeight="1">
      <c r="A55" s="7">
        <f>'07_Base_Limpia'!B55</f>
        <v>2022</v>
      </c>
      <c r="B55" s="7" t="str">
        <f>'07_Base_Limpia'!G55</f>
        <v>England</v>
      </c>
      <c r="C55" s="7" t="str">
        <f>'07_Base_Limpia'!H55</f>
        <v>Iran</v>
      </c>
      <c r="D55" s="7" t="s">
        <v>1008</v>
      </c>
      <c r="E55" s="7">
        <f>'07_Base_Limpia'!I55</f>
        <v>6</v>
      </c>
      <c r="F55" s="7">
        <f>'07_Base_Limpia'!J55</f>
        <v>2</v>
      </c>
      <c r="G55" s="7">
        <f t="shared" si="0"/>
        <v>4</v>
      </c>
      <c r="H55" s="7" t="str">
        <f>'07_Base_Limpia'!L55</f>
        <v>Gana</v>
      </c>
      <c r="I55" s="7">
        <f t="shared" si="1"/>
        <v>3</v>
      </c>
    </row>
    <row r="56" spans="1:9" ht="15" customHeight="1">
      <c r="A56" s="7">
        <f>'07_Base_Limpia'!B56</f>
        <v>2022</v>
      </c>
      <c r="B56" s="7" t="str">
        <f>'07_Base_Limpia'!G56</f>
        <v>Senegal</v>
      </c>
      <c r="C56" s="7" t="str">
        <f>'07_Base_Limpia'!H56</f>
        <v>Netherlands</v>
      </c>
      <c r="D56" s="7" t="s">
        <v>1008</v>
      </c>
      <c r="E56" s="7">
        <f>'07_Base_Limpia'!I56</f>
        <v>0</v>
      </c>
      <c r="F56" s="7">
        <f>'07_Base_Limpia'!J56</f>
        <v>2</v>
      </c>
      <c r="G56" s="7">
        <f t="shared" si="0"/>
        <v>-2</v>
      </c>
      <c r="H56" s="7" t="str">
        <f>'07_Base_Limpia'!L56</f>
        <v>Pierde</v>
      </c>
      <c r="I56" s="7">
        <f t="shared" si="1"/>
        <v>0</v>
      </c>
    </row>
    <row r="57" spans="1:9" ht="15" customHeight="1">
      <c r="A57" s="7">
        <f>'07_Base_Limpia'!B57</f>
        <v>2022</v>
      </c>
      <c r="B57" s="7" t="str">
        <f>'07_Base_Limpia'!G57</f>
        <v>United States</v>
      </c>
      <c r="C57" s="7" t="str">
        <f>'07_Base_Limpia'!H57</f>
        <v>Wales</v>
      </c>
      <c r="D57" s="7" t="s">
        <v>1008</v>
      </c>
      <c r="E57" s="7">
        <f>'07_Base_Limpia'!I57</f>
        <v>1</v>
      </c>
      <c r="F57" s="7">
        <f>'07_Base_Limpia'!J57</f>
        <v>1</v>
      </c>
      <c r="G57" s="7">
        <f t="shared" si="0"/>
        <v>0</v>
      </c>
      <c r="H57" s="7" t="str">
        <f>'07_Base_Limpia'!L57</f>
        <v>Empata</v>
      </c>
      <c r="I57" s="7">
        <f t="shared" si="1"/>
        <v>1</v>
      </c>
    </row>
    <row r="58" spans="1:9" ht="15" customHeight="1">
      <c r="A58" s="7">
        <f>'07_Base_Limpia'!B58</f>
        <v>2022</v>
      </c>
      <c r="B58" s="7" t="str">
        <f>'07_Base_Limpia'!G58</f>
        <v>Argentina</v>
      </c>
      <c r="C58" s="7" t="str">
        <f>'07_Base_Limpia'!H58</f>
        <v>Saudi Arabia</v>
      </c>
      <c r="D58" s="7" t="s">
        <v>1008</v>
      </c>
      <c r="E58" s="7">
        <f>'07_Base_Limpia'!I58</f>
        <v>1</v>
      </c>
      <c r="F58" s="7">
        <f>'07_Base_Limpia'!J58</f>
        <v>2</v>
      </c>
      <c r="G58" s="7">
        <f t="shared" si="0"/>
        <v>-1</v>
      </c>
      <c r="H58" s="7" t="str">
        <f>'07_Base_Limpia'!L58</f>
        <v>Pierde</v>
      </c>
      <c r="I58" s="7">
        <f t="shared" si="1"/>
        <v>0</v>
      </c>
    </row>
    <row r="59" spans="1:9" ht="15" customHeight="1">
      <c r="A59" s="7">
        <f>'07_Base_Limpia'!B59</f>
        <v>2022</v>
      </c>
      <c r="B59" s="7" t="str">
        <f>'07_Base_Limpia'!G59</f>
        <v>Denmark</v>
      </c>
      <c r="C59" s="7" t="str">
        <f>'07_Base_Limpia'!H59</f>
        <v>Tunisia</v>
      </c>
      <c r="D59" s="7" t="s">
        <v>1008</v>
      </c>
      <c r="E59" s="7">
        <f>'07_Base_Limpia'!I59</f>
        <v>0</v>
      </c>
      <c r="F59" s="7">
        <f>'07_Base_Limpia'!J59</f>
        <v>0</v>
      </c>
      <c r="G59" s="7">
        <f t="shared" si="0"/>
        <v>0</v>
      </c>
      <c r="H59" s="7" t="str">
        <f>'07_Base_Limpia'!L59</f>
        <v>Empata</v>
      </c>
      <c r="I59" s="7">
        <f t="shared" si="1"/>
        <v>1</v>
      </c>
    </row>
    <row r="60" spans="1:9" ht="15" customHeight="1">
      <c r="A60" s="7">
        <f>'07_Base_Limpia'!B60</f>
        <v>2022</v>
      </c>
      <c r="B60" s="7" t="str">
        <f>'07_Base_Limpia'!G60</f>
        <v>Mexico</v>
      </c>
      <c r="C60" s="7" t="str">
        <f>'07_Base_Limpia'!H60</f>
        <v>Poland</v>
      </c>
      <c r="D60" s="7" t="s">
        <v>1008</v>
      </c>
      <c r="E60" s="7">
        <f>'07_Base_Limpia'!I60</f>
        <v>0</v>
      </c>
      <c r="F60" s="7">
        <f>'07_Base_Limpia'!J60</f>
        <v>0</v>
      </c>
      <c r="G60" s="7">
        <f t="shared" si="0"/>
        <v>0</v>
      </c>
      <c r="H60" s="7" t="str">
        <f>'07_Base_Limpia'!L60</f>
        <v>Empata</v>
      </c>
      <c r="I60" s="7">
        <f t="shared" si="1"/>
        <v>1</v>
      </c>
    </row>
    <row r="61" spans="1:9" ht="15" customHeight="1">
      <c r="A61" s="7">
        <f>'07_Base_Limpia'!B61</f>
        <v>2022</v>
      </c>
      <c r="B61" s="7" t="str">
        <f>'07_Base_Limpia'!G61</f>
        <v>France</v>
      </c>
      <c r="C61" s="7" t="str">
        <f>'07_Base_Limpia'!H61</f>
        <v>Australia</v>
      </c>
      <c r="D61" s="7" t="s">
        <v>1008</v>
      </c>
      <c r="E61" s="7">
        <f>'07_Base_Limpia'!I61</f>
        <v>4</v>
      </c>
      <c r="F61" s="7">
        <f>'07_Base_Limpia'!J61</f>
        <v>1</v>
      </c>
      <c r="G61" s="7">
        <f t="shared" si="0"/>
        <v>3</v>
      </c>
      <c r="H61" s="7" t="str">
        <f>'07_Base_Limpia'!L61</f>
        <v>Gana</v>
      </c>
      <c r="I61" s="7">
        <f t="shared" si="1"/>
        <v>3</v>
      </c>
    </row>
    <row r="62" spans="1:9" ht="15" customHeight="1">
      <c r="A62" s="7">
        <f>'07_Base_Limpia'!B62</f>
        <v>2022</v>
      </c>
      <c r="B62" s="7" t="str">
        <f>'07_Base_Limpia'!G62</f>
        <v>Morocco</v>
      </c>
      <c r="C62" s="7" t="str">
        <f>'07_Base_Limpia'!H62</f>
        <v>Croatia</v>
      </c>
      <c r="D62" s="7" t="s">
        <v>1008</v>
      </c>
      <c r="E62" s="7">
        <f>'07_Base_Limpia'!I62</f>
        <v>0</v>
      </c>
      <c r="F62" s="7">
        <f>'07_Base_Limpia'!J62</f>
        <v>0</v>
      </c>
      <c r="G62" s="7">
        <f t="shared" si="0"/>
        <v>0</v>
      </c>
      <c r="H62" s="7" t="str">
        <f>'07_Base_Limpia'!L62</f>
        <v>Empata</v>
      </c>
      <c r="I62" s="7">
        <f t="shared" si="1"/>
        <v>1</v>
      </c>
    </row>
    <row r="63" spans="1:9" ht="15" customHeight="1">
      <c r="A63" s="7">
        <f>'07_Base_Limpia'!B63</f>
        <v>2022</v>
      </c>
      <c r="B63" s="7" t="str">
        <f>'07_Base_Limpia'!G63</f>
        <v>Germany</v>
      </c>
      <c r="C63" s="7" t="str">
        <f>'07_Base_Limpia'!H63</f>
        <v>Japan</v>
      </c>
      <c r="D63" s="7" t="s">
        <v>1008</v>
      </c>
      <c r="E63" s="7">
        <f>'07_Base_Limpia'!I63</f>
        <v>1</v>
      </c>
      <c r="F63" s="7">
        <f>'07_Base_Limpia'!J63</f>
        <v>2</v>
      </c>
      <c r="G63" s="7">
        <f t="shared" si="0"/>
        <v>-1</v>
      </c>
      <c r="H63" s="7" t="str">
        <f>'07_Base_Limpia'!L63</f>
        <v>Pierde</v>
      </c>
      <c r="I63" s="7">
        <f t="shared" si="1"/>
        <v>0</v>
      </c>
    </row>
    <row r="64" spans="1:9" ht="15" customHeight="1">
      <c r="A64" s="7">
        <f>'07_Base_Limpia'!B64</f>
        <v>2022</v>
      </c>
      <c r="B64" s="7" t="str">
        <f>'07_Base_Limpia'!G64</f>
        <v>Spain</v>
      </c>
      <c r="C64" s="7" t="str">
        <f>'07_Base_Limpia'!H64</f>
        <v>Costa Rica</v>
      </c>
      <c r="D64" s="7" t="s">
        <v>1008</v>
      </c>
      <c r="E64" s="7">
        <f>'07_Base_Limpia'!I64</f>
        <v>7</v>
      </c>
      <c r="F64" s="7">
        <f>'07_Base_Limpia'!J64</f>
        <v>0</v>
      </c>
      <c r="G64" s="7">
        <f t="shared" si="0"/>
        <v>7</v>
      </c>
      <c r="H64" s="7" t="str">
        <f>'07_Base_Limpia'!L64</f>
        <v>Gana</v>
      </c>
      <c r="I64" s="7">
        <f t="shared" si="1"/>
        <v>3</v>
      </c>
    </row>
    <row r="65" spans="1:9" ht="15" customHeight="1">
      <c r="A65" s="7">
        <f>'07_Base_Limpia'!B65</f>
        <v>2022</v>
      </c>
      <c r="B65" s="7" t="str">
        <f>'07_Base_Limpia'!G65</f>
        <v>Belgium</v>
      </c>
      <c r="C65" s="7" t="str">
        <f>'07_Base_Limpia'!H65</f>
        <v>Canada</v>
      </c>
      <c r="D65" s="7" t="s">
        <v>1008</v>
      </c>
      <c r="E65" s="7">
        <f>'07_Base_Limpia'!I65</f>
        <v>1</v>
      </c>
      <c r="F65" s="7">
        <f>'07_Base_Limpia'!J65</f>
        <v>0</v>
      </c>
      <c r="G65" s="7">
        <f t="shared" si="0"/>
        <v>1</v>
      </c>
      <c r="H65" s="7" t="str">
        <f>'07_Base_Limpia'!L65</f>
        <v>Gana</v>
      </c>
      <c r="I65" s="7">
        <f t="shared" si="1"/>
        <v>3</v>
      </c>
    </row>
    <row r="66" spans="1:9" ht="15" customHeight="1">
      <c r="A66" s="7">
        <f>'07_Base_Limpia'!B66</f>
        <v>2022</v>
      </c>
      <c r="B66" s="7" t="str">
        <f>'07_Base_Limpia'!G66</f>
        <v>Switzerland</v>
      </c>
      <c r="C66" s="7" t="str">
        <f>'07_Base_Limpia'!H66</f>
        <v>Cameroon</v>
      </c>
      <c r="D66" s="7" t="s">
        <v>1008</v>
      </c>
      <c r="E66" s="7">
        <f>'07_Base_Limpia'!I66</f>
        <v>1</v>
      </c>
      <c r="F66" s="7">
        <f>'07_Base_Limpia'!J66</f>
        <v>0</v>
      </c>
      <c r="G66" s="7">
        <f t="shared" si="0"/>
        <v>1</v>
      </c>
      <c r="H66" s="7" t="str">
        <f>'07_Base_Limpia'!L66</f>
        <v>Gana</v>
      </c>
      <c r="I66" s="7">
        <f t="shared" si="1"/>
        <v>3</v>
      </c>
    </row>
    <row r="67" spans="1:9" ht="15" customHeight="1">
      <c r="A67" s="7">
        <f>'07_Base_Limpia'!B67</f>
        <v>2022</v>
      </c>
      <c r="B67" s="7" t="str">
        <f>'07_Base_Limpia'!G67</f>
        <v>Uruguay</v>
      </c>
      <c r="C67" s="7" t="str">
        <f>'07_Base_Limpia'!H67</f>
        <v>South Korea</v>
      </c>
      <c r="D67" s="7" t="s">
        <v>1008</v>
      </c>
      <c r="E67" s="7">
        <f>'07_Base_Limpia'!I67</f>
        <v>0</v>
      </c>
      <c r="F67" s="7">
        <f>'07_Base_Limpia'!J67</f>
        <v>0</v>
      </c>
      <c r="G67" s="7">
        <f t="shared" si="0"/>
        <v>0</v>
      </c>
      <c r="H67" s="7" t="str">
        <f>'07_Base_Limpia'!L67</f>
        <v>Empata</v>
      </c>
      <c r="I67" s="7">
        <f t="shared" si="1"/>
        <v>1</v>
      </c>
    </row>
    <row r="68" spans="1:9" ht="15" customHeight="1">
      <c r="A68" s="7">
        <f>'07_Base_Limpia'!B68</f>
        <v>2022</v>
      </c>
      <c r="B68" s="7" t="str">
        <f>'07_Base_Limpia'!G68</f>
        <v>Portugal</v>
      </c>
      <c r="C68" s="7" t="str">
        <f>'07_Base_Limpia'!H68</f>
        <v>Ghana</v>
      </c>
      <c r="D68" s="7" t="s">
        <v>1008</v>
      </c>
      <c r="E68" s="7">
        <f>'07_Base_Limpia'!I68</f>
        <v>3</v>
      </c>
      <c r="F68" s="7">
        <f>'07_Base_Limpia'!J68</f>
        <v>2</v>
      </c>
      <c r="G68" s="7">
        <f t="shared" si="0"/>
        <v>1</v>
      </c>
      <c r="H68" s="7" t="str">
        <f>'07_Base_Limpia'!L68</f>
        <v>Gana</v>
      </c>
      <c r="I68" s="7">
        <f t="shared" si="1"/>
        <v>3</v>
      </c>
    </row>
    <row r="69" spans="1:9" ht="15" customHeight="1">
      <c r="A69" s="7">
        <f>'07_Base_Limpia'!B69</f>
        <v>2022</v>
      </c>
      <c r="B69" s="7" t="str">
        <f>'07_Base_Limpia'!G69</f>
        <v>Brazil</v>
      </c>
      <c r="C69" s="7" t="str">
        <f>'07_Base_Limpia'!H69</f>
        <v>Serbia</v>
      </c>
      <c r="D69" s="7" t="s">
        <v>1008</v>
      </c>
      <c r="E69" s="7">
        <f>'07_Base_Limpia'!I69</f>
        <v>2</v>
      </c>
      <c r="F69" s="7">
        <f>'07_Base_Limpia'!J69</f>
        <v>0</v>
      </c>
      <c r="G69" s="7">
        <f t="shared" si="0"/>
        <v>2</v>
      </c>
      <c r="H69" s="7" t="str">
        <f>'07_Base_Limpia'!L69</f>
        <v>Gana</v>
      </c>
      <c r="I69" s="7">
        <f t="shared" si="1"/>
        <v>3</v>
      </c>
    </row>
    <row r="70" spans="1:9" ht="15" customHeight="1">
      <c r="A70" s="7">
        <f>'07_Base_Limpia'!B70</f>
        <v>2022</v>
      </c>
      <c r="B70" s="7" t="str">
        <f>'07_Base_Limpia'!G70</f>
        <v>Wales</v>
      </c>
      <c r="C70" s="7" t="str">
        <f>'07_Base_Limpia'!H70</f>
        <v>Iran</v>
      </c>
      <c r="D70" s="7" t="s">
        <v>1008</v>
      </c>
      <c r="E70" s="7">
        <f>'07_Base_Limpia'!I70</f>
        <v>0</v>
      </c>
      <c r="F70" s="7">
        <f>'07_Base_Limpia'!J70</f>
        <v>2</v>
      </c>
      <c r="G70" s="7">
        <f t="shared" ref="G70:G133" si="2">E70-F70</f>
        <v>-2</v>
      </c>
      <c r="H70" s="7" t="str">
        <f>'07_Base_Limpia'!L70</f>
        <v>Pierde</v>
      </c>
      <c r="I70" s="7">
        <f t="shared" ref="I70:I133" si="3">IF(H70="Gana",3,IF(H70="Empata",1,0))</f>
        <v>0</v>
      </c>
    </row>
    <row r="71" spans="1:9" ht="15" customHeight="1">
      <c r="A71" s="7">
        <f>'07_Base_Limpia'!B71</f>
        <v>2022</v>
      </c>
      <c r="B71" s="7" t="str">
        <f>'07_Base_Limpia'!G71</f>
        <v>Qatar</v>
      </c>
      <c r="C71" s="7" t="str">
        <f>'07_Base_Limpia'!H71</f>
        <v>Senegal</v>
      </c>
      <c r="D71" s="7" t="s">
        <v>1008</v>
      </c>
      <c r="E71" s="7">
        <f>'07_Base_Limpia'!I71</f>
        <v>1</v>
      </c>
      <c r="F71" s="7">
        <f>'07_Base_Limpia'!J71</f>
        <v>3</v>
      </c>
      <c r="G71" s="7">
        <f t="shared" si="2"/>
        <v>-2</v>
      </c>
      <c r="H71" s="7" t="str">
        <f>'07_Base_Limpia'!L71</f>
        <v>Pierde</v>
      </c>
      <c r="I71" s="7">
        <f t="shared" si="3"/>
        <v>0</v>
      </c>
    </row>
    <row r="72" spans="1:9" ht="15" customHeight="1">
      <c r="A72" s="7">
        <f>'07_Base_Limpia'!B72</f>
        <v>2022</v>
      </c>
      <c r="B72" s="7" t="str">
        <f>'07_Base_Limpia'!G72</f>
        <v>Netherlands</v>
      </c>
      <c r="C72" s="7" t="str">
        <f>'07_Base_Limpia'!H72</f>
        <v>Ecuador</v>
      </c>
      <c r="D72" s="7" t="s">
        <v>1008</v>
      </c>
      <c r="E72" s="7">
        <f>'07_Base_Limpia'!I72</f>
        <v>1</v>
      </c>
      <c r="F72" s="7">
        <f>'07_Base_Limpia'!J72</f>
        <v>1</v>
      </c>
      <c r="G72" s="7">
        <f t="shared" si="2"/>
        <v>0</v>
      </c>
      <c r="H72" s="7" t="str">
        <f>'07_Base_Limpia'!L72</f>
        <v>Empata</v>
      </c>
      <c r="I72" s="7">
        <f t="shared" si="3"/>
        <v>1</v>
      </c>
    </row>
    <row r="73" spans="1:9" ht="15" customHeight="1">
      <c r="A73" s="7">
        <f>'07_Base_Limpia'!B73</f>
        <v>2022</v>
      </c>
      <c r="B73" s="7" t="str">
        <f>'07_Base_Limpia'!G73</f>
        <v>England</v>
      </c>
      <c r="C73" s="7" t="str">
        <f>'07_Base_Limpia'!H73</f>
        <v>United States</v>
      </c>
      <c r="D73" s="7" t="s">
        <v>1008</v>
      </c>
      <c r="E73" s="7">
        <f>'07_Base_Limpia'!I73</f>
        <v>0</v>
      </c>
      <c r="F73" s="7">
        <f>'07_Base_Limpia'!J73</f>
        <v>0</v>
      </c>
      <c r="G73" s="7">
        <f t="shared" si="2"/>
        <v>0</v>
      </c>
      <c r="H73" s="7" t="str">
        <f>'07_Base_Limpia'!L73</f>
        <v>Empata</v>
      </c>
      <c r="I73" s="7">
        <f t="shared" si="3"/>
        <v>1</v>
      </c>
    </row>
    <row r="74" spans="1:9" ht="15" customHeight="1">
      <c r="A74" s="7">
        <f>'07_Base_Limpia'!B74</f>
        <v>2022</v>
      </c>
      <c r="B74" s="7" t="str">
        <f>'07_Base_Limpia'!G74</f>
        <v>Tunisia</v>
      </c>
      <c r="C74" s="7" t="str">
        <f>'07_Base_Limpia'!H74</f>
        <v>Australia</v>
      </c>
      <c r="D74" s="7" t="s">
        <v>1008</v>
      </c>
      <c r="E74" s="7">
        <f>'07_Base_Limpia'!I74</f>
        <v>0</v>
      </c>
      <c r="F74" s="7">
        <f>'07_Base_Limpia'!J74</f>
        <v>1</v>
      </c>
      <c r="G74" s="7">
        <f t="shared" si="2"/>
        <v>-1</v>
      </c>
      <c r="H74" s="7" t="str">
        <f>'07_Base_Limpia'!L74</f>
        <v>Pierde</v>
      </c>
      <c r="I74" s="7">
        <f t="shared" si="3"/>
        <v>0</v>
      </c>
    </row>
    <row r="75" spans="1:9" ht="15" customHeight="1">
      <c r="A75" s="7">
        <f>'07_Base_Limpia'!B75</f>
        <v>2022</v>
      </c>
      <c r="B75" s="7" t="str">
        <f>'07_Base_Limpia'!G75</f>
        <v>Poland</v>
      </c>
      <c r="C75" s="7" t="str">
        <f>'07_Base_Limpia'!H75</f>
        <v>Saudi Arabia</v>
      </c>
      <c r="D75" s="7" t="s">
        <v>1008</v>
      </c>
      <c r="E75" s="7">
        <f>'07_Base_Limpia'!I75</f>
        <v>2</v>
      </c>
      <c r="F75" s="7">
        <f>'07_Base_Limpia'!J75</f>
        <v>0</v>
      </c>
      <c r="G75" s="7">
        <f t="shared" si="2"/>
        <v>2</v>
      </c>
      <c r="H75" s="7" t="str">
        <f>'07_Base_Limpia'!L75</f>
        <v>Gana</v>
      </c>
      <c r="I75" s="7">
        <f t="shared" si="3"/>
        <v>3</v>
      </c>
    </row>
    <row r="76" spans="1:9" ht="15" customHeight="1">
      <c r="A76" s="7">
        <f>'07_Base_Limpia'!B76</f>
        <v>2022</v>
      </c>
      <c r="B76" s="7" t="str">
        <f>'07_Base_Limpia'!G76</f>
        <v>France</v>
      </c>
      <c r="C76" s="7" t="str">
        <f>'07_Base_Limpia'!H76</f>
        <v>Denmark</v>
      </c>
      <c r="D76" s="7" t="s">
        <v>1008</v>
      </c>
      <c r="E76" s="7">
        <f>'07_Base_Limpia'!I76</f>
        <v>2</v>
      </c>
      <c r="F76" s="7">
        <f>'07_Base_Limpia'!J76</f>
        <v>1</v>
      </c>
      <c r="G76" s="7">
        <f t="shared" si="2"/>
        <v>1</v>
      </c>
      <c r="H76" s="7" t="str">
        <f>'07_Base_Limpia'!L76</f>
        <v>Gana</v>
      </c>
      <c r="I76" s="7">
        <f t="shared" si="3"/>
        <v>3</v>
      </c>
    </row>
    <row r="77" spans="1:9" ht="15" customHeight="1">
      <c r="A77" s="7">
        <f>'07_Base_Limpia'!B77</f>
        <v>2022</v>
      </c>
      <c r="B77" s="7" t="str">
        <f>'07_Base_Limpia'!G77</f>
        <v>Argentina</v>
      </c>
      <c r="C77" s="7" t="str">
        <f>'07_Base_Limpia'!H77</f>
        <v>Mexico</v>
      </c>
      <c r="D77" s="7" t="s">
        <v>1008</v>
      </c>
      <c r="E77" s="7">
        <f>'07_Base_Limpia'!I77</f>
        <v>2</v>
      </c>
      <c r="F77" s="7">
        <f>'07_Base_Limpia'!J77</f>
        <v>0</v>
      </c>
      <c r="G77" s="7">
        <f t="shared" si="2"/>
        <v>2</v>
      </c>
      <c r="H77" s="7" t="str">
        <f>'07_Base_Limpia'!L77</f>
        <v>Gana</v>
      </c>
      <c r="I77" s="7">
        <f t="shared" si="3"/>
        <v>3</v>
      </c>
    </row>
    <row r="78" spans="1:9" ht="15" customHeight="1">
      <c r="A78" s="7">
        <f>'07_Base_Limpia'!B78</f>
        <v>2022</v>
      </c>
      <c r="B78" s="7" t="str">
        <f>'07_Base_Limpia'!G78</f>
        <v>Japan</v>
      </c>
      <c r="C78" s="7" t="str">
        <f>'07_Base_Limpia'!H78</f>
        <v>Costa Rica</v>
      </c>
      <c r="D78" s="7" t="s">
        <v>1008</v>
      </c>
      <c r="E78" s="7">
        <f>'07_Base_Limpia'!I78</f>
        <v>0</v>
      </c>
      <c r="F78" s="7">
        <f>'07_Base_Limpia'!J78</f>
        <v>1</v>
      </c>
      <c r="G78" s="7">
        <f t="shared" si="2"/>
        <v>-1</v>
      </c>
      <c r="H78" s="7" t="str">
        <f>'07_Base_Limpia'!L78</f>
        <v>Pierde</v>
      </c>
      <c r="I78" s="7">
        <f t="shared" si="3"/>
        <v>0</v>
      </c>
    </row>
    <row r="79" spans="1:9" ht="15" customHeight="1">
      <c r="A79" s="7">
        <f>'07_Base_Limpia'!B79</f>
        <v>2022</v>
      </c>
      <c r="B79" s="7" t="str">
        <f>'07_Base_Limpia'!G79</f>
        <v>Belgium</v>
      </c>
      <c r="C79" s="7" t="str">
        <f>'07_Base_Limpia'!H79</f>
        <v>Morocco</v>
      </c>
      <c r="D79" s="7" t="s">
        <v>1008</v>
      </c>
      <c r="E79" s="7">
        <f>'07_Base_Limpia'!I79</f>
        <v>0</v>
      </c>
      <c r="F79" s="7">
        <f>'07_Base_Limpia'!J79</f>
        <v>2</v>
      </c>
      <c r="G79" s="7">
        <f t="shared" si="2"/>
        <v>-2</v>
      </c>
      <c r="H79" s="7" t="str">
        <f>'07_Base_Limpia'!L79</f>
        <v>Pierde</v>
      </c>
      <c r="I79" s="7">
        <f t="shared" si="3"/>
        <v>0</v>
      </c>
    </row>
    <row r="80" spans="1:9" ht="15" customHeight="1">
      <c r="A80" s="7">
        <f>'07_Base_Limpia'!B80</f>
        <v>2022</v>
      </c>
      <c r="B80" s="7" t="str">
        <f>'07_Base_Limpia'!G80</f>
        <v>Croatia</v>
      </c>
      <c r="C80" s="7" t="str">
        <f>'07_Base_Limpia'!H80</f>
        <v>Canada</v>
      </c>
      <c r="D80" s="7" t="s">
        <v>1008</v>
      </c>
      <c r="E80" s="7">
        <f>'07_Base_Limpia'!I80</f>
        <v>4</v>
      </c>
      <c r="F80" s="7">
        <f>'07_Base_Limpia'!J80</f>
        <v>1</v>
      </c>
      <c r="G80" s="7">
        <f t="shared" si="2"/>
        <v>3</v>
      </c>
      <c r="H80" s="7" t="str">
        <f>'07_Base_Limpia'!L80</f>
        <v>Gana</v>
      </c>
      <c r="I80" s="7">
        <f t="shared" si="3"/>
        <v>3</v>
      </c>
    </row>
    <row r="81" spans="1:9" ht="15" customHeight="1">
      <c r="A81" s="7">
        <f>'07_Base_Limpia'!B81</f>
        <v>2022</v>
      </c>
      <c r="B81" s="7" t="str">
        <f>'07_Base_Limpia'!G81</f>
        <v>Spain</v>
      </c>
      <c r="C81" s="7" t="str">
        <f>'07_Base_Limpia'!H81</f>
        <v>Germany</v>
      </c>
      <c r="D81" s="7" t="s">
        <v>1008</v>
      </c>
      <c r="E81" s="7">
        <f>'07_Base_Limpia'!I81</f>
        <v>1</v>
      </c>
      <c r="F81" s="7">
        <f>'07_Base_Limpia'!J81</f>
        <v>1</v>
      </c>
      <c r="G81" s="7">
        <f t="shared" si="2"/>
        <v>0</v>
      </c>
      <c r="H81" s="7" t="str">
        <f>'07_Base_Limpia'!L81</f>
        <v>Empata</v>
      </c>
      <c r="I81" s="7">
        <f t="shared" si="3"/>
        <v>1</v>
      </c>
    </row>
    <row r="82" spans="1:9" ht="15" customHeight="1">
      <c r="A82" s="7">
        <f>'07_Base_Limpia'!B82</f>
        <v>2022</v>
      </c>
      <c r="B82" s="7" t="str">
        <f>'07_Base_Limpia'!G82</f>
        <v>Cameroon</v>
      </c>
      <c r="C82" s="7" t="str">
        <f>'07_Base_Limpia'!H82</f>
        <v>Serbia</v>
      </c>
      <c r="D82" s="7" t="s">
        <v>1008</v>
      </c>
      <c r="E82" s="7">
        <f>'07_Base_Limpia'!I82</f>
        <v>3</v>
      </c>
      <c r="F82" s="7">
        <f>'07_Base_Limpia'!J82</f>
        <v>3</v>
      </c>
      <c r="G82" s="7">
        <f t="shared" si="2"/>
        <v>0</v>
      </c>
      <c r="H82" s="7" t="str">
        <f>'07_Base_Limpia'!L82</f>
        <v>Empata</v>
      </c>
      <c r="I82" s="7">
        <f t="shared" si="3"/>
        <v>1</v>
      </c>
    </row>
    <row r="83" spans="1:9" ht="15" customHeight="1">
      <c r="A83" s="7">
        <f>'07_Base_Limpia'!B83</f>
        <v>2022</v>
      </c>
      <c r="B83" s="7" t="str">
        <f>'07_Base_Limpia'!G83</f>
        <v>South Korea</v>
      </c>
      <c r="C83" s="7" t="str">
        <f>'07_Base_Limpia'!H83</f>
        <v>Ghana</v>
      </c>
      <c r="D83" s="7" t="s">
        <v>1008</v>
      </c>
      <c r="E83" s="7">
        <f>'07_Base_Limpia'!I83</f>
        <v>2</v>
      </c>
      <c r="F83" s="7">
        <f>'07_Base_Limpia'!J83</f>
        <v>3</v>
      </c>
      <c r="G83" s="7">
        <f t="shared" si="2"/>
        <v>-1</v>
      </c>
      <c r="H83" s="7" t="str">
        <f>'07_Base_Limpia'!L83</f>
        <v>Pierde</v>
      </c>
      <c r="I83" s="7">
        <f t="shared" si="3"/>
        <v>0</v>
      </c>
    </row>
    <row r="84" spans="1:9" ht="15" customHeight="1">
      <c r="A84" s="7">
        <f>'07_Base_Limpia'!B84</f>
        <v>2022</v>
      </c>
      <c r="B84" s="7" t="str">
        <f>'07_Base_Limpia'!G84</f>
        <v>Brazil</v>
      </c>
      <c r="C84" s="7" t="str">
        <f>'07_Base_Limpia'!H84</f>
        <v>Switzerland</v>
      </c>
      <c r="D84" s="7" t="s">
        <v>1008</v>
      </c>
      <c r="E84" s="7">
        <f>'07_Base_Limpia'!I84</f>
        <v>1</v>
      </c>
      <c r="F84" s="7">
        <f>'07_Base_Limpia'!J84</f>
        <v>0</v>
      </c>
      <c r="G84" s="7">
        <f t="shared" si="2"/>
        <v>1</v>
      </c>
      <c r="H84" s="7" t="str">
        <f>'07_Base_Limpia'!L84</f>
        <v>Gana</v>
      </c>
      <c r="I84" s="7">
        <f t="shared" si="3"/>
        <v>3</v>
      </c>
    </row>
    <row r="85" spans="1:9" ht="15" customHeight="1">
      <c r="A85" s="7">
        <f>'07_Base_Limpia'!B85</f>
        <v>2022</v>
      </c>
      <c r="B85" s="7" t="str">
        <f>'07_Base_Limpia'!G85</f>
        <v>Portugal</v>
      </c>
      <c r="C85" s="7" t="str">
        <f>'07_Base_Limpia'!H85</f>
        <v>Uruguay</v>
      </c>
      <c r="D85" s="7" t="s">
        <v>1008</v>
      </c>
      <c r="E85" s="7">
        <f>'07_Base_Limpia'!I85</f>
        <v>2</v>
      </c>
      <c r="F85" s="7">
        <f>'07_Base_Limpia'!J85</f>
        <v>0</v>
      </c>
      <c r="G85" s="7">
        <f t="shared" si="2"/>
        <v>2</v>
      </c>
      <c r="H85" s="7" t="str">
        <f>'07_Base_Limpia'!L85</f>
        <v>Gana</v>
      </c>
      <c r="I85" s="7">
        <f t="shared" si="3"/>
        <v>3</v>
      </c>
    </row>
    <row r="86" spans="1:9" ht="15" customHeight="1">
      <c r="A86" s="7">
        <f>'07_Base_Limpia'!B86</f>
        <v>2022</v>
      </c>
      <c r="B86" s="7" t="str">
        <f>'07_Base_Limpia'!G86</f>
        <v>Ecuador</v>
      </c>
      <c r="C86" s="7" t="str">
        <f>'07_Base_Limpia'!H86</f>
        <v>Senegal</v>
      </c>
      <c r="D86" s="7" t="s">
        <v>1008</v>
      </c>
      <c r="E86" s="7">
        <f>'07_Base_Limpia'!I86</f>
        <v>1</v>
      </c>
      <c r="F86" s="7">
        <f>'07_Base_Limpia'!J86</f>
        <v>2</v>
      </c>
      <c r="G86" s="7">
        <f t="shared" si="2"/>
        <v>-1</v>
      </c>
      <c r="H86" s="7" t="str">
        <f>'07_Base_Limpia'!L86</f>
        <v>Pierde</v>
      </c>
      <c r="I86" s="7">
        <f t="shared" si="3"/>
        <v>0</v>
      </c>
    </row>
    <row r="87" spans="1:9" ht="15" customHeight="1">
      <c r="A87" s="7">
        <f>'07_Base_Limpia'!B87</f>
        <v>2022</v>
      </c>
      <c r="B87" s="7" t="str">
        <f>'07_Base_Limpia'!G87</f>
        <v>Netherlands</v>
      </c>
      <c r="C87" s="7" t="str">
        <f>'07_Base_Limpia'!H87</f>
        <v>Qatar</v>
      </c>
      <c r="D87" s="7" t="s">
        <v>1008</v>
      </c>
      <c r="E87" s="7">
        <f>'07_Base_Limpia'!I87</f>
        <v>2</v>
      </c>
      <c r="F87" s="7">
        <f>'07_Base_Limpia'!J87</f>
        <v>0</v>
      </c>
      <c r="G87" s="7">
        <f t="shared" si="2"/>
        <v>2</v>
      </c>
      <c r="H87" s="7" t="str">
        <f>'07_Base_Limpia'!L87</f>
        <v>Gana</v>
      </c>
      <c r="I87" s="7">
        <f t="shared" si="3"/>
        <v>3</v>
      </c>
    </row>
    <row r="88" spans="1:9" ht="15" customHeight="1">
      <c r="A88" s="7">
        <f>'07_Base_Limpia'!B88</f>
        <v>2022</v>
      </c>
      <c r="B88" s="7" t="str">
        <f>'07_Base_Limpia'!G88</f>
        <v>Iran</v>
      </c>
      <c r="C88" s="7" t="str">
        <f>'07_Base_Limpia'!H88</f>
        <v>United States</v>
      </c>
      <c r="D88" s="7" t="s">
        <v>1008</v>
      </c>
      <c r="E88" s="7">
        <f>'07_Base_Limpia'!I88</f>
        <v>0</v>
      </c>
      <c r="F88" s="7">
        <f>'07_Base_Limpia'!J88</f>
        <v>1</v>
      </c>
      <c r="G88" s="7">
        <f t="shared" si="2"/>
        <v>-1</v>
      </c>
      <c r="H88" s="7" t="str">
        <f>'07_Base_Limpia'!L88</f>
        <v>Pierde</v>
      </c>
      <c r="I88" s="7">
        <f t="shared" si="3"/>
        <v>0</v>
      </c>
    </row>
    <row r="89" spans="1:9" ht="15" customHeight="1">
      <c r="A89" s="7">
        <f>'07_Base_Limpia'!B89</f>
        <v>2022</v>
      </c>
      <c r="B89" s="7" t="str">
        <f>'07_Base_Limpia'!G89</f>
        <v>Wales</v>
      </c>
      <c r="C89" s="7" t="str">
        <f>'07_Base_Limpia'!H89</f>
        <v>England</v>
      </c>
      <c r="D89" s="7" t="s">
        <v>1008</v>
      </c>
      <c r="E89" s="7">
        <f>'07_Base_Limpia'!I89</f>
        <v>0</v>
      </c>
      <c r="F89" s="7">
        <f>'07_Base_Limpia'!J89</f>
        <v>3</v>
      </c>
      <c r="G89" s="7">
        <f t="shared" si="2"/>
        <v>-3</v>
      </c>
      <c r="H89" s="7" t="str">
        <f>'07_Base_Limpia'!L89</f>
        <v>Pierde</v>
      </c>
      <c r="I89" s="7">
        <f t="shared" si="3"/>
        <v>0</v>
      </c>
    </row>
    <row r="90" spans="1:9" ht="15" customHeight="1">
      <c r="A90" s="7">
        <f>'07_Base_Limpia'!B90</f>
        <v>2022</v>
      </c>
      <c r="B90" s="7" t="str">
        <f>'07_Base_Limpia'!G90</f>
        <v>Australia</v>
      </c>
      <c r="C90" s="7" t="str">
        <f>'07_Base_Limpia'!H90</f>
        <v>Denmark</v>
      </c>
      <c r="D90" s="7" t="s">
        <v>1008</v>
      </c>
      <c r="E90" s="7">
        <f>'07_Base_Limpia'!I90</f>
        <v>1</v>
      </c>
      <c r="F90" s="7">
        <f>'07_Base_Limpia'!J90</f>
        <v>0</v>
      </c>
      <c r="G90" s="7">
        <f t="shared" si="2"/>
        <v>1</v>
      </c>
      <c r="H90" s="7" t="str">
        <f>'07_Base_Limpia'!L90</f>
        <v>Gana</v>
      </c>
      <c r="I90" s="7">
        <f t="shared" si="3"/>
        <v>3</v>
      </c>
    </row>
    <row r="91" spans="1:9" ht="15" customHeight="1">
      <c r="A91" s="7">
        <f>'07_Base_Limpia'!B91</f>
        <v>2022</v>
      </c>
      <c r="B91" s="7" t="str">
        <f>'07_Base_Limpia'!G91</f>
        <v>Tunisia</v>
      </c>
      <c r="C91" s="7" t="str">
        <f>'07_Base_Limpia'!H91</f>
        <v>France</v>
      </c>
      <c r="D91" s="7" t="s">
        <v>1008</v>
      </c>
      <c r="E91" s="7">
        <f>'07_Base_Limpia'!I91</f>
        <v>1</v>
      </c>
      <c r="F91" s="7">
        <f>'07_Base_Limpia'!J91</f>
        <v>0</v>
      </c>
      <c r="G91" s="7">
        <f t="shared" si="2"/>
        <v>1</v>
      </c>
      <c r="H91" s="7" t="str">
        <f>'07_Base_Limpia'!L91</f>
        <v>Gana</v>
      </c>
      <c r="I91" s="7">
        <f t="shared" si="3"/>
        <v>3</v>
      </c>
    </row>
    <row r="92" spans="1:9" ht="15" customHeight="1">
      <c r="A92" s="7">
        <f>'07_Base_Limpia'!B92</f>
        <v>2022</v>
      </c>
      <c r="B92" s="7" t="str">
        <f>'07_Base_Limpia'!G92</f>
        <v>Poland</v>
      </c>
      <c r="C92" s="7" t="str">
        <f>'07_Base_Limpia'!H92</f>
        <v>Argentina</v>
      </c>
      <c r="D92" s="7" t="s">
        <v>1008</v>
      </c>
      <c r="E92" s="7">
        <f>'07_Base_Limpia'!I92</f>
        <v>0</v>
      </c>
      <c r="F92" s="7">
        <f>'07_Base_Limpia'!J92</f>
        <v>2</v>
      </c>
      <c r="G92" s="7">
        <f t="shared" si="2"/>
        <v>-2</v>
      </c>
      <c r="H92" s="7" t="str">
        <f>'07_Base_Limpia'!L92</f>
        <v>Pierde</v>
      </c>
      <c r="I92" s="7">
        <f t="shared" si="3"/>
        <v>0</v>
      </c>
    </row>
    <row r="93" spans="1:9" ht="15" customHeight="1">
      <c r="A93" s="7">
        <f>'07_Base_Limpia'!B93</f>
        <v>2022</v>
      </c>
      <c r="B93" s="7" t="str">
        <f>'07_Base_Limpia'!G93</f>
        <v>Saudi Arabia</v>
      </c>
      <c r="C93" s="7" t="str">
        <f>'07_Base_Limpia'!H93</f>
        <v>Mexico</v>
      </c>
      <c r="D93" s="7" t="s">
        <v>1008</v>
      </c>
      <c r="E93" s="7">
        <f>'07_Base_Limpia'!I93</f>
        <v>1</v>
      </c>
      <c r="F93" s="7">
        <f>'07_Base_Limpia'!J93</f>
        <v>2</v>
      </c>
      <c r="G93" s="7">
        <f t="shared" si="2"/>
        <v>-1</v>
      </c>
      <c r="H93" s="7" t="str">
        <f>'07_Base_Limpia'!L93</f>
        <v>Pierde</v>
      </c>
      <c r="I93" s="7">
        <f t="shared" si="3"/>
        <v>0</v>
      </c>
    </row>
    <row r="94" spans="1:9" ht="15" customHeight="1">
      <c r="A94" s="7">
        <f>'07_Base_Limpia'!B94</f>
        <v>2022</v>
      </c>
      <c r="B94" s="7" t="str">
        <f>'07_Base_Limpia'!G94</f>
        <v>Canada</v>
      </c>
      <c r="C94" s="7" t="str">
        <f>'07_Base_Limpia'!H94</f>
        <v>Morocco</v>
      </c>
      <c r="D94" s="7" t="s">
        <v>1008</v>
      </c>
      <c r="E94" s="7">
        <f>'07_Base_Limpia'!I94</f>
        <v>1</v>
      </c>
      <c r="F94" s="7">
        <f>'07_Base_Limpia'!J94</f>
        <v>2</v>
      </c>
      <c r="G94" s="7">
        <f t="shared" si="2"/>
        <v>-1</v>
      </c>
      <c r="H94" s="7" t="str">
        <f>'07_Base_Limpia'!L94</f>
        <v>Pierde</v>
      </c>
      <c r="I94" s="7">
        <f t="shared" si="3"/>
        <v>0</v>
      </c>
    </row>
    <row r="95" spans="1:9" ht="15" customHeight="1">
      <c r="A95" s="7">
        <f>'07_Base_Limpia'!B95</f>
        <v>2022</v>
      </c>
      <c r="B95" s="7" t="str">
        <f>'07_Base_Limpia'!G95</f>
        <v>Croatia</v>
      </c>
      <c r="C95" s="7" t="str">
        <f>'07_Base_Limpia'!H95</f>
        <v>Belgium</v>
      </c>
      <c r="D95" s="7" t="s">
        <v>1008</v>
      </c>
      <c r="E95" s="7">
        <f>'07_Base_Limpia'!I95</f>
        <v>0</v>
      </c>
      <c r="F95" s="7">
        <f>'07_Base_Limpia'!J95</f>
        <v>0</v>
      </c>
      <c r="G95" s="7">
        <f t="shared" si="2"/>
        <v>0</v>
      </c>
      <c r="H95" s="7" t="str">
        <f>'07_Base_Limpia'!L95</f>
        <v>Empata</v>
      </c>
      <c r="I95" s="7">
        <f t="shared" si="3"/>
        <v>1</v>
      </c>
    </row>
    <row r="96" spans="1:9" ht="15" customHeight="1">
      <c r="A96" s="7">
        <f>'07_Base_Limpia'!B96</f>
        <v>2022</v>
      </c>
      <c r="B96" s="7" t="str">
        <f>'07_Base_Limpia'!G96</f>
        <v>Costa Rica</v>
      </c>
      <c r="C96" s="7" t="str">
        <f>'07_Base_Limpia'!H96</f>
        <v>Germany</v>
      </c>
      <c r="D96" s="7" t="s">
        <v>1008</v>
      </c>
      <c r="E96" s="7">
        <f>'07_Base_Limpia'!I96</f>
        <v>2</v>
      </c>
      <c r="F96" s="7">
        <f>'07_Base_Limpia'!J96</f>
        <v>4</v>
      </c>
      <c r="G96" s="7">
        <f t="shared" si="2"/>
        <v>-2</v>
      </c>
      <c r="H96" s="7" t="str">
        <f>'07_Base_Limpia'!L96</f>
        <v>Pierde</v>
      </c>
      <c r="I96" s="7">
        <f t="shared" si="3"/>
        <v>0</v>
      </c>
    </row>
    <row r="97" spans="1:9" ht="15" customHeight="1">
      <c r="A97" s="7">
        <f>'07_Base_Limpia'!B97</f>
        <v>2022</v>
      </c>
      <c r="B97" s="7" t="str">
        <f>'07_Base_Limpia'!G97</f>
        <v>Japan</v>
      </c>
      <c r="C97" s="7" t="str">
        <f>'07_Base_Limpia'!H97</f>
        <v>Spain</v>
      </c>
      <c r="D97" s="7" t="s">
        <v>1008</v>
      </c>
      <c r="E97" s="7">
        <f>'07_Base_Limpia'!I97</f>
        <v>2</v>
      </c>
      <c r="F97" s="7">
        <f>'07_Base_Limpia'!J97</f>
        <v>1</v>
      </c>
      <c r="G97" s="7">
        <f t="shared" si="2"/>
        <v>1</v>
      </c>
      <c r="H97" s="7" t="str">
        <f>'07_Base_Limpia'!L97</f>
        <v>Gana</v>
      </c>
      <c r="I97" s="7">
        <f t="shared" si="3"/>
        <v>3</v>
      </c>
    </row>
    <row r="98" spans="1:9" ht="15" customHeight="1">
      <c r="A98" s="7">
        <f>'07_Base_Limpia'!B98</f>
        <v>2022</v>
      </c>
      <c r="B98" s="7" t="str">
        <f>'07_Base_Limpia'!G98</f>
        <v>Ghana</v>
      </c>
      <c r="C98" s="7" t="str">
        <f>'07_Base_Limpia'!H98</f>
        <v>Uruguay</v>
      </c>
      <c r="D98" s="7" t="s">
        <v>1008</v>
      </c>
      <c r="E98" s="7">
        <f>'07_Base_Limpia'!I98</f>
        <v>0</v>
      </c>
      <c r="F98" s="7">
        <f>'07_Base_Limpia'!J98</f>
        <v>2</v>
      </c>
      <c r="G98" s="7">
        <f t="shared" si="2"/>
        <v>-2</v>
      </c>
      <c r="H98" s="7" t="str">
        <f>'07_Base_Limpia'!L98</f>
        <v>Pierde</v>
      </c>
      <c r="I98" s="7">
        <f t="shared" si="3"/>
        <v>0</v>
      </c>
    </row>
    <row r="99" spans="1:9" ht="15" customHeight="1">
      <c r="A99" s="7">
        <f>'07_Base_Limpia'!B99</f>
        <v>2022</v>
      </c>
      <c r="B99" s="7" t="str">
        <f>'07_Base_Limpia'!G99</f>
        <v>South Korea</v>
      </c>
      <c r="C99" s="7" t="str">
        <f>'07_Base_Limpia'!H99</f>
        <v>Portugal</v>
      </c>
      <c r="D99" s="7" t="s">
        <v>1008</v>
      </c>
      <c r="E99" s="7">
        <f>'07_Base_Limpia'!I99</f>
        <v>2</v>
      </c>
      <c r="F99" s="7">
        <f>'07_Base_Limpia'!J99</f>
        <v>1</v>
      </c>
      <c r="G99" s="7">
        <f t="shared" si="2"/>
        <v>1</v>
      </c>
      <c r="H99" s="7" t="str">
        <f>'07_Base_Limpia'!L99</f>
        <v>Gana</v>
      </c>
      <c r="I99" s="7">
        <f t="shared" si="3"/>
        <v>3</v>
      </c>
    </row>
    <row r="100" spans="1:9" ht="15" customHeight="1">
      <c r="A100" s="7">
        <f>'07_Base_Limpia'!B100</f>
        <v>2022</v>
      </c>
      <c r="B100" s="7" t="str">
        <f>'07_Base_Limpia'!G100</f>
        <v>Cameroon</v>
      </c>
      <c r="C100" s="7" t="str">
        <f>'07_Base_Limpia'!H100</f>
        <v>Brazil</v>
      </c>
      <c r="D100" s="7" t="s">
        <v>1008</v>
      </c>
      <c r="E100" s="7">
        <f>'07_Base_Limpia'!I100</f>
        <v>1</v>
      </c>
      <c r="F100" s="7">
        <f>'07_Base_Limpia'!J100</f>
        <v>0</v>
      </c>
      <c r="G100" s="7">
        <f t="shared" si="2"/>
        <v>1</v>
      </c>
      <c r="H100" s="7" t="str">
        <f>'07_Base_Limpia'!L100</f>
        <v>Gana</v>
      </c>
      <c r="I100" s="7">
        <f t="shared" si="3"/>
        <v>3</v>
      </c>
    </row>
    <row r="101" spans="1:9" ht="15" customHeight="1">
      <c r="A101" s="7">
        <f>'07_Base_Limpia'!B101</f>
        <v>2022</v>
      </c>
      <c r="B101" s="7" t="str">
        <f>'07_Base_Limpia'!G101</f>
        <v>Serbia</v>
      </c>
      <c r="C101" s="7" t="str">
        <f>'07_Base_Limpia'!H101</f>
        <v>Switzerland</v>
      </c>
      <c r="D101" s="7" t="s">
        <v>1008</v>
      </c>
      <c r="E101" s="7">
        <f>'07_Base_Limpia'!I101</f>
        <v>2</v>
      </c>
      <c r="F101" s="7">
        <f>'07_Base_Limpia'!J101</f>
        <v>3</v>
      </c>
      <c r="G101" s="7">
        <f t="shared" si="2"/>
        <v>-1</v>
      </c>
      <c r="H101" s="7" t="str">
        <f>'07_Base_Limpia'!L101</f>
        <v>Pierde</v>
      </c>
      <c r="I101" s="7">
        <f t="shared" si="3"/>
        <v>0</v>
      </c>
    </row>
    <row r="102" spans="1:9" ht="15" customHeight="1">
      <c r="A102" s="7">
        <f>'07_Base_Limpia'!B102</f>
        <v>2026</v>
      </c>
      <c r="B102" s="7" t="str">
        <f>'07_Base_Limpia'!G102</f>
        <v>Mexico</v>
      </c>
      <c r="C102" s="7" t="str">
        <f>'07_Base_Limpia'!H102</f>
        <v>South Africa</v>
      </c>
      <c r="D102" s="7" t="s">
        <v>1008</v>
      </c>
      <c r="E102" s="7">
        <f>'07_Base_Limpia'!I102</f>
        <v>2</v>
      </c>
      <c r="F102" s="7">
        <f>'07_Base_Limpia'!J102</f>
        <v>0</v>
      </c>
      <c r="G102" s="7">
        <f t="shared" si="2"/>
        <v>2</v>
      </c>
      <c r="H102" s="7" t="str">
        <f>'07_Base_Limpia'!L102</f>
        <v>Gana</v>
      </c>
      <c r="I102" s="7">
        <f t="shared" si="3"/>
        <v>3</v>
      </c>
    </row>
    <row r="103" spans="1:9" ht="15" customHeight="1">
      <c r="A103" s="7">
        <f>'07_Base_Limpia'!B103</f>
        <v>2026</v>
      </c>
      <c r="B103" s="7" t="str">
        <f>'07_Base_Limpia'!G103</f>
        <v>South Korea</v>
      </c>
      <c r="C103" s="7" t="str">
        <f>'07_Base_Limpia'!H103</f>
        <v>Czechia</v>
      </c>
      <c r="D103" s="7" t="s">
        <v>1008</v>
      </c>
      <c r="E103" s="7">
        <f>'07_Base_Limpia'!I103</f>
        <v>2</v>
      </c>
      <c r="F103" s="7">
        <f>'07_Base_Limpia'!J103</f>
        <v>1</v>
      </c>
      <c r="G103" s="7">
        <f t="shared" si="2"/>
        <v>1</v>
      </c>
      <c r="H103" s="7" t="str">
        <f>'07_Base_Limpia'!L103</f>
        <v>Gana</v>
      </c>
      <c r="I103" s="7">
        <f t="shared" si="3"/>
        <v>3</v>
      </c>
    </row>
    <row r="104" spans="1:9" ht="15" customHeight="1">
      <c r="A104" s="7">
        <f>'07_Base_Limpia'!B104</f>
        <v>2026</v>
      </c>
      <c r="B104" s="7" t="str">
        <f>'07_Base_Limpia'!G104</f>
        <v>Canada</v>
      </c>
      <c r="C104" s="7" t="str">
        <f>'07_Base_Limpia'!H104</f>
        <v>Bosnia and Herzegovina</v>
      </c>
      <c r="D104" s="7" t="s">
        <v>1008</v>
      </c>
      <c r="E104" s="7">
        <f>'07_Base_Limpia'!I104</f>
        <v>1</v>
      </c>
      <c r="F104" s="7">
        <f>'07_Base_Limpia'!J104</f>
        <v>1</v>
      </c>
      <c r="G104" s="7">
        <f t="shared" si="2"/>
        <v>0</v>
      </c>
      <c r="H104" s="7" t="str">
        <f>'07_Base_Limpia'!L104</f>
        <v>Empata</v>
      </c>
      <c r="I104" s="7">
        <f t="shared" si="3"/>
        <v>1</v>
      </c>
    </row>
    <row r="105" spans="1:9" ht="15" customHeight="1">
      <c r="A105" s="7">
        <f>'07_Base_Limpia'!B105</f>
        <v>2026</v>
      </c>
      <c r="B105" s="7" t="str">
        <f>'07_Base_Limpia'!G105</f>
        <v>Qatar</v>
      </c>
      <c r="C105" s="7" t="str">
        <f>'07_Base_Limpia'!H105</f>
        <v>Switzerland</v>
      </c>
      <c r="D105" s="7" t="s">
        <v>1008</v>
      </c>
      <c r="E105" s="7">
        <f>'07_Base_Limpia'!I105</f>
        <v>1</v>
      </c>
      <c r="F105" s="7">
        <f>'07_Base_Limpia'!J105</f>
        <v>1</v>
      </c>
      <c r="G105" s="7">
        <f t="shared" si="2"/>
        <v>0</v>
      </c>
      <c r="H105" s="7" t="str">
        <f>'07_Base_Limpia'!L105</f>
        <v>Empata</v>
      </c>
      <c r="I105" s="7">
        <f t="shared" si="3"/>
        <v>1</v>
      </c>
    </row>
    <row r="106" spans="1:9" ht="15" customHeight="1">
      <c r="A106" s="7">
        <f>'07_Base_Limpia'!B106</f>
        <v>2026</v>
      </c>
      <c r="B106" s="7" t="str">
        <f>'07_Base_Limpia'!G106</f>
        <v>Brazil</v>
      </c>
      <c r="C106" s="7" t="str">
        <f>'07_Base_Limpia'!H106</f>
        <v>Morocco</v>
      </c>
      <c r="D106" s="7" t="s">
        <v>1008</v>
      </c>
      <c r="E106" s="7">
        <f>'07_Base_Limpia'!I106</f>
        <v>1</v>
      </c>
      <c r="F106" s="7">
        <f>'07_Base_Limpia'!J106</f>
        <v>1</v>
      </c>
      <c r="G106" s="7">
        <f t="shared" si="2"/>
        <v>0</v>
      </c>
      <c r="H106" s="7" t="str">
        <f>'07_Base_Limpia'!L106</f>
        <v>Empata</v>
      </c>
      <c r="I106" s="7">
        <f t="shared" si="3"/>
        <v>1</v>
      </c>
    </row>
    <row r="107" spans="1:9" ht="15" customHeight="1">
      <c r="A107" s="7">
        <f>'07_Base_Limpia'!B107</f>
        <v>2026</v>
      </c>
      <c r="B107" s="7" t="str">
        <f>'07_Base_Limpia'!G107</f>
        <v>Haiti</v>
      </c>
      <c r="C107" s="7" t="str">
        <f>'07_Base_Limpia'!H107</f>
        <v>Scotland</v>
      </c>
      <c r="D107" s="7" t="s">
        <v>1008</v>
      </c>
      <c r="E107" s="7">
        <f>'07_Base_Limpia'!I107</f>
        <v>0</v>
      </c>
      <c r="F107" s="7">
        <f>'07_Base_Limpia'!J107</f>
        <v>1</v>
      </c>
      <c r="G107" s="7">
        <f t="shared" si="2"/>
        <v>-1</v>
      </c>
      <c r="H107" s="7" t="str">
        <f>'07_Base_Limpia'!L107</f>
        <v>Pierde</v>
      </c>
      <c r="I107" s="7">
        <f t="shared" si="3"/>
        <v>0</v>
      </c>
    </row>
    <row r="108" spans="1:9" ht="15" customHeight="1">
      <c r="A108" s="7">
        <f>'07_Base_Limpia'!B108</f>
        <v>2026</v>
      </c>
      <c r="B108" s="7" t="str">
        <f>'07_Base_Limpia'!G108</f>
        <v>United States</v>
      </c>
      <c r="C108" s="7" t="str">
        <f>'07_Base_Limpia'!H108</f>
        <v>Paraguay</v>
      </c>
      <c r="D108" s="7" t="s">
        <v>1008</v>
      </c>
      <c r="E108" s="7">
        <f>'07_Base_Limpia'!I108</f>
        <v>4</v>
      </c>
      <c r="F108" s="7">
        <f>'07_Base_Limpia'!J108</f>
        <v>1</v>
      </c>
      <c r="G108" s="7">
        <f t="shared" si="2"/>
        <v>3</v>
      </c>
      <c r="H108" s="7" t="str">
        <f>'07_Base_Limpia'!L108</f>
        <v>Gana</v>
      </c>
      <c r="I108" s="7">
        <f t="shared" si="3"/>
        <v>3</v>
      </c>
    </row>
    <row r="109" spans="1:9" ht="15" customHeight="1">
      <c r="A109" s="7">
        <f>'07_Base_Limpia'!B109</f>
        <v>2026</v>
      </c>
      <c r="B109" s="7" t="str">
        <f>'07_Base_Limpia'!G109</f>
        <v>Australia</v>
      </c>
      <c r="C109" s="7" t="str">
        <f>'07_Base_Limpia'!H109</f>
        <v>Turkey</v>
      </c>
      <c r="D109" s="7" t="s">
        <v>1008</v>
      </c>
      <c r="E109" s="7">
        <f>'07_Base_Limpia'!I109</f>
        <v>2</v>
      </c>
      <c r="F109" s="7">
        <f>'07_Base_Limpia'!J109</f>
        <v>0</v>
      </c>
      <c r="G109" s="7">
        <f t="shared" si="2"/>
        <v>2</v>
      </c>
      <c r="H109" s="7" t="str">
        <f>'07_Base_Limpia'!L109</f>
        <v>Gana</v>
      </c>
      <c r="I109" s="7">
        <f t="shared" si="3"/>
        <v>3</v>
      </c>
    </row>
    <row r="110" spans="1:9" ht="15" customHeight="1">
      <c r="A110" s="7">
        <f>'07_Base_Limpia'!B110</f>
        <v>2026</v>
      </c>
      <c r="B110" s="7" t="str">
        <f>'07_Base_Limpia'!G110</f>
        <v>Germany</v>
      </c>
      <c r="C110" s="7" t="str">
        <f>'07_Base_Limpia'!H110</f>
        <v>Curacao</v>
      </c>
      <c r="D110" s="7" t="s">
        <v>1008</v>
      </c>
      <c r="E110" s="7">
        <f>'07_Base_Limpia'!I110</f>
        <v>7</v>
      </c>
      <c r="F110" s="7">
        <f>'07_Base_Limpia'!J110</f>
        <v>1</v>
      </c>
      <c r="G110" s="7">
        <f t="shared" si="2"/>
        <v>6</v>
      </c>
      <c r="H110" s="7" t="str">
        <f>'07_Base_Limpia'!L110</f>
        <v>Gana</v>
      </c>
      <c r="I110" s="7">
        <f t="shared" si="3"/>
        <v>3</v>
      </c>
    </row>
    <row r="111" spans="1:9" ht="15" customHeight="1">
      <c r="A111" s="7">
        <f>'07_Base_Limpia'!B111</f>
        <v>2026</v>
      </c>
      <c r="B111" s="7" t="str">
        <f>'07_Base_Limpia'!G111</f>
        <v>Ivory Coast</v>
      </c>
      <c r="C111" s="7" t="str">
        <f>'07_Base_Limpia'!H111</f>
        <v>Ecuador</v>
      </c>
      <c r="D111" s="7" t="s">
        <v>1008</v>
      </c>
      <c r="E111" s="7">
        <f>'07_Base_Limpia'!I111</f>
        <v>1</v>
      </c>
      <c r="F111" s="7">
        <f>'07_Base_Limpia'!J111</f>
        <v>0</v>
      </c>
      <c r="G111" s="7">
        <f t="shared" si="2"/>
        <v>1</v>
      </c>
      <c r="H111" s="7" t="str">
        <f>'07_Base_Limpia'!L111</f>
        <v>Gana</v>
      </c>
      <c r="I111" s="7">
        <f t="shared" si="3"/>
        <v>3</v>
      </c>
    </row>
    <row r="112" spans="1:9" ht="15" customHeight="1">
      <c r="A112" s="7">
        <f>'07_Base_Limpia'!B112</f>
        <v>2026</v>
      </c>
      <c r="B112" s="7" t="str">
        <f>'07_Base_Limpia'!G112</f>
        <v>Netherlands</v>
      </c>
      <c r="C112" s="7" t="str">
        <f>'07_Base_Limpia'!H112</f>
        <v>Japan</v>
      </c>
      <c r="D112" s="7" t="s">
        <v>1008</v>
      </c>
      <c r="E112" s="7">
        <f>'07_Base_Limpia'!I112</f>
        <v>2</v>
      </c>
      <c r="F112" s="7">
        <f>'07_Base_Limpia'!J112</f>
        <v>2</v>
      </c>
      <c r="G112" s="7">
        <f t="shared" si="2"/>
        <v>0</v>
      </c>
      <c r="H112" s="7" t="str">
        <f>'07_Base_Limpia'!L112</f>
        <v>Empata</v>
      </c>
      <c r="I112" s="7">
        <f t="shared" si="3"/>
        <v>1</v>
      </c>
    </row>
    <row r="113" spans="1:9" ht="15" customHeight="1">
      <c r="A113" s="7">
        <f>'07_Base_Limpia'!B113</f>
        <v>2026</v>
      </c>
      <c r="B113" s="7" t="str">
        <f>'07_Base_Limpia'!G113</f>
        <v>Sweden</v>
      </c>
      <c r="C113" s="7" t="str">
        <f>'07_Base_Limpia'!H113</f>
        <v>Tunisia</v>
      </c>
      <c r="D113" s="7" t="s">
        <v>1008</v>
      </c>
      <c r="E113" s="7">
        <f>'07_Base_Limpia'!I113</f>
        <v>5</v>
      </c>
      <c r="F113" s="7">
        <f>'07_Base_Limpia'!J113</f>
        <v>1</v>
      </c>
      <c r="G113" s="7">
        <f t="shared" si="2"/>
        <v>4</v>
      </c>
      <c r="H113" s="7" t="str">
        <f>'07_Base_Limpia'!L113</f>
        <v>Gana</v>
      </c>
      <c r="I113" s="7">
        <f t="shared" si="3"/>
        <v>3</v>
      </c>
    </row>
    <row r="114" spans="1:9" ht="15" customHeight="1">
      <c r="A114" s="7">
        <f>'07_Base_Limpia'!B114</f>
        <v>2026</v>
      </c>
      <c r="B114" s="7" t="str">
        <f>'07_Base_Limpia'!G114</f>
        <v>Belgium</v>
      </c>
      <c r="C114" s="7" t="str">
        <f>'07_Base_Limpia'!H114</f>
        <v>Egypt</v>
      </c>
      <c r="D114" s="7" t="s">
        <v>1008</v>
      </c>
      <c r="E114" s="7">
        <f>'07_Base_Limpia'!I114</f>
        <v>1</v>
      </c>
      <c r="F114" s="7">
        <f>'07_Base_Limpia'!J114</f>
        <v>1</v>
      </c>
      <c r="G114" s="7">
        <f t="shared" si="2"/>
        <v>0</v>
      </c>
      <c r="H114" s="7" t="str">
        <f>'07_Base_Limpia'!L114</f>
        <v>Empata</v>
      </c>
      <c r="I114" s="7">
        <f t="shared" si="3"/>
        <v>1</v>
      </c>
    </row>
    <row r="115" spans="1:9" ht="15" customHeight="1">
      <c r="A115" s="7">
        <f>'07_Base_Limpia'!B115</f>
        <v>2026</v>
      </c>
      <c r="B115" s="7" t="str">
        <f>'07_Base_Limpia'!G115</f>
        <v>Iran</v>
      </c>
      <c r="C115" s="7" t="str">
        <f>'07_Base_Limpia'!H115</f>
        <v>New Zealand</v>
      </c>
      <c r="D115" s="7" t="s">
        <v>1008</v>
      </c>
      <c r="E115" s="7">
        <f>'07_Base_Limpia'!I115</f>
        <v>2</v>
      </c>
      <c r="F115" s="7">
        <f>'07_Base_Limpia'!J115</f>
        <v>2</v>
      </c>
      <c r="G115" s="7">
        <f t="shared" si="2"/>
        <v>0</v>
      </c>
      <c r="H115" s="7" t="str">
        <f>'07_Base_Limpia'!L115</f>
        <v>Empata</v>
      </c>
      <c r="I115" s="7">
        <f t="shared" si="3"/>
        <v>1</v>
      </c>
    </row>
    <row r="116" spans="1:9" ht="15" customHeight="1">
      <c r="A116" s="7">
        <f>'07_Base_Limpia'!B116</f>
        <v>2026</v>
      </c>
      <c r="B116" s="7" t="str">
        <f>'07_Base_Limpia'!G116</f>
        <v>Spain</v>
      </c>
      <c r="C116" s="7" t="str">
        <f>'07_Base_Limpia'!H116</f>
        <v>Cape Verde</v>
      </c>
      <c r="D116" s="7" t="s">
        <v>1008</v>
      </c>
      <c r="E116" s="7">
        <f>'07_Base_Limpia'!I116</f>
        <v>0</v>
      </c>
      <c r="F116" s="7">
        <f>'07_Base_Limpia'!J116</f>
        <v>0</v>
      </c>
      <c r="G116" s="7">
        <f t="shared" si="2"/>
        <v>0</v>
      </c>
      <c r="H116" s="7" t="str">
        <f>'07_Base_Limpia'!L116</f>
        <v>Empata</v>
      </c>
      <c r="I116" s="7">
        <f t="shared" si="3"/>
        <v>1</v>
      </c>
    </row>
    <row r="117" spans="1:9" ht="15" customHeight="1">
      <c r="A117" s="7">
        <f>'07_Base_Limpia'!B117</f>
        <v>2026</v>
      </c>
      <c r="B117" s="7" t="str">
        <f>'07_Base_Limpia'!G117</f>
        <v>Saudi Arabia</v>
      </c>
      <c r="C117" s="7" t="str">
        <f>'07_Base_Limpia'!H117</f>
        <v>Uruguay</v>
      </c>
      <c r="D117" s="7" t="s">
        <v>1008</v>
      </c>
      <c r="E117" s="7">
        <f>'07_Base_Limpia'!I117</f>
        <v>1</v>
      </c>
      <c r="F117" s="7">
        <f>'07_Base_Limpia'!J117</f>
        <v>1</v>
      </c>
      <c r="G117" s="7">
        <f t="shared" si="2"/>
        <v>0</v>
      </c>
      <c r="H117" s="7" t="str">
        <f>'07_Base_Limpia'!L117</f>
        <v>Empata</v>
      </c>
      <c r="I117" s="7">
        <f t="shared" si="3"/>
        <v>1</v>
      </c>
    </row>
    <row r="118" spans="1:9" ht="15" customHeight="1">
      <c r="A118" s="7">
        <f>'07_Base_Limpia'!B118</f>
        <v>2026</v>
      </c>
      <c r="B118" s="7" t="str">
        <f>'07_Base_Limpia'!G118</f>
        <v>France</v>
      </c>
      <c r="C118" s="7" t="str">
        <f>'07_Base_Limpia'!H118</f>
        <v>Senegal</v>
      </c>
      <c r="D118" s="7" t="s">
        <v>1008</v>
      </c>
      <c r="E118" s="7">
        <f>'07_Base_Limpia'!I118</f>
        <v>3</v>
      </c>
      <c r="F118" s="7">
        <f>'07_Base_Limpia'!J118</f>
        <v>1</v>
      </c>
      <c r="G118" s="7">
        <f t="shared" si="2"/>
        <v>2</v>
      </c>
      <c r="H118" s="7" t="str">
        <f>'07_Base_Limpia'!L118</f>
        <v>Gana</v>
      </c>
      <c r="I118" s="7">
        <f t="shared" si="3"/>
        <v>3</v>
      </c>
    </row>
    <row r="119" spans="1:9" ht="15" customHeight="1">
      <c r="A119" s="7">
        <f>'07_Base_Limpia'!B119</f>
        <v>2026</v>
      </c>
      <c r="B119" s="7" t="str">
        <f>'07_Base_Limpia'!G119</f>
        <v>Iraq</v>
      </c>
      <c r="C119" s="7" t="str">
        <f>'07_Base_Limpia'!H119</f>
        <v>Norway</v>
      </c>
      <c r="D119" s="7" t="s">
        <v>1008</v>
      </c>
      <c r="E119" s="7">
        <f>'07_Base_Limpia'!I119</f>
        <v>1</v>
      </c>
      <c r="F119" s="7">
        <f>'07_Base_Limpia'!J119</f>
        <v>4</v>
      </c>
      <c r="G119" s="7">
        <f t="shared" si="2"/>
        <v>-3</v>
      </c>
      <c r="H119" s="7" t="str">
        <f>'07_Base_Limpia'!L119</f>
        <v>Pierde</v>
      </c>
      <c r="I119" s="7">
        <f t="shared" si="3"/>
        <v>0</v>
      </c>
    </row>
    <row r="120" spans="1:9" ht="15" customHeight="1">
      <c r="A120" s="7">
        <f>'07_Base_Limpia'!B120</f>
        <v>2026</v>
      </c>
      <c r="B120" s="7" t="str">
        <f>'07_Base_Limpia'!G120</f>
        <v>Argentina</v>
      </c>
      <c r="C120" s="7" t="str">
        <f>'07_Base_Limpia'!H120</f>
        <v>Algeria</v>
      </c>
      <c r="D120" s="7" t="s">
        <v>1008</v>
      </c>
      <c r="E120" s="7">
        <f>'07_Base_Limpia'!I120</f>
        <v>3</v>
      </c>
      <c r="F120" s="7">
        <f>'07_Base_Limpia'!J120</f>
        <v>0</v>
      </c>
      <c r="G120" s="7">
        <f t="shared" si="2"/>
        <v>3</v>
      </c>
      <c r="H120" s="7" t="str">
        <f>'07_Base_Limpia'!L120</f>
        <v>Gana</v>
      </c>
      <c r="I120" s="7">
        <f t="shared" si="3"/>
        <v>3</v>
      </c>
    </row>
    <row r="121" spans="1:9" ht="15" customHeight="1">
      <c r="A121" s="7">
        <f>'07_Base_Limpia'!B121</f>
        <v>2026</v>
      </c>
      <c r="B121" s="7" t="str">
        <f>'07_Base_Limpia'!G121</f>
        <v>Austria</v>
      </c>
      <c r="C121" s="7" t="str">
        <f>'07_Base_Limpia'!H121</f>
        <v>Jordan</v>
      </c>
      <c r="D121" s="7" t="s">
        <v>1008</v>
      </c>
      <c r="E121" s="7">
        <f>'07_Base_Limpia'!I121</f>
        <v>3</v>
      </c>
      <c r="F121" s="7">
        <f>'07_Base_Limpia'!J121</f>
        <v>1</v>
      </c>
      <c r="G121" s="7">
        <f t="shared" si="2"/>
        <v>2</v>
      </c>
      <c r="H121" s="7" t="str">
        <f>'07_Base_Limpia'!L121</f>
        <v>Gana</v>
      </c>
      <c r="I121" s="7">
        <f t="shared" si="3"/>
        <v>3</v>
      </c>
    </row>
    <row r="122" spans="1:9" ht="15" customHeight="1">
      <c r="A122" s="7">
        <f>'07_Base_Limpia'!B122</f>
        <v>2026</v>
      </c>
      <c r="B122" s="7" t="str">
        <f>'07_Base_Limpia'!G122</f>
        <v>Portugal</v>
      </c>
      <c r="C122" s="7" t="str">
        <f>'07_Base_Limpia'!H122</f>
        <v>DR Congo</v>
      </c>
      <c r="D122" s="7" t="s">
        <v>1008</v>
      </c>
      <c r="E122" s="7">
        <f>'07_Base_Limpia'!I122</f>
        <v>1</v>
      </c>
      <c r="F122" s="7">
        <f>'07_Base_Limpia'!J122</f>
        <v>1</v>
      </c>
      <c r="G122" s="7">
        <f t="shared" si="2"/>
        <v>0</v>
      </c>
      <c r="H122" s="7" t="str">
        <f>'07_Base_Limpia'!L122</f>
        <v>Empata</v>
      </c>
      <c r="I122" s="7">
        <f t="shared" si="3"/>
        <v>1</v>
      </c>
    </row>
    <row r="123" spans="1:9" ht="15" customHeight="1">
      <c r="A123" s="7">
        <f>'07_Base_Limpia'!B123</f>
        <v>2026</v>
      </c>
      <c r="B123" s="7" t="str">
        <f>'07_Base_Limpia'!G123</f>
        <v>Uzbekistan</v>
      </c>
      <c r="C123" s="7" t="str">
        <f>'07_Base_Limpia'!H123</f>
        <v>Colombia</v>
      </c>
      <c r="D123" s="7" t="s">
        <v>1008</v>
      </c>
      <c r="E123" s="7">
        <f>'07_Base_Limpia'!I123</f>
        <v>1</v>
      </c>
      <c r="F123" s="7">
        <f>'07_Base_Limpia'!J123</f>
        <v>3</v>
      </c>
      <c r="G123" s="7">
        <f t="shared" si="2"/>
        <v>-2</v>
      </c>
      <c r="H123" s="7" t="str">
        <f>'07_Base_Limpia'!L123</f>
        <v>Pierde</v>
      </c>
      <c r="I123" s="7">
        <f t="shared" si="3"/>
        <v>0</v>
      </c>
    </row>
    <row r="124" spans="1:9" ht="15" customHeight="1">
      <c r="A124" s="7">
        <f>'07_Base_Limpia'!B124</f>
        <v>2026</v>
      </c>
      <c r="B124" s="7" t="str">
        <f>'07_Base_Limpia'!G124</f>
        <v>England</v>
      </c>
      <c r="C124" s="7" t="str">
        <f>'07_Base_Limpia'!H124</f>
        <v>Croatia</v>
      </c>
      <c r="D124" s="7" t="s">
        <v>1008</v>
      </c>
      <c r="E124" s="7">
        <f>'07_Base_Limpia'!I124</f>
        <v>4</v>
      </c>
      <c r="F124" s="7">
        <f>'07_Base_Limpia'!J124</f>
        <v>2</v>
      </c>
      <c r="G124" s="7">
        <f t="shared" si="2"/>
        <v>2</v>
      </c>
      <c r="H124" s="7" t="str">
        <f>'07_Base_Limpia'!L124</f>
        <v>Gana</v>
      </c>
      <c r="I124" s="7">
        <f t="shared" si="3"/>
        <v>3</v>
      </c>
    </row>
    <row r="125" spans="1:9" ht="15" customHeight="1">
      <c r="A125" s="7">
        <f>'07_Base_Limpia'!B125</f>
        <v>2026</v>
      </c>
      <c r="B125" s="7" t="str">
        <f>'07_Base_Limpia'!G125</f>
        <v>Ghana</v>
      </c>
      <c r="C125" s="7" t="str">
        <f>'07_Base_Limpia'!H125</f>
        <v>Panama</v>
      </c>
      <c r="D125" s="7" t="s">
        <v>1008</v>
      </c>
      <c r="E125" s="7">
        <f>'07_Base_Limpia'!I125</f>
        <v>1</v>
      </c>
      <c r="F125" s="7">
        <f>'07_Base_Limpia'!J125</f>
        <v>0</v>
      </c>
      <c r="G125" s="7">
        <f t="shared" si="2"/>
        <v>1</v>
      </c>
      <c r="H125" s="7" t="str">
        <f>'07_Base_Limpia'!L125</f>
        <v>Gana</v>
      </c>
      <c r="I125" s="7">
        <f t="shared" si="3"/>
        <v>3</v>
      </c>
    </row>
    <row r="126" spans="1:9" ht="15" customHeight="1">
      <c r="A126" s="7">
        <f>'07_Base_Limpia'!B126</f>
        <v>2026</v>
      </c>
      <c r="B126" s="7" t="str">
        <f>'07_Base_Limpia'!G126</f>
        <v>Czechia</v>
      </c>
      <c r="C126" s="7" t="str">
        <f>'07_Base_Limpia'!H126</f>
        <v>South Africa</v>
      </c>
      <c r="D126" s="7" t="s">
        <v>1008</v>
      </c>
      <c r="E126" s="7">
        <f>'07_Base_Limpia'!I126</f>
        <v>1</v>
      </c>
      <c r="F126" s="7">
        <f>'07_Base_Limpia'!J126</f>
        <v>1</v>
      </c>
      <c r="G126" s="7">
        <f t="shared" si="2"/>
        <v>0</v>
      </c>
      <c r="H126" s="7" t="str">
        <f>'07_Base_Limpia'!L126</f>
        <v>Empata</v>
      </c>
      <c r="I126" s="7">
        <f t="shared" si="3"/>
        <v>1</v>
      </c>
    </row>
    <row r="127" spans="1:9" ht="15" customHeight="1">
      <c r="A127" s="7">
        <f>'07_Base_Limpia'!B127</f>
        <v>2026</v>
      </c>
      <c r="B127" s="7" t="str">
        <f>'07_Base_Limpia'!G127</f>
        <v>Mexico</v>
      </c>
      <c r="C127" s="7" t="str">
        <f>'07_Base_Limpia'!H127</f>
        <v>South Korea</v>
      </c>
      <c r="D127" s="7" t="s">
        <v>1008</v>
      </c>
      <c r="E127" s="7">
        <f>'07_Base_Limpia'!I127</f>
        <v>1</v>
      </c>
      <c r="F127" s="7">
        <f>'07_Base_Limpia'!J127</f>
        <v>0</v>
      </c>
      <c r="G127" s="7">
        <f t="shared" si="2"/>
        <v>1</v>
      </c>
      <c r="H127" s="7" t="str">
        <f>'07_Base_Limpia'!L127</f>
        <v>Gana</v>
      </c>
      <c r="I127" s="7">
        <f t="shared" si="3"/>
        <v>3</v>
      </c>
    </row>
    <row r="128" spans="1:9" ht="15" customHeight="1">
      <c r="A128" s="7">
        <f>'07_Base_Limpia'!B128</f>
        <v>2026</v>
      </c>
      <c r="B128" s="7" t="str">
        <f>'07_Base_Limpia'!G128</f>
        <v>Switzerland</v>
      </c>
      <c r="C128" s="7" t="str">
        <f>'07_Base_Limpia'!H128</f>
        <v>Bosnia and Herzegovina</v>
      </c>
      <c r="D128" s="7" t="s">
        <v>1008</v>
      </c>
      <c r="E128" s="7">
        <f>'07_Base_Limpia'!I128</f>
        <v>4</v>
      </c>
      <c r="F128" s="7">
        <f>'07_Base_Limpia'!J128</f>
        <v>1</v>
      </c>
      <c r="G128" s="7">
        <f t="shared" si="2"/>
        <v>3</v>
      </c>
      <c r="H128" s="7" t="str">
        <f>'07_Base_Limpia'!L128</f>
        <v>Gana</v>
      </c>
      <c r="I128" s="7">
        <f t="shared" si="3"/>
        <v>3</v>
      </c>
    </row>
    <row r="129" spans="1:9" ht="15" customHeight="1">
      <c r="A129" s="7">
        <f>'07_Base_Limpia'!B129</f>
        <v>2026</v>
      </c>
      <c r="B129" s="7" t="str">
        <f>'07_Base_Limpia'!G129</f>
        <v>Canada</v>
      </c>
      <c r="C129" s="7" t="str">
        <f>'07_Base_Limpia'!H129</f>
        <v>Qatar</v>
      </c>
      <c r="D129" s="7" t="s">
        <v>1008</v>
      </c>
      <c r="E129" s="7">
        <f>'07_Base_Limpia'!I129</f>
        <v>6</v>
      </c>
      <c r="F129" s="7">
        <f>'07_Base_Limpia'!J129</f>
        <v>0</v>
      </c>
      <c r="G129" s="7">
        <f t="shared" si="2"/>
        <v>6</v>
      </c>
      <c r="H129" s="7" t="str">
        <f>'07_Base_Limpia'!L129</f>
        <v>Gana</v>
      </c>
      <c r="I129" s="7">
        <f t="shared" si="3"/>
        <v>3</v>
      </c>
    </row>
    <row r="130" spans="1:9" ht="15" customHeight="1">
      <c r="A130" s="7">
        <f>'07_Base_Limpia'!B130</f>
        <v>2026</v>
      </c>
      <c r="B130" s="7" t="str">
        <f>'07_Base_Limpia'!G130</f>
        <v>Scotland</v>
      </c>
      <c r="C130" s="7" t="str">
        <f>'07_Base_Limpia'!H130</f>
        <v>Morocco</v>
      </c>
      <c r="D130" s="7" t="s">
        <v>1008</v>
      </c>
      <c r="E130" s="7">
        <f>'07_Base_Limpia'!I130</f>
        <v>0</v>
      </c>
      <c r="F130" s="7">
        <f>'07_Base_Limpia'!J130</f>
        <v>1</v>
      </c>
      <c r="G130" s="7">
        <f t="shared" si="2"/>
        <v>-1</v>
      </c>
      <c r="H130" s="7" t="str">
        <f>'07_Base_Limpia'!L130</f>
        <v>Pierde</v>
      </c>
      <c r="I130" s="7">
        <f t="shared" si="3"/>
        <v>0</v>
      </c>
    </row>
    <row r="131" spans="1:9" ht="15" customHeight="1">
      <c r="A131" s="7">
        <f>'07_Base_Limpia'!B131</f>
        <v>2026</v>
      </c>
      <c r="B131" s="7" t="str">
        <f>'07_Base_Limpia'!G131</f>
        <v>Brazil</v>
      </c>
      <c r="C131" s="7" t="str">
        <f>'07_Base_Limpia'!H131</f>
        <v>Haiti</v>
      </c>
      <c r="D131" s="7" t="s">
        <v>1008</v>
      </c>
      <c r="E131" s="7">
        <f>'07_Base_Limpia'!I131</f>
        <v>3</v>
      </c>
      <c r="F131" s="7">
        <f>'07_Base_Limpia'!J131</f>
        <v>0</v>
      </c>
      <c r="G131" s="7">
        <f t="shared" si="2"/>
        <v>3</v>
      </c>
      <c r="H131" s="7" t="str">
        <f>'07_Base_Limpia'!L131</f>
        <v>Gana</v>
      </c>
      <c r="I131" s="7">
        <f t="shared" si="3"/>
        <v>3</v>
      </c>
    </row>
    <row r="132" spans="1:9" ht="15" customHeight="1">
      <c r="A132" s="7">
        <f>'07_Base_Limpia'!B132</f>
        <v>2026</v>
      </c>
      <c r="B132" s="7" t="str">
        <f>'07_Base_Limpia'!G132</f>
        <v>United States</v>
      </c>
      <c r="C132" s="7" t="str">
        <f>'07_Base_Limpia'!H132</f>
        <v>Australia</v>
      </c>
      <c r="D132" s="7" t="s">
        <v>1008</v>
      </c>
      <c r="E132" s="7">
        <f>'07_Base_Limpia'!I132</f>
        <v>2</v>
      </c>
      <c r="F132" s="7">
        <f>'07_Base_Limpia'!J132</f>
        <v>0</v>
      </c>
      <c r="G132" s="7">
        <f t="shared" si="2"/>
        <v>2</v>
      </c>
      <c r="H132" s="7" t="str">
        <f>'07_Base_Limpia'!L132</f>
        <v>Gana</v>
      </c>
      <c r="I132" s="7">
        <f t="shared" si="3"/>
        <v>3</v>
      </c>
    </row>
    <row r="133" spans="1:9" ht="15" customHeight="1">
      <c r="A133" s="7">
        <f>'07_Base_Limpia'!B133</f>
        <v>2026</v>
      </c>
      <c r="B133" s="7" t="str">
        <f>'07_Base_Limpia'!G133</f>
        <v>Turkey</v>
      </c>
      <c r="C133" s="7" t="str">
        <f>'07_Base_Limpia'!H133</f>
        <v>Paraguay</v>
      </c>
      <c r="D133" s="7" t="s">
        <v>1008</v>
      </c>
      <c r="E133" s="7">
        <f>'07_Base_Limpia'!I133</f>
        <v>0</v>
      </c>
      <c r="F133" s="7">
        <f>'07_Base_Limpia'!J133</f>
        <v>1</v>
      </c>
      <c r="G133" s="7">
        <f t="shared" si="2"/>
        <v>-1</v>
      </c>
      <c r="H133" s="7" t="str">
        <f>'07_Base_Limpia'!L133</f>
        <v>Pierde</v>
      </c>
      <c r="I133" s="7">
        <f t="shared" si="3"/>
        <v>0</v>
      </c>
    </row>
    <row r="134" spans="1:9" ht="15" customHeight="1">
      <c r="A134" s="7">
        <f>'07_Base_Limpia'!B134</f>
        <v>2026</v>
      </c>
      <c r="B134" s="7" t="str">
        <f>'07_Base_Limpia'!G134</f>
        <v>Germany</v>
      </c>
      <c r="C134" s="7" t="str">
        <f>'07_Base_Limpia'!H134</f>
        <v>Ivory Coast</v>
      </c>
      <c r="D134" s="7" t="s">
        <v>1008</v>
      </c>
      <c r="E134" s="7">
        <f>'07_Base_Limpia'!I134</f>
        <v>2</v>
      </c>
      <c r="F134" s="7">
        <f>'07_Base_Limpia'!J134</f>
        <v>1</v>
      </c>
      <c r="G134" s="7">
        <f t="shared" ref="G134:G197" si="4">E134-F134</f>
        <v>1</v>
      </c>
      <c r="H134" s="7" t="str">
        <f>'07_Base_Limpia'!L134</f>
        <v>Gana</v>
      </c>
      <c r="I134" s="7">
        <f t="shared" ref="I134:I197" si="5">IF(H134="Gana",3,IF(H134="Empata",1,0))</f>
        <v>3</v>
      </c>
    </row>
    <row r="135" spans="1:9" ht="15" customHeight="1">
      <c r="A135" s="7">
        <f>'07_Base_Limpia'!B135</f>
        <v>2026</v>
      </c>
      <c r="B135" s="7" t="str">
        <f>'07_Base_Limpia'!G135</f>
        <v>Ecuador</v>
      </c>
      <c r="C135" s="7" t="str">
        <f>'07_Base_Limpia'!H135</f>
        <v>Curacao</v>
      </c>
      <c r="D135" s="7" t="s">
        <v>1008</v>
      </c>
      <c r="E135" s="7">
        <f>'07_Base_Limpia'!I135</f>
        <v>0</v>
      </c>
      <c r="F135" s="7">
        <f>'07_Base_Limpia'!J135</f>
        <v>0</v>
      </c>
      <c r="G135" s="7">
        <f t="shared" si="4"/>
        <v>0</v>
      </c>
      <c r="H135" s="7" t="str">
        <f>'07_Base_Limpia'!L135</f>
        <v>Empata</v>
      </c>
      <c r="I135" s="7">
        <f t="shared" si="5"/>
        <v>1</v>
      </c>
    </row>
    <row r="136" spans="1:9" ht="15" customHeight="1">
      <c r="A136" s="7">
        <f>'07_Base_Limpia'!B136</f>
        <v>2026</v>
      </c>
      <c r="B136" s="7" t="str">
        <f>'07_Base_Limpia'!G136</f>
        <v>Netherlands</v>
      </c>
      <c r="C136" s="7" t="str">
        <f>'07_Base_Limpia'!H136</f>
        <v>Sweden</v>
      </c>
      <c r="D136" s="7" t="s">
        <v>1008</v>
      </c>
      <c r="E136" s="7">
        <f>'07_Base_Limpia'!I136</f>
        <v>5</v>
      </c>
      <c r="F136" s="7">
        <f>'07_Base_Limpia'!J136</f>
        <v>1</v>
      </c>
      <c r="G136" s="7">
        <f t="shared" si="4"/>
        <v>4</v>
      </c>
      <c r="H136" s="7" t="str">
        <f>'07_Base_Limpia'!L136</f>
        <v>Gana</v>
      </c>
      <c r="I136" s="7">
        <f t="shared" si="5"/>
        <v>3</v>
      </c>
    </row>
    <row r="137" spans="1:9" ht="15" customHeight="1">
      <c r="A137" s="7">
        <f>'07_Base_Limpia'!B137</f>
        <v>2026</v>
      </c>
      <c r="B137" s="7" t="str">
        <f>'07_Base_Limpia'!G137</f>
        <v>Tunisia</v>
      </c>
      <c r="C137" s="7" t="str">
        <f>'07_Base_Limpia'!H137</f>
        <v>Japan</v>
      </c>
      <c r="D137" s="7" t="s">
        <v>1008</v>
      </c>
      <c r="E137" s="7">
        <f>'07_Base_Limpia'!I137</f>
        <v>0</v>
      </c>
      <c r="F137" s="7">
        <f>'07_Base_Limpia'!J137</f>
        <v>4</v>
      </c>
      <c r="G137" s="7">
        <f t="shared" si="4"/>
        <v>-4</v>
      </c>
      <c r="H137" s="7" t="str">
        <f>'07_Base_Limpia'!L137</f>
        <v>Pierde</v>
      </c>
      <c r="I137" s="7">
        <f t="shared" si="5"/>
        <v>0</v>
      </c>
    </row>
    <row r="138" spans="1:9" ht="15" customHeight="1">
      <c r="A138" s="7">
        <f>'07_Base_Limpia'!B138</f>
        <v>2026</v>
      </c>
      <c r="B138" s="7" t="str">
        <f>'07_Base_Limpia'!G138</f>
        <v>Belgium</v>
      </c>
      <c r="C138" s="7" t="str">
        <f>'07_Base_Limpia'!H138</f>
        <v>Iran</v>
      </c>
      <c r="D138" s="7" t="s">
        <v>1008</v>
      </c>
      <c r="E138" s="7">
        <f>'07_Base_Limpia'!I138</f>
        <v>0</v>
      </c>
      <c r="F138" s="7">
        <f>'07_Base_Limpia'!J138</f>
        <v>0</v>
      </c>
      <c r="G138" s="7">
        <f t="shared" si="4"/>
        <v>0</v>
      </c>
      <c r="H138" s="7" t="str">
        <f>'07_Base_Limpia'!L138</f>
        <v>Empata</v>
      </c>
      <c r="I138" s="7">
        <f t="shared" si="5"/>
        <v>1</v>
      </c>
    </row>
    <row r="139" spans="1:9" ht="15" customHeight="1">
      <c r="A139" s="7">
        <f>'07_Base_Limpia'!B139</f>
        <v>2026</v>
      </c>
      <c r="B139" s="7" t="str">
        <f>'07_Base_Limpia'!G139</f>
        <v>New Zealand</v>
      </c>
      <c r="C139" s="7" t="str">
        <f>'07_Base_Limpia'!H139</f>
        <v>Egypt</v>
      </c>
      <c r="D139" s="7" t="s">
        <v>1008</v>
      </c>
      <c r="E139" s="7">
        <f>'07_Base_Limpia'!I139</f>
        <v>1</v>
      </c>
      <c r="F139" s="7">
        <f>'07_Base_Limpia'!J139</f>
        <v>3</v>
      </c>
      <c r="G139" s="7">
        <f t="shared" si="4"/>
        <v>-2</v>
      </c>
      <c r="H139" s="7" t="str">
        <f>'07_Base_Limpia'!L139</f>
        <v>Pierde</v>
      </c>
      <c r="I139" s="7">
        <f t="shared" si="5"/>
        <v>0</v>
      </c>
    </row>
    <row r="140" spans="1:9" ht="15" customHeight="1">
      <c r="A140" s="7">
        <f>'07_Base_Limpia'!B140</f>
        <v>2026</v>
      </c>
      <c r="B140" s="7" t="str">
        <f>'07_Base_Limpia'!G140</f>
        <v>Spain</v>
      </c>
      <c r="C140" s="7" t="str">
        <f>'07_Base_Limpia'!H140</f>
        <v>Saudi Arabia</v>
      </c>
      <c r="D140" s="7" t="s">
        <v>1008</v>
      </c>
      <c r="E140" s="7">
        <f>'07_Base_Limpia'!I140</f>
        <v>4</v>
      </c>
      <c r="F140" s="7">
        <f>'07_Base_Limpia'!J140</f>
        <v>0</v>
      </c>
      <c r="G140" s="7">
        <f t="shared" si="4"/>
        <v>4</v>
      </c>
      <c r="H140" s="7" t="str">
        <f>'07_Base_Limpia'!L140</f>
        <v>Gana</v>
      </c>
      <c r="I140" s="7">
        <f t="shared" si="5"/>
        <v>3</v>
      </c>
    </row>
    <row r="141" spans="1:9" ht="15" customHeight="1">
      <c r="A141" s="7">
        <f>'07_Base_Limpia'!B141</f>
        <v>2026</v>
      </c>
      <c r="B141" s="7" t="str">
        <f>'07_Base_Limpia'!G141</f>
        <v>Uruguay</v>
      </c>
      <c r="C141" s="7" t="str">
        <f>'07_Base_Limpia'!H141</f>
        <v>Cape Verde</v>
      </c>
      <c r="D141" s="7" t="s">
        <v>1008</v>
      </c>
      <c r="E141" s="7">
        <f>'07_Base_Limpia'!I141</f>
        <v>2</v>
      </c>
      <c r="F141" s="7">
        <f>'07_Base_Limpia'!J141</f>
        <v>2</v>
      </c>
      <c r="G141" s="7">
        <f t="shared" si="4"/>
        <v>0</v>
      </c>
      <c r="H141" s="7" t="str">
        <f>'07_Base_Limpia'!L141</f>
        <v>Empata</v>
      </c>
      <c r="I141" s="7">
        <f t="shared" si="5"/>
        <v>1</v>
      </c>
    </row>
    <row r="142" spans="1:9" ht="15" customHeight="1">
      <c r="A142" s="7">
        <f>'07_Base_Limpia'!B142</f>
        <v>2026</v>
      </c>
      <c r="B142" s="7" t="str">
        <f>'07_Base_Limpia'!G142</f>
        <v>France</v>
      </c>
      <c r="C142" s="7" t="str">
        <f>'07_Base_Limpia'!H142</f>
        <v>Iraq</v>
      </c>
      <c r="D142" s="7" t="s">
        <v>1008</v>
      </c>
      <c r="E142" s="7">
        <f>'07_Base_Limpia'!I142</f>
        <v>3</v>
      </c>
      <c r="F142" s="7">
        <f>'07_Base_Limpia'!J142</f>
        <v>0</v>
      </c>
      <c r="G142" s="7">
        <f t="shared" si="4"/>
        <v>3</v>
      </c>
      <c r="H142" s="7" t="str">
        <f>'07_Base_Limpia'!L142</f>
        <v>Gana</v>
      </c>
      <c r="I142" s="7">
        <f t="shared" si="5"/>
        <v>3</v>
      </c>
    </row>
    <row r="143" spans="1:9" ht="15" customHeight="1">
      <c r="A143" s="7">
        <f>'07_Base_Limpia'!B143</f>
        <v>2026</v>
      </c>
      <c r="B143" s="7" t="str">
        <f>'07_Base_Limpia'!G143</f>
        <v>Norway</v>
      </c>
      <c r="C143" s="7" t="str">
        <f>'07_Base_Limpia'!H143</f>
        <v>Senegal</v>
      </c>
      <c r="D143" s="7" t="s">
        <v>1008</v>
      </c>
      <c r="E143" s="7">
        <f>'07_Base_Limpia'!I143</f>
        <v>3</v>
      </c>
      <c r="F143" s="7">
        <f>'07_Base_Limpia'!J143</f>
        <v>2</v>
      </c>
      <c r="G143" s="7">
        <f t="shared" si="4"/>
        <v>1</v>
      </c>
      <c r="H143" s="7" t="str">
        <f>'07_Base_Limpia'!L143</f>
        <v>Gana</v>
      </c>
      <c r="I143" s="7">
        <f t="shared" si="5"/>
        <v>3</v>
      </c>
    </row>
    <row r="144" spans="1:9" ht="15" customHeight="1">
      <c r="A144" s="7">
        <f>'07_Base_Limpia'!B144</f>
        <v>2026</v>
      </c>
      <c r="B144" s="7" t="str">
        <f>'07_Base_Limpia'!G144</f>
        <v>Argentina</v>
      </c>
      <c r="C144" s="7" t="str">
        <f>'07_Base_Limpia'!H144</f>
        <v>Austria</v>
      </c>
      <c r="D144" s="7" t="s">
        <v>1008</v>
      </c>
      <c r="E144" s="7">
        <f>'07_Base_Limpia'!I144</f>
        <v>2</v>
      </c>
      <c r="F144" s="7">
        <f>'07_Base_Limpia'!J144</f>
        <v>0</v>
      </c>
      <c r="G144" s="7">
        <f t="shared" si="4"/>
        <v>2</v>
      </c>
      <c r="H144" s="7" t="str">
        <f>'07_Base_Limpia'!L144</f>
        <v>Gana</v>
      </c>
      <c r="I144" s="7">
        <f t="shared" si="5"/>
        <v>3</v>
      </c>
    </row>
    <row r="145" spans="1:9" ht="15" customHeight="1">
      <c r="A145" s="7">
        <f>'07_Base_Limpia'!B145</f>
        <v>2026</v>
      </c>
      <c r="B145" s="7" t="str">
        <f>'07_Base_Limpia'!G145</f>
        <v>Jordan</v>
      </c>
      <c r="C145" s="7" t="str">
        <f>'07_Base_Limpia'!H145</f>
        <v>Algeria</v>
      </c>
      <c r="D145" s="7" t="s">
        <v>1008</v>
      </c>
      <c r="E145" s="7">
        <f>'07_Base_Limpia'!I145</f>
        <v>1</v>
      </c>
      <c r="F145" s="7">
        <f>'07_Base_Limpia'!J145</f>
        <v>2</v>
      </c>
      <c r="G145" s="7">
        <f t="shared" si="4"/>
        <v>-1</v>
      </c>
      <c r="H145" s="7" t="str">
        <f>'07_Base_Limpia'!L145</f>
        <v>Pierde</v>
      </c>
      <c r="I145" s="7">
        <f t="shared" si="5"/>
        <v>0</v>
      </c>
    </row>
    <row r="146" spans="1:9" ht="15" customHeight="1">
      <c r="A146" s="7">
        <f>'07_Base_Limpia'!B146</f>
        <v>2026</v>
      </c>
      <c r="B146" s="7" t="str">
        <f>'07_Base_Limpia'!G146</f>
        <v>Portugal</v>
      </c>
      <c r="C146" s="7" t="str">
        <f>'07_Base_Limpia'!H146</f>
        <v>Uzbekistan</v>
      </c>
      <c r="D146" s="7" t="s">
        <v>1008</v>
      </c>
      <c r="E146" s="7">
        <f>'07_Base_Limpia'!I146</f>
        <v>5</v>
      </c>
      <c r="F146" s="7">
        <f>'07_Base_Limpia'!J146</f>
        <v>0</v>
      </c>
      <c r="G146" s="7">
        <f t="shared" si="4"/>
        <v>5</v>
      </c>
      <c r="H146" s="7" t="str">
        <f>'07_Base_Limpia'!L146</f>
        <v>Gana</v>
      </c>
      <c r="I146" s="7">
        <f t="shared" si="5"/>
        <v>3</v>
      </c>
    </row>
    <row r="147" spans="1:9" ht="15" customHeight="1">
      <c r="A147" s="7">
        <f>'07_Base_Limpia'!B147</f>
        <v>2026</v>
      </c>
      <c r="B147" s="7" t="str">
        <f>'07_Base_Limpia'!G147</f>
        <v>Colombia</v>
      </c>
      <c r="C147" s="7" t="str">
        <f>'07_Base_Limpia'!H147</f>
        <v>DR Congo</v>
      </c>
      <c r="D147" s="7" t="s">
        <v>1008</v>
      </c>
      <c r="E147" s="7">
        <f>'07_Base_Limpia'!I147</f>
        <v>1</v>
      </c>
      <c r="F147" s="7">
        <f>'07_Base_Limpia'!J147</f>
        <v>0</v>
      </c>
      <c r="G147" s="7">
        <f t="shared" si="4"/>
        <v>1</v>
      </c>
      <c r="H147" s="7" t="str">
        <f>'07_Base_Limpia'!L147</f>
        <v>Gana</v>
      </c>
      <c r="I147" s="7">
        <f t="shared" si="5"/>
        <v>3</v>
      </c>
    </row>
    <row r="148" spans="1:9" ht="15" customHeight="1">
      <c r="A148" s="7">
        <f>'07_Base_Limpia'!B148</f>
        <v>2026</v>
      </c>
      <c r="B148" s="7" t="str">
        <f>'07_Base_Limpia'!G148</f>
        <v>England</v>
      </c>
      <c r="C148" s="7" t="str">
        <f>'07_Base_Limpia'!H148</f>
        <v>Ghana</v>
      </c>
      <c r="D148" s="7" t="s">
        <v>1008</v>
      </c>
      <c r="E148" s="7">
        <f>'07_Base_Limpia'!I148</f>
        <v>0</v>
      </c>
      <c r="F148" s="7">
        <f>'07_Base_Limpia'!J148</f>
        <v>0</v>
      </c>
      <c r="G148" s="7">
        <f t="shared" si="4"/>
        <v>0</v>
      </c>
      <c r="H148" s="7" t="str">
        <f>'07_Base_Limpia'!L148</f>
        <v>Empata</v>
      </c>
      <c r="I148" s="7">
        <f t="shared" si="5"/>
        <v>1</v>
      </c>
    </row>
    <row r="149" spans="1:9" ht="15" customHeight="1">
      <c r="A149" s="7">
        <f>'07_Base_Limpia'!B149</f>
        <v>2026</v>
      </c>
      <c r="B149" s="7" t="str">
        <f>'07_Base_Limpia'!G149</f>
        <v>Panama</v>
      </c>
      <c r="C149" s="7" t="str">
        <f>'07_Base_Limpia'!H149</f>
        <v>Croatia</v>
      </c>
      <c r="D149" s="7" t="s">
        <v>1008</v>
      </c>
      <c r="E149" s="7">
        <f>'07_Base_Limpia'!I149</f>
        <v>0</v>
      </c>
      <c r="F149" s="7">
        <f>'07_Base_Limpia'!J149</f>
        <v>1</v>
      </c>
      <c r="G149" s="7">
        <f t="shared" si="4"/>
        <v>-1</v>
      </c>
      <c r="H149" s="7" t="str">
        <f>'07_Base_Limpia'!L149</f>
        <v>Pierde</v>
      </c>
      <c r="I149" s="7">
        <f t="shared" si="5"/>
        <v>0</v>
      </c>
    </row>
    <row r="150" spans="1:9" ht="15" customHeight="1">
      <c r="A150" s="7">
        <f>'07_Base_Limpia'!B150</f>
        <v>2026</v>
      </c>
      <c r="B150" s="7" t="str">
        <f>'07_Base_Limpia'!G150</f>
        <v>Czechia</v>
      </c>
      <c r="C150" s="7" t="str">
        <f>'07_Base_Limpia'!H150</f>
        <v>Mexico</v>
      </c>
      <c r="D150" s="7" t="s">
        <v>1008</v>
      </c>
      <c r="E150" s="7">
        <f>'07_Base_Limpia'!I150</f>
        <v>0</v>
      </c>
      <c r="F150" s="7">
        <f>'07_Base_Limpia'!J150</f>
        <v>3</v>
      </c>
      <c r="G150" s="7">
        <f t="shared" si="4"/>
        <v>-3</v>
      </c>
      <c r="H150" s="7" t="str">
        <f>'07_Base_Limpia'!L150</f>
        <v>Pierde</v>
      </c>
      <c r="I150" s="7">
        <f t="shared" si="5"/>
        <v>0</v>
      </c>
    </row>
    <row r="151" spans="1:9" ht="15" customHeight="1">
      <c r="A151" s="7">
        <f>'07_Base_Limpia'!B151</f>
        <v>2026</v>
      </c>
      <c r="B151" s="7" t="str">
        <f>'07_Base_Limpia'!G151</f>
        <v>South Africa</v>
      </c>
      <c r="C151" s="7" t="str">
        <f>'07_Base_Limpia'!H151</f>
        <v>South Korea</v>
      </c>
      <c r="D151" s="7" t="s">
        <v>1008</v>
      </c>
      <c r="E151" s="7">
        <f>'07_Base_Limpia'!I151</f>
        <v>1</v>
      </c>
      <c r="F151" s="7">
        <f>'07_Base_Limpia'!J151</f>
        <v>0</v>
      </c>
      <c r="G151" s="7">
        <f t="shared" si="4"/>
        <v>1</v>
      </c>
      <c r="H151" s="7" t="str">
        <f>'07_Base_Limpia'!L151</f>
        <v>Gana</v>
      </c>
      <c r="I151" s="7">
        <f t="shared" si="5"/>
        <v>3</v>
      </c>
    </row>
    <row r="152" spans="1:9" ht="15" customHeight="1">
      <c r="A152" s="7">
        <f>'07_Base_Limpia'!B152</f>
        <v>2026</v>
      </c>
      <c r="B152" s="7" t="str">
        <f>'07_Base_Limpia'!G152</f>
        <v>Switzerland</v>
      </c>
      <c r="C152" s="7" t="str">
        <f>'07_Base_Limpia'!H152</f>
        <v>Canada</v>
      </c>
      <c r="D152" s="7" t="s">
        <v>1008</v>
      </c>
      <c r="E152" s="7">
        <f>'07_Base_Limpia'!I152</f>
        <v>2</v>
      </c>
      <c r="F152" s="7">
        <f>'07_Base_Limpia'!J152</f>
        <v>1</v>
      </c>
      <c r="G152" s="7">
        <f t="shared" si="4"/>
        <v>1</v>
      </c>
      <c r="H152" s="7" t="str">
        <f>'07_Base_Limpia'!L152</f>
        <v>Gana</v>
      </c>
      <c r="I152" s="7">
        <f t="shared" si="5"/>
        <v>3</v>
      </c>
    </row>
    <row r="153" spans="1:9" ht="15" customHeight="1">
      <c r="A153" s="7">
        <f>'07_Base_Limpia'!B153</f>
        <v>2026</v>
      </c>
      <c r="B153" s="7" t="str">
        <f>'07_Base_Limpia'!G153</f>
        <v>Bosnia and Herzegovina</v>
      </c>
      <c r="C153" s="7" t="str">
        <f>'07_Base_Limpia'!H153</f>
        <v>Qatar</v>
      </c>
      <c r="D153" s="7" t="s">
        <v>1008</v>
      </c>
      <c r="E153" s="7">
        <f>'07_Base_Limpia'!I153</f>
        <v>3</v>
      </c>
      <c r="F153" s="7">
        <f>'07_Base_Limpia'!J153</f>
        <v>1</v>
      </c>
      <c r="G153" s="7">
        <f t="shared" si="4"/>
        <v>2</v>
      </c>
      <c r="H153" s="7" t="str">
        <f>'07_Base_Limpia'!L153</f>
        <v>Gana</v>
      </c>
      <c r="I153" s="7">
        <f t="shared" si="5"/>
        <v>3</v>
      </c>
    </row>
    <row r="154" spans="1:9" ht="15" customHeight="1">
      <c r="A154" s="7">
        <f>'07_Base_Limpia'!B154</f>
        <v>2026</v>
      </c>
      <c r="B154" s="7" t="str">
        <f>'07_Base_Limpia'!G154</f>
        <v>Scotland</v>
      </c>
      <c r="C154" s="7" t="str">
        <f>'07_Base_Limpia'!H154</f>
        <v>Brazil</v>
      </c>
      <c r="D154" s="7" t="s">
        <v>1008</v>
      </c>
      <c r="E154" s="7">
        <f>'07_Base_Limpia'!I154</f>
        <v>0</v>
      </c>
      <c r="F154" s="7">
        <f>'07_Base_Limpia'!J154</f>
        <v>3</v>
      </c>
      <c r="G154" s="7">
        <f t="shared" si="4"/>
        <v>-3</v>
      </c>
      <c r="H154" s="7" t="str">
        <f>'07_Base_Limpia'!L154</f>
        <v>Pierde</v>
      </c>
      <c r="I154" s="7">
        <f t="shared" si="5"/>
        <v>0</v>
      </c>
    </row>
    <row r="155" spans="1:9" ht="15" customHeight="1">
      <c r="A155" s="7">
        <f>'07_Base_Limpia'!B155</f>
        <v>2026</v>
      </c>
      <c r="B155" s="7" t="str">
        <f>'07_Base_Limpia'!G155</f>
        <v>Morocco</v>
      </c>
      <c r="C155" s="7" t="str">
        <f>'07_Base_Limpia'!H155</f>
        <v>Haiti</v>
      </c>
      <c r="D155" s="7" t="s">
        <v>1008</v>
      </c>
      <c r="E155" s="7">
        <f>'07_Base_Limpia'!I155</f>
        <v>4</v>
      </c>
      <c r="F155" s="7">
        <f>'07_Base_Limpia'!J155</f>
        <v>2</v>
      </c>
      <c r="G155" s="7">
        <f t="shared" si="4"/>
        <v>2</v>
      </c>
      <c r="H155" s="7" t="str">
        <f>'07_Base_Limpia'!L155</f>
        <v>Gana</v>
      </c>
      <c r="I155" s="7">
        <f t="shared" si="5"/>
        <v>3</v>
      </c>
    </row>
    <row r="156" spans="1:9" ht="15" customHeight="1">
      <c r="A156" s="7">
        <f>'07_Base_Limpia'!B156</f>
        <v>2026</v>
      </c>
      <c r="B156" s="7" t="str">
        <f>'07_Base_Limpia'!G156</f>
        <v>Turkey</v>
      </c>
      <c r="C156" s="7" t="str">
        <f>'07_Base_Limpia'!H156</f>
        <v>United States</v>
      </c>
      <c r="D156" s="7" t="s">
        <v>1008</v>
      </c>
      <c r="E156" s="7">
        <f>'07_Base_Limpia'!I156</f>
        <v>3</v>
      </c>
      <c r="F156" s="7">
        <f>'07_Base_Limpia'!J156</f>
        <v>2</v>
      </c>
      <c r="G156" s="7">
        <f t="shared" si="4"/>
        <v>1</v>
      </c>
      <c r="H156" s="7" t="str">
        <f>'07_Base_Limpia'!L156</f>
        <v>Gana</v>
      </c>
      <c r="I156" s="7">
        <f t="shared" si="5"/>
        <v>3</v>
      </c>
    </row>
    <row r="157" spans="1:9" ht="15" customHeight="1">
      <c r="A157" s="7">
        <f>'07_Base_Limpia'!B157</f>
        <v>2026</v>
      </c>
      <c r="B157" s="7" t="str">
        <f>'07_Base_Limpia'!G157</f>
        <v>Paraguay</v>
      </c>
      <c r="C157" s="7" t="str">
        <f>'07_Base_Limpia'!H157</f>
        <v>Australia</v>
      </c>
      <c r="D157" s="7" t="s">
        <v>1008</v>
      </c>
      <c r="E157" s="7">
        <f>'07_Base_Limpia'!I157</f>
        <v>0</v>
      </c>
      <c r="F157" s="7">
        <f>'07_Base_Limpia'!J157</f>
        <v>0</v>
      </c>
      <c r="G157" s="7">
        <f t="shared" si="4"/>
        <v>0</v>
      </c>
      <c r="H157" s="7" t="str">
        <f>'07_Base_Limpia'!L157</f>
        <v>Empata</v>
      </c>
      <c r="I157" s="7">
        <f t="shared" si="5"/>
        <v>1</v>
      </c>
    </row>
    <row r="158" spans="1:9" ht="15" customHeight="1">
      <c r="A158" s="7">
        <f>'07_Base_Limpia'!B158</f>
        <v>2026</v>
      </c>
      <c r="B158" s="7" t="str">
        <f>'07_Base_Limpia'!G158</f>
        <v>Curacao</v>
      </c>
      <c r="C158" s="7" t="str">
        <f>'07_Base_Limpia'!H158</f>
        <v>Ivory Coast</v>
      </c>
      <c r="D158" s="7" t="s">
        <v>1008</v>
      </c>
      <c r="E158" s="7">
        <f>'07_Base_Limpia'!I158</f>
        <v>0</v>
      </c>
      <c r="F158" s="7">
        <f>'07_Base_Limpia'!J158</f>
        <v>2</v>
      </c>
      <c r="G158" s="7">
        <f t="shared" si="4"/>
        <v>-2</v>
      </c>
      <c r="H158" s="7" t="str">
        <f>'07_Base_Limpia'!L158</f>
        <v>Pierde</v>
      </c>
      <c r="I158" s="7">
        <f t="shared" si="5"/>
        <v>0</v>
      </c>
    </row>
    <row r="159" spans="1:9" ht="15" customHeight="1">
      <c r="A159" s="7">
        <f>'07_Base_Limpia'!B159</f>
        <v>2026</v>
      </c>
      <c r="B159" s="7" t="str">
        <f>'07_Base_Limpia'!G159</f>
        <v>Ecuador</v>
      </c>
      <c r="C159" s="7" t="str">
        <f>'07_Base_Limpia'!H159</f>
        <v>Germany</v>
      </c>
      <c r="D159" s="7" t="s">
        <v>1008</v>
      </c>
      <c r="E159" s="7">
        <f>'07_Base_Limpia'!I159</f>
        <v>2</v>
      </c>
      <c r="F159" s="7">
        <f>'07_Base_Limpia'!J159</f>
        <v>1</v>
      </c>
      <c r="G159" s="7">
        <f t="shared" si="4"/>
        <v>1</v>
      </c>
      <c r="H159" s="7" t="str">
        <f>'07_Base_Limpia'!L159</f>
        <v>Gana</v>
      </c>
      <c r="I159" s="7">
        <f t="shared" si="5"/>
        <v>3</v>
      </c>
    </row>
    <row r="160" spans="1:9" ht="15" customHeight="1">
      <c r="A160" s="7">
        <f>'07_Base_Limpia'!B160</f>
        <v>2026</v>
      </c>
      <c r="B160" s="7" t="str">
        <f>'07_Base_Limpia'!G160</f>
        <v>Japan</v>
      </c>
      <c r="C160" s="7" t="str">
        <f>'07_Base_Limpia'!H160</f>
        <v>Sweden</v>
      </c>
      <c r="D160" s="7" t="s">
        <v>1008</v>
      </c>
      <c r="E160" s="7">
        <f>'07_Base_Limpia'!I160</f>
        <v>1</v>
      </c>
      <c r="F160" s="7">
        <f>'07_Base_Limpia'!J160</f>
        <v>1</v>
      </c>
      <c r="G160" s="7">
        <f t="shared" si="4"/>
        <v>0</v>
      </c>
      <c r="H160" s="7" t="str">
        <f>'07_Base_Limpia'!L160</f>
        <v>Empata</v>
      </c>
      <c r="I160" s="7">
        <f t="shared" si="5"/>
        <v>1</v>
      </c>
    </row>
    <row r="161" spans="1:9" ht="15" customHeight="1">
      <c r="A161" s="7">
        <f>'07_Base_Limpia'!B161</f>
        <v>2026</v>
      </c>
      <c r="B161" s="7" t="str">
        <f>'07_Base_Limpia'!G161</f>
        <v>Tunisia</v>
      </c>
      <c r="C161" s="7" t="str">
        <f>'07_Base_Limpia'!H161</f>
        <v>Netherlands</v>
      </c>
      <c r="D161" s="7" t="s">
        <v>1008</v>
      </c>
      <c r="E161" s="7">
        <f>'07_Base_Limpia'!I161</f>
        <v>1</v>
      </c>
      <c r="F161" s="7">
        <f>'07_Base_Limpia'!J161</f>
        <v>3</v>
      </c>
      <c r="G161" s="7">
        <f t="shared" si="4"/>
        <v>-2</v>
      </c>
      <c r="H161" s="7" t="str">
        <f>'07_Base_Limpia'!L161</f>
        <v>Pierde</v>
      </c>
      <c r="I161" s="7">
        <f t="shared" si="5"/>
        <v>0</v>
      </c>
    </row>
    <row r="162" spans="1:9" ht="15" customHeight="1">
      <c r="A162" s="7">
        <f>'07_Base_Limpia'!B162</f>
        <v>2026</v>
      </c>
      <c r="B162" s="7" t="str">
        <f>'07_Base_Limpia'!G162</f>
        <v>Egypt</v>
      </c>
      <c r="C162" s="7" t="str">
        <f>'07_Base_Limpia'!H162</f>
        <v>Iran</v>
      </c>
      <c r="D162" s="7" t="s">
        <v>1008</v>
      </c>
      <c r="E162" s="7">
        <f>'07_Base_Limpia'!I162</f>
        <v>1</v>
      </c>
      <c r="F162" s="7">
        <f>'07_Base_Limpia'!J162</f>
        <v>1</v>
      </c>
      <c r="G162" s="7">
        <f t="shared" si="4"/>
        <v>0</v>
      </c>
      <c r="H162" s="7" t="str">
        <f>'07_Base_Limpia'!L162</f>
        <v>Empata</v>
      </c>
      <c r="I162" s="7">
        <f t="shared" si="5"/>
        <v>1</v>
      </c>
    </row>
    <row r="163" spans="1:9" ht="15" customHeight="1">
      <c r="A163" s="7">
        <f>'07_Base_Limpia'!B163</f>
        <v>2026</v>
      </c>
      <c r="B163" s="7" t="str">
        <f>'07_Base_Limpia'!G163</f>
        <v>New Zealand</v>
      </c>
      <c r="C163" s="7" t="str">
        <f>'07_Base_Limpia'!H163</f>
        <v>Belgium</v>
      </c>
      <c r="D163" s="7" t="s">
        <v>1008</v>
      </c>
      <c r="E163" s="7">
        <f>'07_Base_Limpia'!I163</f>
        <v>1</v>
      </c>
      <c r="F163" s="7">
        <f>'07_Base_Limpia'!J163</f>
        <v>5</v>
      </c>
      <c r="G163" s="7">
        <f t="shared" si="4"/>
        <v>-4</v>
      </c>
      <c r="H163" s="7" t="str">
        <f>'07_Base_Limpia'!L163</f>
        <v>Pierde</v>
      </c>
      <c r="I163" s="7">
        <f t="shared" si="5"/>
        <v>0</v>
      </c>
    </row>
    <row r="164" spans="1:9" ht="15" customHeight="1">
      <c r="A164" s="7">
        <f>'07_Base_Limpia'!B164</f>
        <v>2026</v>
      </c>
      <c r="B164" s="7" t="str">
        <f>'07_Base_Limpia'!G164</f>
        <v>Cape Verde</v>
      </c>
      <c r="C164" s="7" t="str">
        <f>'07_Base_Limpia'!H164</f>
        <v>Saudi Arabia</v>
      </c>
      <c r="D164" s="7" t="s">
        <v>1008</v>
      </c>
      <c r="E164" s="7">
        <f>'07_Base_Limpia'!I164</f>
        <v>0</v>
      </c>
      <c r="F164" s="7">
        <f>'07_Base_Limpia'!J164</f>
        <v>0</v>
      </c>
      <c r="G164" s="7">
        <f t="shared" si="4"/>
        <v>0</v>
      </c>
      <c r="H164" s="7" t="str">
        <f>'07_Base_Limpia'!L164</f>
        <v>Empata</v>
      </c>
      <c r="I164" s="7">
        <f t="shared" si="5"/>
        <v>1</v>
      </c>
    </row>
    <row r="165" spans="1:9" ht="15" customHeight="1">
      <c r="A165" s="7">
        <f>'07_Base_Limpia'!B165</f>
        <v>2026</v>
      </c>
      <c r="B165" s="7" t="str">
        <f>'07_Base_Limpia'!G165</f>
        <v>Uruguay</v>
      </c>
      <c r="C165" s="7" t="str">
        <f>'07_Base_Limpia'!H165</f>
        <v>Spain</v>
      </c>
      <c r="D165" s="7" t="s">
        <v>1008</v>
      </c>
      <c r="E165" s="7">
        <f>'07_Base_Limpia'!I165</f>
        <v>0</v>
      </c>
      <c r="F165" s="7">
        <f>'07_Base_Limpia'!J165</f>
        <v>1</v>
      </c>
      <c r="G165" s="7">
        <f t="shared" si="4"/>
        <v>-1</v>
      </c>
      <c r="H165" s="7" t="str">
        <f>'07_Base_Limpia'!L165</f>
        <v>Pierde</v>
      </c>
      <c r="I165" s="7">
        <f t="shared" si="5"/>
        <v>0</v>
      </c>
    </row>
    <row r="166" spans="1:9" ht="15" customHeight="1">
      <c r="A166" s="7">
        <f>'07_Base_Limpia'!B166</f>
        <v>2026</v>
      </c>
      <c r="B166" s="7" t="str">
        <f>'07_Base_Limpia'!G166</f>
        <v>Norway</v>
      </c>
      <c r="C166" s="7" t="str">
        <f>'07_Base_Limpia'!H166</f>
        <v>France</v>
      </c>
      <c r="D166" s="7" t="s">
        <v>1008</v>
      </c>
      <c r="E166" s="7">
        <f>'07_Base_Limpia'!I166</f>
        <v>1</v>
      </c>
      <c r="F166" s="7">
        <f>'07_Base_Limpia'!J166</f>
        <v>4</v>
      </c>
      <c r="G166" s="7">
        <f t="shared" si="4"/>
        <v>-3</v>
      </c>
      <c r="H166" s="7" t="str">
        <f>'07_Base_Limpia'!L166</f>
        <v>Pierde</v>
      </c>
      <c r="I166" s="7">
        <f t="shared" si="5"/>
        <v>0</v>
      </c>
    </row>
    <row r="167" spans="1:9" ht="15" customHeight="1">
      <c r="A167" s="7">
        <f>'07_Base_Limpia'!B167</f>
        <v>2026</v>
      </c>
      <c r="B167" s="7" t="str">
        <f>'07_Base_Limpia'!G167</f>
        <v>Senegal</v>
      </c>
      <c r="C167" s="7" t="str">
        <f>'07_Base_Limpia'!H167</f>
        <v>Iraq</v>
      </c>
      <c r="D167" s="7" t="s">
        <v>1008</v>
      </c>
      <c r="E167" s="7">
        <f>'07_Base_Limpia'!I167</f>
        <v>5</v>
      </c>
      <c r="F167" s="7">
        <f>'07_Base_Limpia'!J167</f>
        <v>0</v>
      </c>
      <c r="G167" s="7">
        <f t="shared" si="4"/>
        <v>5</v>
      </c>
      <c r="H167" s="7" t="str">
        <f>'07_Base_Limpia'!L167</f>
        <v>Gana</v>
      </c>
      <c r="I167" s="7">
        <f t="shared" si="5"/>
        <v>3</v>
      </c>
    </row>
    <row r="168" spans="1:9" ht="15" customHeight="1">
      <c r="A168" s="7">
        <f>'07_Base_Limpia'!B168</f>
        <v>2026</v>
      </c>
      <c r="B168" s="7" t="str">
        <f>'07_Base_Limpia'!G168</f>
        <v>Algeria</v>
      </c>
      <c r="C168" s="7" t="str">
        <f>'07_Base_Limpia'!H168</f>
        <v>Austria</v>
      </c>
      <c r="D168" s="7" t="s">
        <v>1008</v>
      </c>
      <c r="E168" s="7">
        <f>'07_Base_Limpia'!I168</f>
        <v>3</v>
      </c>
      <c r="F168" s="7">
        <f>'07_Base_Limpia'!J168</f>
        <v>3</v>
      </c>
      <c r="G168" s="7">
        <f t="shared" si="4"/>
        <v>0</v>
      </c>
      <c r="H168" s="7" t="str">
        <f>'07_Base_Limpia'!L168</f>
        <v>Empata</v>
      </c>
      <c r="I168" s="7">
        <f t="shared" si="5"/>
        <v>1</v>
      </c>
    </row>
    <row r="169" spans="1:9" ht="15" customHeight="1">
      <c r="A169" s="7">
        <f>'07_Base_Limpia'!B169</f>
        <v>2026</v>
      </c>
      <c r="B169" s="7" t="str">
        <f>'07_Base_Limpia'!G169</f>
        <v>Jordan</v>
      </c>
      <c r="C169" s="7" t="str">
        <f>'07_Base_Limpia'!H169</f>
        <v>Argentina</v>
      </c>
      <c r="D169" s="7" t="s">
        <v>1008</v>
      </c>
      <c r="E169" s="7">
        <f>'07_Base_Limpia'!I169</f>
        <v>1</v>
      </c>
      <c r="F169" s="7">
        <f>'07_Base_Limpia'!J169</f>
        <v>3</v>
      </c>
      <c r="G169" s="7">
        <f t="shared" si="4"/>
        <v>-2</v>
      </c>
      <c r="H169" s="7" t="str">
        <f>'07_Base_Limpia'!L169</f>
        <v>Pierde</v>
      </c>
      <c r="I169" s="7">
        <f t="shared" si="5"/>
        <v>0</v>
      </c>
    </row>
    <row r="170" spans="1:9" ht="15" customHeight="1">
      <c r="A170" s="7">
        <f>'07_Base_Limpia'!B170</f>
        <v>2026</v>
      </c>
      <c r="B170" s="7" t="str">
        <f>'07_Base_Limpia'!G170</f>
        <v>Colombia</v>
      </c>
      <c r="C170" s="7" t="str">
        <f>'07_Base_Limpia'!H170</f>
        <v>Portugal</v>
      </c>
      <c r="D170" s="7" t="s">
        <v>1008</v>
      </c>
      <c r="E170" s="7">
        <f>'07_Base_Limpia'!I170</f>
        <v>0</v>
      </c>
      <c r="F170" s="7">
        <f>'07_Base_Limpia'!J170</f>
        <v>0</v>
      </c>
      <c r="G170" s="7">
        <f t="shared" si="4"/>
        <v>0</v>
      </c>
      <c r="H170" s="7" t="str">
        <f>'07_Base_Limpia'!L170</f>
        <v>Empata</v>
      </c>
      <c r="I170" s="7">
        <f t="shared" si="5"/>
        <v>1</v>
      </c>
    </row>
    <row r="171" spans="1:9" ht="15" customHeight="1">
      <c r="A171" s="7">
        <f>'07_Base_Limpia'!B171</f>
        <v>2026</v>
      </c>
      <c r="B171" s="7" t="str">
        <f>'07_Base_Limpia'!G171</f>
        <v>DR Congo</v>
      </c>
      <c r="C171" s="7" t="str">
        <f>'07_Base_Limpia'!H171</f>
        <v>Uzbekistan</v>
      </c>
      <c r="D171" s="7" t="s">
        <v>1008</v>
      </c>
      <c r="E171" s="7">
        <f>'07_Base_Limpia'!I171</f>
        <v>3</v>
      </c>
      <c r="F171" s="7">
        <f>'07_Base_Limpia'!J171</f>
        <v>1</v>
      </c>
      <c r="G171" s="7">
        <f t="shared" si="4"/>
        <v>2</v>
      </c>
      <c r="H171" s="7" t="str">
        <f>'07_Base_Limpia'!L171</f>
        <v>Gana</v>
      </c>
      <c r="I171" s="7">
        <f t="shared" si="5"/>
        <v>3</v>
      </c>
    </row>
    <row r="172" spans="1:9" ht="15" customHeight="1">
      <c r="A172" s="7">
        <f>'07_Base_Limpia'!B172</f>
        <v>2026</v>
      </c>
      <c r="B172" s="7" t="str">
        <f>'07_Base_Limpia'!G172</f>
        <v>Panama</v>
      </c>
      <c r="C172" s="7" t="str">
        <f>'07_Base_Limpia'!H172</f>
        <v>England</v>
      </c>
      <c r="D172" s="7" t="s">
        <v>1008</v>
      </c>
      <c r="E172" s="7">
        <f>'07_Base_Limpia'!I172</f>
        <v>0</v>
      </c>
      <c r="F172" s="7">
        <f>'07_Base_Limpia'!J172</f>
        <v>2</v>
      </c>
      <c r="G172" s="7">
        <f t="shared" si="4"/>
        <v>-2</v>
      </c>
      <c r="H172" s="7" t="str">
        <f>'07_Base_Limpia'!L172</f>
        <v>Pierde</v>
      </c>
      <c r="I172" s="7">
        <f t="shared" si="5"/>
        <v>0</v>
      </c>
    </row>
    <row r="173" spans="1:9" ht="15" customHeight="1">
      <c r="A173" s="7">
        <f>'07_Base_Limpia'!B173</f>
        <v>2026</v>
      </c>
      <c r="B173" s="7" t="str">
        <f>'07_Base_Limpia'!G173</f>
        <v>Croatia</v>
      </c>
      <c r="C173" s="7" t="str">
        <f>'07_Base_Limpia'!H173</f>
        <v>Ghana</v>
      </c>
      <c r="D173" s="7" t="s">
        <v>1008</v>
      </c>
      <c r="E173" s="7">
        <f>'07_Base_Limpia'!I173</f>
        <v>2</v>
      </c>
      <c r="F173" s="7">
        <f>'07_Base_Limpia'!J173</f>
        <v>1</v>
      </c>
      <c r="G173" s="7">
        <f t="shared" si="4"/>
        <v>1</v>
      </c>
      <c r="H173" s="7" t="str">
        <f>'07_Base_Limpia'!L173</f>
        <v>Gana</v>
      </c>
      <c r="I173" s="7">
        <f t="shared" si="5"/>
        <v>3</v>
      </c>
    </row>
    <row r="174" spans="1:9" ht="15" customHeight="1">
      <c r="A174" s="7">
        <f>'07_Base_Limpia'!B6</f>
        <v>2018</v>
      </c>
      <c r="B174" s="7" t="str">
        <f>'07_Base_Limpia'!H6</f>
        <v>Saudi Arabia</v>
      </c>
      <c r="C174" s="7" t="str">
        <f>'07_Base_Limpia'!G6</f>
        <v>Russia</v>
      </c>
      <c r="D174" s="7" t="s">
        <v>1009</v>
      </c>
      <c r="E174" s="7">
        <f>'07_Base_Limpia'!J6</f>
        <v>0</v>
      </c>
      <c r="F174" s="7">
        <f>'07_Base_Limpia'!I6</f>
        <v>5</v>
      </c>
      <c r="G174" s="7">
        <f t="shared" si="4"/>
        <v>-5</v>
      </c>
      <c r="H174" s="7" t="str">
        <f>IF('07_Base_Limpia'!L6="Gana","Pierde",IF('07_Base_Limpia'!L6="Empata","Empata","Gana"))</f>
        <v>Pierde</v>
      </c>
      <c r="I174" s="7">
        <f t="shared" si="5"/>
        <v>0</v>
      </c>
    </row>
    <row r="175" spans="1:9" ht="15" customHeight="1">
      <c r="A175" s="7">
        <f>'07_Base_Limpia'!B7</f>
        <v>2018</v>
      </c>
      <c r="B175" s="7" t="str">
        <f>'07_Base_Limpia'!H7</f>
        <v>Uruguay</v>
      </c>
      <c r="C175" s="7" t="str">
        <f>'07_Base_Limpia'!G7</f>
        <v>Egypt</v>
      </c>
      <c r="D175" s="7" t="s">
        <v>1009</v>
      </c>
      <c r="E175" s="7">
        <f>'07_Base_Limpia'!J7</f>
        <v>1</v>
      </c>
      <c r="F175" s="7">
        <f>'07_Base_Limpia'!I7</f>
        <v>0</v>
      </c>
      <c r="G175" s="7">
        <f t="shared" si="4"/>
        <v>1</v>
      </c>
      <c r="H175" s="7" t="str">
        <f>IF('07_Base_Limpia'!L7="Gana","Pierde",IF('07_Base_Limpia'!L7="Empata","Empata","Gana"))</f>
        <v>Gana</v>
      </c>
      <c r="I175" s="7">
        <f t="shared" si="5"/>
        <v>3</v>
      </c>
    </row>
    <row r="176" spans="1:9" ht="15" customHeight="1">
      <c r="A176" s="7">
        <f>'07_Base_Limpia'!B8</f>
        <v>2018</v>
      </c>
      <c r="B176" s="7" t="str">
        <f>'07_Base_Limpia'!H8</f>
        <v>Iran</v>
      </c>
      <c r="C176" s="7" t="str">
        <f>'07_Base_Limpia'!G8</f>
        <v>Morocco</v>
      </c>
      <c r="D176" s="7" t="s">
        <v>1009</v>
      </c>
      <c r="E176" s="7">
        <f>'07_Base_Limpia'!J8</f>
        <v>1</v>
      </c>
      <c r="F176" s="7">
        <f>'07_Base_Limpia'!I8</f>
        <v>0</v>
      </c>
      <c r="G176" s="7">
        <f t="shared" si="4"/>
        <v>1</v>
      </c>
      <c r="H176" s="7" t="str">
        <f>IF('07_Base_Limpia'!L8="Gana","Pierde",IF('07_Base_Limpia'!L8="Empata","Empata","Gana"))</f>
        <v>Gana</v>
      </c>
      <c r="I176" s="7">
        <f t="shared" si="5"/>
        <v>3</v>
      </c>
    </row>
    <row r="177" spans="1:9" ht="15" customHeight="1">
      <c r="A177" s="7">
        <f>'07_Base_Limpia'!B9</f>
        <v>2018</v>
      </c>
      <c r="B177" s="7" t="str">
        <f>'07_Base_Limpia'!H9</f>
        <v>Spain</v>
      </c>
      <c r="C177" s="7" t="str">
        <f>'07_Base_Limpia'!G9</f>
        <v>Portugal</v>
      </c>
      <c r="D177" s="7" t="s">
        <v>1009</v>
      </c>
      <c r="E177" s="7">
        <f>'07_Base_Limpia'!J9</f>
        <v>3</v>
      </c>
      <c r="F177" s="7">
        <f>'07_Base_Limpia'!I9</f>
        <v>3</v>
      </c>
      <c r="G177" s="7">
        <f t="shared" si="4"/>
        <v>0</v>
      </c>
      <c r="H177" s="7" t="str">
        <f>IF('07_Base_Limpia'!L9="Gana","Pierde",IF('07_Base_Limpia'!L9="Empata","Empata","Gana"))</f>
        <v>Empata</v>
      </c>
      <c r="I177" s="7">
        <f t="shared" si="5"/>
        <v>1</v>
      </c>
    </row>
    <row r="178" spans="1:9" ht="15" customHeight="1">
      <c r="A178" s="7">
        <f>'07_Base_Limpia'!B10</f>
        <v>2018</v>
      </c>
      <c r="B178" s="7" t="str">
        <f>'07_Base_Limpia'!H10</f>
        <v>Australia</v>
      </c>
      <c r="C178" s="7" t="str">
        <f>'07_Base_Limpia'!G10</f>
        <v>France</v>
      </c>
      <c r="D178" s="7" t="s">
        <v>1009</v>
      </c>
      <c r="E178" s="7">
        <f>'07_Base_Limpia'!J10</f>
        <v>1</v>
      </c>
      <c r="F178" s="7">
        <f>'07_Base_Limpia'!I10</f>
        <v>2</v>
      </c>
      <c r="G178" s="7">
        <f t="shared" si="4"/>
        <v>-1</v>
      </c>
      <c r="H178" s="7" t="str">
        <f>IF('07_Base_Limpia'!L10="Gana","Pierde",IF('07_Base_Limpia'!L10="Empata","Empata","Gana"))</f>
        <v>Pierde</v>
      </c>
      <c r="I178" s="7">
        <f t="shared" si="5"/>
        <v>0</v>
      </c>
    </row>
    <row r="179" spans="1:9" ht="15" customHeight="1">
      <c r="A179" s="7">
        <f>'07_Base_Limpia'!B11</f>
        <v>2018</v>
      </c>
      <c r="B179" s="7" t="str">
        <f>'07_Base_Limpia'!H11</f>
        <v>Iceland</v>
      </c>
      <c r="C179" s="7" t="str">
        <f>'07_Base_Limpia'!G11</f>
        <v>Argentina</v>
      </c>
      <c r="D179" s="7" t="s">
        <v>1009</v>
      </c>
      <c r="E179" s="7">
        <f>'07_Base_Limpia'!J11</f>
        <v>1</v>
      </c>
      <c r="F179" s="7">
        <f>'07_Base_Limpia'!I11</f>
        <v>1</v>
      </c>
      <c r="G179" s="7">
        <f t="shared" si="4"/>
        <v>0</v>
      </c>
      <c r="H179" s="7" t="str">
        <f>IF('07_Base_Limpia'!L11="Gana","Pierde",IF('07_Base_Limpia'!L11="Empata","Empata","Gana"))</f>
        <v>Empata</v>
      </c>
      <c r="I179" s="7">
        <f t="shared" si="5"/>
        <v>1</v>
      </c>
    </row>
    <row r="180" spans="1:9" ht="15" customHeight="1">
      <c r="A180" s="7">
        <f>'07_Base_Limpia'!B12</f>
        <v>2018</v>
      </c>
      <c r="B180" s="7" t="str">
        <f>'07_Base_Limpia'!H12</f>
        <v>Denmark</v>
      </c>
      <c r="C180" s="7" t="str">
        <f>'07_Base_Limpia'!G12</f>
        <v>Peru</v>
      </c>
      <c r="D180" s="7" t="s">
        <v>1009</v>
      </c>
      <c r="E180" s="7">
        <f>'07_Base_Limpia'!J12</f>
        <v>1</v>
      </c>
      <c r="F180" s="7">
        <f>'07_Base_Limpia'!I12</f>
        <v>0</v>
      </c>
      <c r="G180" s="7">
        <f t="shared" si="4"/>
        <v>1</v>
      </c>
      <c r="H180" s="7" t="str">
        <f>IF('07_Base_Limpia'!L12="Gana","Pierde",IF('07_Base_Limpia'!L12="Empata","Empata","Gana"))</f>
        <v>Gana</v>
      </c>
      <c r="I180" s="7">
        <f t="shared" si="5"/>
        <v>3</v>
      </c>
    </row>
    <row r="181" spans="1:9" ht="15" customHeight="1">
      <c r="A181" s="7">
        <f>'07_Base_Limpia'!B13</f>
        <v>2018</v>
      </c>
      <c r="B181" s="7" t="str">
        <f>'07_Base_Limpia'!H13</f>
        <v>Nigeria</v>
      </c>
      <c r="C181" s="7" t="str">
        <f>'07_Base_Limpia'!G13</f>
        <v>Croatia</v>
      </c>
      <c r="D181" s="7" t="s">
        <v>1009</v>
      </c>
      <c r="E181" s="7">
        <f>'07_Base_Limpia'!J13</f>
        <v>0</v>
      </c>
      <c r="F181" s="7">
        <f>'07_Base_Limpia'!I13</f>
        <v>2</v>
      </c>
      <c r="G181" s="7">
        <f t="shared" si="4"/>
        <v>-2</v>
      </c>
      <c r="H181" s="7" t="str">
        <f>IF('07_Base_Limpia'!L13="Gana","Pierde",IF('07_Base_Limpia'!L13="Empata","Empata","Gana"))</f>
        <v>Pierde</v>
      </c>
      <c r="I181" s="7">
        <f t="shared" si="5"/>
        <v>0</v>
      </c>
    </row>
    <row r="182" spans="1:9" ht="15" customHeight="1">
      <c r="A182" s="7">
        <f>'07_Base_Limpia'!B14</f>
        <v>2018</v>
      </c>
      <c r="B182" s="7" t="str">
        <f>'07_Base_Limpia'!H14</f>
        <v>Serbia</v>
      </c>
      <c r="C182" s="7" t="str">
        <f>'07_Base_Limpia'!G14</f>
        <v>Costa Rica</v>
      </c>
      <c r="D182" s="7" t="s">
        <v>1009</v>
      </c>
      <c r="E182" s="7">
        <f>'07_Base_Limpia'!J14</f>
        <v>1</v>
      </c>
      <c r="F182" s="7">
        <f>'07_Base_Limpia'!I14</f>
        <v>0</v>
      </c>
      <c r="G182" s="7">
        <f t="shared" si="4"/>
        <v>1</v>
      </c>
      <c r="H182" s="7" t="str">
        <f>IF('07_Base_Limpia'!L14="Gana","Pierde",IF('07_Base_Limpia'!L14="Empata","Empata","Gana"))</f>
        <v>Gana</v>
      </c>
      <c r="I182" s="7">
        <f t="shared" si="5"/>
        <v>3</v>
      </c>
    </row>
    <row r="183" spans="1:9" ht="15" customHeight="1">
      <c r="A183" s="7">
        <f>'07_Base_Limpia'!B15</f>
        <v>2018</v>
      </c>
      <c r="B183" s="7" t="str">
        <f>'07_Base_Limpia'!H15</f>
        <v>Mexico</v>
      </c>
      <c r="C183" s="7" t="str">
        <f>'07_Base_Limpia'!G15</f>
        <v>Germany</v>
      </c>
      <c r="D183" s="7" t="s">
        <v>1009</v>
      </c>
      <c r="E183" s="7">
        <f>'07_Base_Limpia'!J15</f>
        <v>1</v>
      </c>
      <c r="F183" s="7">
        <f>'07_Base_Limpia'!I15</f>
        <v>0</v>
      </c>
      <c r="G183" s="7">
        <f t="shared" si="4"/>
        <v>1</v>
      </c>
      <c r="H183" s="7" t="str">
        <f>IF('07_Base_Limpia'!L15="Gana","Pierde",IF('07_Base_Limpia'!L15="Empata","Empata","Gana"))</f>
        <v>Gana</v>
      </c>
      <c r="I183" s="7">
        <f t="shared" si="5"/>
        <v>3</v>
      </c>
    </row>
    <row r="184" spans="1:9" ht="15" customHeight="1">
      <c r="A184" s="7">
        <f>'07_Base_Limpia'!B16</f>
        <v>2018</v>
      </c>
      <c r="B184" s="7" t="str">
        <f>'07_Base_Limpia'!H16</f>
        <v>Switzerland</v>
      </c>
      <c r="C184" s="7" t="str">
        <f>'07_Base_Limpia'!G16</f>
        <v>Brazil</v>
      </c>
      <c r="D184" s="7" t="s">
        <v>1009</v>
      </c>
      <c r="E184" s="7">
        <f>'07_Base_Limpia'!J16</f>
        <v>1</v>
      </c>
      <c r="F184" s="7">
        <f>'07_Base_Limpia'!I16</f>
        <v>1</v>
      </c>
      <c r="G184" s="7">
        <f t="shared" si="4"/>
        <v>0</v>
      </c>
      <c r="H184" s="7" t="str">
        <f>IF('07_Base_Limpia'!L16="Gana","Pierde",IF('07_Base_Limpia'!L16="Empata","Empata","Gana"))</f>
        <v>Empata</v>
      </c>
      <c r="I184" s="7">
        <f t="shared" si="5"/>
        <v>1</v>
      </c>
    </row>
    <row r="185" spans="1:9" ht="15" customHeight="1">
      <c r="A185" s="7">
        <f>'07_Base_Limpia'!B17</f>
        <v>2018</v>
      </c>
      <c r="B185" s="7" t="str">
        <f>'07_Base_Limpia'!H17</f>
        <v>South Korea</v>
      </c>
      <c r="C185" s="7" t="str">
        <f>'07_Base_Limpia'!G17</f>
        <v>Sweden</v>
      </c>
      <c r="D185" s="7" t="s">
        <v>1009</v>
      </c>
      <c r="E185" s="7">
        <f>'07_Base_Limpia'!J17</f>
        <v>0</v>
      </c>
      <c r="F185" s="7">
        <f>'07_Base_Limpia'!I17</f>
        <v>1</v>
      </c>
      <c r="G185" s="7">
        <f t="shared" si="4"/>
        <v>-1</v>
      </c>
      <c r="H185" s="7" t="str">
        <f>IF('07_Base_Limpia'!L17="Gana","Pierde",IF('07_Base_Limpia'!L17="Empata","Empata","Gana"))</f>
        <v>Pierde</v>
      </c>
      <c r="I185" s="7">
        <f t="shared" si="5"/>
        <v>0</v>
      </c>
    </row>
    <row r="186" spans="1:9" ht="15" customHeight="1">
      <c r="A186" s="7">
        <f>'07_Base_Limpia'!B18</f>
        <v>2018</v>
      </c>
      <c r="B186" s="7" t="str">
        <f>'07_Base_Limpia'!H18</f>
        <v>Panama</v>
      </c>
      <c r="C186" s="7" t="str">
        <f>'07_Base_Limpia'!G18</f>
        <v>Belgium</v>
      </c>
      <c r="D186" s="7" t="s">
        <v>1009</v>
      </c>
      <c r="E186" s="7">
        <f>'07_Base_Limpia'!J18</f>
        <v>0</v>
      </c>
      <c r="F186" s="7">
        <f>'07_Base_Limpia'!I18</f>
        <v>3</v>
      </c>
      <c r="G186" s="7">
        <f t="shared" si="4"/>
        <v>-3</v>
      </c>
      <c r="H186" s="7" t="str">
        <f>IF('07_Base_Limpia'!L18="Gana","Pierde",IF('07_Base_Limpia'!L18="Empata","Empata","Gana"))</f>
        <v>Pierde</v>
      </c>
      <c r="I186" s="7">
        <f t="shared" si="5"/>
        <v>0</v>
      </c>
    </row>
    <row r="187" spans="1:9" ht="15" customHeight="1">
      <c r="A187" s="7">
        <f>'07_Base_Limpia'!B19</f>
        <v>2018</v>
      </c>
      <c r="B187" s="7" t="str">
        <f>'07_Base_Limpia'!H19</f>
        <v>England</v>
      </c>
      <c r="C187" s="7" t="str">
        <f>'07_Base_Limpia'!G19</f>
        <v>Tunisia</v>
      </c>
      <c r="D187" s="7" t="s">
        <v>1009</v>
      </c>
      <c r="E187" s="7">
        <f>'07_Base_Limpia'!J19</f>
        <v>2</v>
      </c>
      <c r="F187" s="7">
        <f>'07_Base_Limpia'!I19</f>
        <v>1</v>
      </c>
      <c r="G187" s="7">
        <f t="shared" si="4"/>
        <v>1</v>
      </c>
      <c r="H187" s="7" t="str">
        <f>IF('07_Base_Limpia'!L19="Gana","Pierde",IF('07_Base_Limpia'!L19="Empata","Empata","Gana"))</f>
        <v>Gana</v>
      </c>
      <c r="I187" s="7">
        <f t="shared" si="5"/>
        <v>3</v>
      </c>
    </row>
    <row r="188" spans="1:9" ht="15" customHeight="1">
      <c r="A188" s="7">
        <f>'07_Base_Limpia'!B20</f>
        <v>2018</v>
      </c>
      <c r="B188" s="7" t="str">
        <f>'07_Base_Limpia'!H20</f>
        <v>Japan</v>
      </c>
      <c r="C188" s="7" t="str">
        <f>'07_Base_Limpia'!G20</f>
        <v>Colombia</v>
      </c>
      <c r="D188" s="7" t="s">
        <v>1009</v>
      </c>
      <c r="E188" s="7">
        <f>'07_Base_Limpia'!J20</f>
        <v>2</v>
      </c>
      <c r="F188" s="7">
        <f>'07_Base_Limpia'!I20</f>
        <v>1</v>
      </c>
      <c r="G188" s="7">
        <f t="shared" si="4"/>
        <v>1</v>
      </c>
      <c r="H188" s="7" t="str">
        <f>IF('07_Base_Limpia'!L20="Gana","Pierde",IF('07_Base_Limpia'!L20="Empata","Empata","Gana"))</f>
        <v>Gana</v>
      </c>
      <c r="I188" s="7">
        <f t="shared" si="5"/>
        <v>3</v>
      </c>
    </row>
    <row r="189" spans="1:9" ht="15" customHeight="1">
      <c r="A189" s="7">
        <f>'07_Base_Limpia'!B21</f>
        <v>2018</v>
      </c>
      <c r="B189" s="7" t="str">
        <f>'07_Base_Limpia'!H21</f>
        <v>Senegal</v>
      </c>
      <c r="C189" s="7" t="str">
        <f>'07_Base_Limpia'!G21</f>
        <v>Poland</v>
      </c>
      <c r="D189" s="7" t="s">
        <v>1009</v>
      </c>
      <c r="E189" s="7">
        <f>'07_Base_Limpia'!J21</f>
        <v>2</v>
      </c>
      <c r="F189" s="7">
        <f>'07_Base_Limpia'!I21</f>
        <v>1</v>
      </c>
      <c r="G189" s="7">
        <f t="shared" si="4"/>
        <v>1</v>
      </c>
      <c r="H189" s="7" t="str">
        <f>IF('07_Base_Limpia'!L21="Gana","Pierde",IF('07_Base_Limpia'!L21="Empata","Empata","Gana"))</f>
        <v>Gana</v>
      </c>
      <c r="I189" s="7">
        <f t="shared" si="5"/>
        <v>3</v>
      </c>
    </row>
    <row r="190" spans="1:9" ht="15" customHeight="1">
      <c r="A190" s="7">
        <f>'07_Base_Limpia'!B22</f>
        <v>2018</v>
      </c>
      <c r="B190" s="7" t="str">
        <f>'07_Base_Limpia'!H22</f>
        <v>Egypt</v>
      </c>
      <c r="C190" s="7" t="str">
        <f>'07_Base_Limpia'!G22</f>
        <v>Russia</v>
      </c>
      <c r="D190" s="7" t="s">
        <v>1009</v>
      </c>
      <c r="E190" s="7">
        <f>'07_Base_Limpia'!J22</f>
        <v>1</v>
      </c>
      <c r="F190" s="7">
        <f>'07_Base_Limpia'!I22</f>
        <v>3</v>
      </c>
      <c r="G190" s="7">
        <f t="shared" si="4"/>
        <v>-2</v>
      </c>
      <c r="H190" s="7" t="str">
        <f>IF('07_Base_Limpia'!L22="Gana","Pierde",IF('07_Base_Limpia'!L22="Empata","Empata","Gana"))</f>
        <v>Pierde</v>
      </c>
      <c r="I190" s="7">
        <f t="shared" si="5"/>
        <v>0</v>
      </c>
    </row>
    <row r="191" spans="1:9" ht="15" customHeight="1">
      <c r="A191" s="7">
        <f>'07_Base_Limpia'!B23</f>
        <v>2018</v>
      </c>
      <c r="B191" s="7" t="str">
        <f>'07_Base_Limpia'!H23</f>
        <v>Morocco</v>
      </c>
      <c r="C191" s="7" t="str">
        <f>'07_Base_Limpia'!G23</f>
        <v>Portugal</v>
      </c>
      <c r="D191" s="7" t="s">
        <v>1009</v>
      </c>
      <c r="E191" s="7">
        <f>'07_Base_Limpia'!J23</f>
        <v>0</v>
      </c>
      <c r="F191" s="7">
        <f>'07_Base_Limpia'!I23</f>
        <v>1</v>
      </c>
      <c r="G191" s="7">
        <f t="shared" si="4"/>
        <v>-1</v>
      </c>
      <c r="H191" s="7" t="str">
        <f>IF('07_Base_Limpia'!L23="Gana","Pierde",IF('07_Base_Limpia'!L23="Empata","Empata","Gana"))</f>
        <v>Pierde</v>
      </c>
      <c r="I191" s="7">
        <f t="shared" si="5"/>
        <v>0</v>
      </c>
    </row>
    <row r="192" spans="1:9" ht="15" customHeight="1">
      <c r="A192" s="7">
        <f>'07_Base_Limpia'!B24</f>
        <v>2018</v>
      </c>
      <c r="B192" s="7" t="str">
        <f>'07_Base_Limpia'!H24</f>
        <v>Saudi Arabia</v>
      </c>
      <c r="C192" s="7" t="str">
        <f>'07_Base_Limpia'!G24</f>
        <v>Uruguay</v>
      </c>
      <c r="D192" s="7" t="s">
        <v>1009</v>
      </c>
      <c r="E192" s="7">
        <f>'07_Base_Limpia'!J24</f>
        <v>0</v>
      </c>
      <c r="F192" s="7">
        <f>'07_Base_Limpia'!I24</f>
        <v>1</v>
      </c>
      <c r="G192" s="7">
        <f t="shared" si="4"/>
        <v>-1</v>
      </c>
      <c r="H192" s="7" t="str">
        <f>IF('07_Base_Limpia'!L24="Gana","Pierde",IF('07_Base_Limpia'!L24="Empata","Empata","Gana"))</f>
        <v>Pierde</v>
      </c>
      <c r="I192" s="7">
        <f t="shared" si="5"/>
        <v>0</v>
      </c>
    </row>
    <row r="193" spans="1:9" ht="15" customHeight="1">
      <c r="A193" s="7">
        <f>'07_Base_Limpia'!B25</f>
        <v>2018</v>
      </c>
      <c r="B193" s="7" t="str">
        <f>'07_Base_Limpia'!H25</f>
        <v>Spain</v>
      </c>
      <c r="C193" s="7" t="str">
        <f>'07_Base_Limpia'!G25</f>
        <v>Iran</v>
      </c>
      <c r="D193" s="7" t="s">
        <v>1009</v>
      </c>
      <c r="E193" s="7">
        <f>'07_Base_Limpia'!J25</f>
        <v>1</v>
      </c>
      <c r="F193" s="7">
        <f>'07_Base_Limpia'!I25</f>
        <v>0</v>
      </c>
      <c r="G193" s="7">
        <f t="shared" si="4"/>
        <v>1</v>
      </c>
      <c r="H193" s="7" t="str">
        <f>IF('07_Base_Limpia'!L25="Gana","Pierde",IF('07_Base_Limpia'!L25="Empata","Empata","Gana"))</f>
        <v>Gana</v>
      </c>
      <c r="I193" s="7">
        <f t="shared" si="5"/>
        <v>3</v>
      </c>
    </row>
    <row r="194" spans="1:9" ht="15" customHeight="1">
      <c r="A194" s="7">
        <f>'07_Base_Limpia'!B26</f>
        <v>2018</v>
      </c>
      <c r="B194" s="7" t="str">
        <f>'07_Base_Limpia'!H26</f>
        <v>Australia</v>
      </c>
      <c r="C194" s="7" t="str">
        <f>'07_Base_Limpia'!G26</f>
        <v>Denmark</v>
      </c>
      <c r="D194" s="7" t="s">
        <v>1009</v>
      </c>
      <c r="E194" s="7">
        <f>'07_Base_Limpia'!J26</f>
        <v>1</v>
      </c>
      <c r="F194" s="7">
        <f>'07_Base_Limpia'!I26</f>
        <v>1</v>
      </c>
      <c r="G194" s="7">
        <f t="shared" si="4"/>
        <v>0</v>
      </c>
      <c r="H194" s="7" t="str">
        <f>IF('07_Base_Limpia'!L26="Gana","Pierde",IF('07_Base_Limpia'!L26="Empata","Empata","Gana"))</f>
        <v>Empata</v>
      </c>
      <c r="I194" s="7">
        <f t="shared" si="5"/>
        <v>1</v>
      </c>
    </row>
    <row r="195" spans="1:9" ht="15" customHeight="1">
      <c r="A195" s="7">
        <f>'07_Base_Limpia'!B27</f>
        <v>2018</v>
      </c>
      <c r="B195" s="7" t="str">
        <f>'07_Base_Limpia'!H27</f>
        <v>Peru</v>
      </c>
      <c r="C195" s="7" t="str">
        <f>'07_Base_Limpia'!G27</f>
        <v>France</v>
      </c>
      <c r="D195" s="7" t="s">
        <v>1009</v>
      </c>
      <c r="E195" s="7">
        <f>'07_Base_Limpia'!J27</f>
        <v>0</v>
      </c>
      <c r="F195" s="7">
        <f>'07_Base_Limpia'!I27</f>
        <v>1</v>
      </c>
      <c r="G195" s="7">
        <f t="shared" si="4"/>
        <v>-1</v>
      </c>
      <c r="H195" s="7" t="str">
        <f>IF('07_Base_Limpia'!L27="Gana","Pierde",IF('07_Base_Limpia'!L27="Empata","Empata","Gana"))</f>
        <v>Pierde</v>
      </c>
      <c r="I195" s="7">
        <f t="shared" si="5"/>
        <v>0</v>
      </c>
    </row>
    <row r="196" spans="1:9" ht="15" customHeight="1">
      <c r="A196" s="7">
        <f>'07_Base_Limpia'!B28</f>
        <v>2018</v>
      </c>
      <c r="B196" s="7" t="str">
        <f>'07_Base_Limpia'!H28</f>
        <v>Croatia</v>
      </c>
      <c r="C196" s="7" t="str">
        <f>'07_Base_Limpia'!G28</f>
        <v>Argentina</v>
      </c>
      <c r="D196" s="7" t="s">
        <v>1009</v>
      </c>
      <c r="E196" s="7">
        <f>'07_Base_Limpia'!J28</f>
        <v>3</v>
      </c>
      <c r="F196" s="7">
        <f>'07_Base_Limpia'!I28</f>
        <v>0</v>
      </c>
      <c r="G196" s="7">
        <f t="shared" si="4"/>
        <v>3</v>
      </c>
      <c r="H196" s="7" t="str">
        <f>IF('07_Base_Limpia'!L28="Gana","Pierde",IF('07_Base_Limpia'!L28="Empata","Empata","Gana"))</f>
        <v>Gana</v>
      </c>
      <c r="I196" s="7">
        <f t="shared" si="5"/>
        <v>3</v>
      </c>
    </row>
    <row r="197" spans="1:9" ht="15" customHeight="1">
      <c r="A197" s="7">
        <f>'07_Base_Limpia'!B29</f>
        <v>2018</v>
      </c>
      <c r="B197" s="7" t="str">
        <f>'07_Base_Limpia'!H29</f>
        <v>Costa Rica</v>
      </c>
      <c r="C197" s="7" t="str">
        <f>'07_Base_Limpia'!G29</f>
        <v>Brazil</v>
      </c>
      <c r="D197" s="7" t="s">
        <v>1009</v>
      </c>
      <c r="E197" s="7">
        <f>'07_Base_Limpia'!J29</f>
        <v>0</v>
      </c>
      <c r="F197" s="7">
        <f>'07_Base_Limpia'!I29</f>
        <v>2</v>
      </c>
      <c r="G197" s="7">
        <f t="shared" si="4"/>
        <v>-2</v>
      </c>
      <c r="H197" s="7" t="str">
        <f>IF('07_Base_Limpia'!L29="Gana","Pierde",IF('07_Base_Limpia'!L29="Empata","Empata","Gana"))</f>
        <v>Pierde</v>
      </c>
      <c r="I197" s="7">
        <f t="shared" si="5"/>
        <v>0</v>
      </c>
    </row>
    <row r="198" spans="1:9" ht="15" customHeight="1">
      <c r="A198" s="7">
        <f>'07_Base_Limpia'!B30</f>
        <v>2018</v>
      </c>
      <c r="B198" s="7" t="str">
        <f>'07_Base_Limpia'!H30</f>
        <v>Iceland</v>
      </c>
      <c r="C198" s="7" t="str">
        <f>'07_Base_Limpia'!G30</f>
        <v>Nigeria</v>
      </c>
      <c r="D198" s="7" t="s">
        <v>1009</v>
      </c>
      <c r="E198" s="7">
        <f>'07_Base_Limpia'!J30</f>
        <v>0</v>
      </c>
      <c r="F198" s="7">
        <f>'07_Base_Limpia'!I30</f>
        <v>2</v>
      </c>
      <c r="G198" s="7">
        <f t="shared" ref="G198:G261" si="6">E198-F198</f>
        <v>-2</v>
      </c>
      <c r="H198" s="7" t="str">
        <f>IF('07_Base_Limpia'!L30="Gana","Pierde",IF('07_Base_Limpia'!L30="Empata","Empata","Gana"))</f>
        <v>Pierde</v>
      </c>
      <c r="I198" s="7">
        <f t="shared" ref="I198:I261" si="7">IF(H198="Gana",3,IF(H198="Empata",1,0))</f>
        <v>0</v>
      </c>
    </row>
    <row r="199" spans="1:9" ht="15" customHeight="1">
      <c r="A199" s="7">
        <f>'07_Base_Limpia'!B31</f>
        <v>2018</v>
      </c>
      <c r="B199" s="7" t="str">
        <f>'07_Base_Limpia'!H31</f>
        <v>Switzerland</v>
      </c>
      <c r="C199" s="7" t="str">
        <f>'07_Base_Limpia'!G31</f>
        <v>Serbia</v>
      </c>
      <c r="D199" s="7" t="s">
        <v>1009</v>
      </c>
      <c r="E199" s="7">
        <f>'07_Base_Limpia'!J31</f>
        <v>2</v>
      </c>
      <c r="F199" s="7">
        <f>'07_Base_Limpia'!I31</f>
        <v>1</v>
      </c>
      <c r="G199" s="7">
        <f t="shared" si="6"/>
        <v>1</v>
      </c>
      <c r="H199" s="7" t="str">
        <f>IF('07_Base_Limpia'!L31="Gana","Pierde",IF('07_Base_Limpia'!L31="Empata","Empata","Gana"))</f>
        <v>Gana</v>
      </c>
      <c r="I199" s="7">
        <f t="shared" si="7"/>
        <v>3</v>
      </c>
    </row>
    <row r="200" spans="1:9" ht="15" customHeight="1">
      <c r="A200" s="7">
        <f>'07_Base_Limpia'!B32</f>
        <v>2018</v>
      </c>
      <c r="B200" s="7" t="str">
        <f>'07_Base_Limpia'!H32</f>
        <v>Tunisia</v>
      </c>
      <c r="C200" s="7" t="str">
        <f>'07_Base_Limpia'!G32</f>
        <v>Belgium</v>
      </c>
      <c r="D200" s="7" t="s">
        <v>1009</v>
      </c>
      <c r="E200" s="7">
        <f>'07_Base_Limpia'!J32</f>
        <v>2</v>
      </c>
      <c r="F200" s="7">
        <f>'07_Base_Limpia'!I32</f>
        <v>5</v>
      </c>
      <c r="G200" s="7">
        <f t="shared" si="6"/>
        <v>-3</v>
      </c>
      <c r="H200" s="7" t="str">
        <f>IF('07_Base_Limpia'!L32="Gana","Pierde",IF('07_Base_Limpia'!L32="Empata","Empata","Gana"))</f>
        <v>Pierde</v>
      </c>
      <c r="I200" s="7">
        <f t="shared" si="7"/>
        <v>0</v>
      </c>
    </row>
    <row r="201" spans="1:9" ht="15" customHeight="1">
      <c r="A201" s="7">
        <f>'07_Base_Limpia'!B33</f>
        <v>2018</v>
      </c>
      <c r="B201" s="7" t="str">
        <f>'07_Base_Limpia'!H33</f>
        <v>Mexico</v>
      </c>
      <c r="C201" s="7" t="str">
        <f>'07_Base_Limpia'!G33</f>
        <v>South Korea</v>
      </c>
      <c r="D201" s="7" t="s">
        <v>1009</v>
      </c>
      <c r="E201" s="7">
        <f>'07_Base_Limpia'!J33</f>
        <v>2</v>
      </c>
      <c r="F201" s="7">
        <f>'07_Base_Limpia'!I33</f>
        <v>1</v>
      </c>
      <c r="G201" s="7">
        <f t="shared" si="6"/>
        <v>1</v>
      </c>
      <c r="H201" s="7" t="str">
        <f>IF('07_Base_Limpia'!L33="Gana","Pierde",IF('07_Base_Limpia'!L33="Empata","Empata","Gana"))</f>
        <v>Gana</v>
      </c>
      <c r="I201" s="7">
        <f t="shared" si="7"/>
        <v>3</v>
      </c>
    </row>
    <row r="202" spans="1:9" ht="15" customHeight="1">
      <c r="A202" s="7">
        <f>'07_Base_Limpia'!B34</f>
        <v>2018</v>
      </c>
      <c r="B202" s="7" t="str">
        <f>'07_Base_Limpia'!H34</f>
        <v>Sweden</v>
      </c>
      <c r="C202" s="7" t="str">
        <f>'07_Base_Limpia'!G34</f>
        <v>Germany</v>
      </c>
      <c r="D202" s="7" t="s">
        <v>1009</v>
      </c>
      <c r="E202" s="7">
        <f>'07_Base_Limpia'!J34</f>
        <v>1</v>
      </c>
      <c r="F202" s="7">
        <f>'07_Base_Limpia'!I34</f>
        <v>2</v>
      </c>
      <c r="G202" s="7">
        <f t="shared" si="6"/>
        <v>-1</v>
      </c>
      <c r="H202" s="7" t="str">
        <f>IF('07_Base_Limpia'!L34="Gana","Pierde",IF('07_Base_Limpia'!L34="Empata","Empata","Gana"))</f>
        <v>Pierde</v>
      </c>
      <c r="I202" s="7">
        <f t="shared" si="7"/>
        <v>0</v>
      </c>
    </row>
    <row r="203" spans="1:9" ht="15" customHeight="1">
      <c r="A203" s="7">
        <f>'07_Base_Limpia'!B35</f>
        <v>2018</v>
      </c>
      <c r="B203" s="7" t="str">
        <f>'07_Base_Limpia'!H35</f>
        <v>Panama</v>
      </c>
      <c r="C203" s="7" t="str">
        <f>'07_Base_Limpia'!G35</f>
        <v>England</v>
      </c>
      <c r="D203" s="7" t="s">
        <v>1009</v>
      </c>
      <c r="E203" s="7">
        <f>'07_Base_Limpia'!J35</f>
        <v>1</v>
      </c>
      <c r="F203" s="7">
        <f>'07_Base_Limpia'!I35</f>
        <v>6</v>
      </c>
      <c r="G203" s="7">
        <f t="shared" si="6"/>
        <v>-5</v>
      </c>
      <c r="H203" s="7" t="str">
        <f>IF('07_Base_Limpia'!L35="Gana","Pierde",IF('07_Base_Limpia'!L35="Empata","Empata","Gana"))</f>
        <v>Pierde</v>
      </c>
      <c r="I203" s="7">
        <f t="shared" si="7"/>
        <v>0</v>
      </c>
    </row>
    <row r="204" spans="1:9" ht="15" customHeight="1">
      <c r="A204" s="7">
        <f>'07_Base_Limpia'!B36</f>
        <v>2018</v>
      </c>
      <c r="B204" s="7" t="str">
        <f>'07_Base_Limpia'!H36</f>
        <v>Senegal</v>
      </c>
      <c r="C204" s="7" t="str">
        <f>'07_Base_Limpia'!G36</f>
        <v>Japan</v>
      </c>
      <c r="D204" s="7" t="s">
        <v>1009</v>
      </c>
      <c r="E204" s="7">
        <f>'07_Base_Limpia'!J36</f>
        <v>2</v>
      </c>
      <c r="F204" s="7">
        <f>'07_Base_Limpia'!I36</f>
        <v>2</v>
      </c>
      <c r="G204" s="7">
        <f t="shared" si="6"/>
        <v>0</v>
      </c>
      <c r="H204" s="7" t="str">
        <f>IF('07_Base_Limpia'!L36="Gana","Pierde",IF('07_Base_Limpia'!L36="Empata","Empata","Gana"))</f>
        <v>Empata</v>
      </c>
      <c r="I204" s="7">
        <f t="shared" si="7"/>
        <v>1</v>
      </c>
    </row>
    <row r="205" spans="1:9" ht="15" customHeight="1">
      <c r="A205" s="7">
        <f>'07_Base_Limpia'!B37</f>
        <v>2018</v>
      </c>
      <c r="B205" s="7" t="str">
        <f>'07_Base_Limpia'!H37</f>
        <v>Colombia</v>
      </c>
      <c r="C205" s="7" t="str">
        <f>'07_Base_Limpia'!G37</f>
        <v>Poland</v>
      </c>
      <c r="D205" s="7" t="s">
        <v>1009</v>
      </c>
      <c r="E205" s="7">
        <f>'07_Base_Limpia'!J37</f>
        <v>3</v>
      </c>
      <c r="F205" s="7">
        <f>'07_Base_Limpia'!I37</f>
        <v>0</v>
      </c>
      <c r="G205" s="7">
        <f t="shared" si="6"/>
        <v>3</v>
      </c>
      <c r="H205" s="7" t="str">
        <f>IF('07_Base_Limpia'!L37="Gana","Pierde",IF('07_Base_Limpia'!L37="Empata","Empata","Gana"))</f>
        <v>Gana</v>
      </c>
      <c r="I205" s="7">
        <f t="shared" si="7"/>
        <v>3</v>
      </c>
    </row>
    <row r="206" spans="1:9" ht="15" customHeight="1">
      <c r="A206" s="7">
        <f>'07_Base_Limpia'!B38</f>
        <v>2018</v>
      </c>
      <c r="B206" s="7" t="str">
        <f>'07_Base_Limpia'!H38</f>
        <v>Egypt</v>
      </c>
      <c r="C206" s="7" t="str">
        <f>'07_Base_Limpia'!G38</f>
        <v>Saudi Arabia</v>
      </c>
      <c r="D206" s="7" t="s">
        <v>1009</v>
      </c>
      <c r="E206" s="7">
        <f>'07_Base_Limpia'!J38</f>
        <v>1</v>
      </c>
      <c r="F206" s="7">
        <f>'07_Base_Limpia'!I38</f>
        <v>2</v>
      </c>
      <c r="G206" s="7">
        <f t="shared" si="6"/>
        <v>-1</v>
      </c>
      <c r="H206" s="7" t="str">
        <f>IF('07_Base_Limpia'!L38="Gana","Pierde",IF('07_Base_Limpia'!L38="Empata","Empata","Gana"))</f>
        <v>Pierde</v>
      </c>
      <c r="I206" s="7">
        <f t="shared" si="7"/>
        <v>0</v>
      </c>
    </row>
    <row r="207" spans="1:9" ht="15" customHeight="1">
      <c r="A207" s="7">
        <f>'07_Base_Limpia'!B39</f>
        <v>2018</v>
      </c>
      <c r="B207" s="7" t="str">
        <f>'07_Base_Limpia'!H39</f>
        <v>Russia</v>
      </c>
      <c r="C207" s="7" t="str">
        <f>'07_Base_Limpia'!G39</f>
        <v>Uruguay</v>
      </c>
      <c r="D207" s="7" t="s">
        <v>1009</v>
      </c>
      <c r="E207" s="7">
        <f>'07_Base_Limpia'!J39</f>
        <v>0</v>
      </c>
      <c r="F207" s="7">
        <f>'07_Base_Limpia'!I39</f>
        <v>3</v>
      </c>
      <c r="G207" s="7">
        <f t="shared" si="6"/>
        <v>-3</v>
      </c>
      <c r="H207" s="7" t="str">
        <f>IF('07_Base_Limpia'!L39="Gana","Pierde",IF('07_Base_Limpia'!L39="Empata","Empata","Gana"))</f>
        <v>Pierde</v>
      </c>
      <c r="I207" s="7">
        <f t="shared" si="7"/>
        <v>0</v>
      </c>
    </row>
    <row r="208" spans="1:9" ht="15" customHeight="1">
      <c r="A208" s="7">
        <f>'07_Base_Limpia'!B40</f>
        <v>2018</v>
      </c>
      <c r="B208" s="7" t="str">
        <f>'07_Base_Limpia'!H40</f>
        <v>Morocco</v>
      </c>
      <c r="C208" s="7" t="str">
        <f>'07_Base_Limpia'!G40</f>
        <v>Spain</v>
      </c>
      <c r="D208" s="7" t="s">
        <v>1009</v>
      </c>
      <c r="E208" s="7">
        <f>'07_Base_Limpia'!J40</f>
        <v>2</v>
      </c>
      <c r="F208" s="7">
        <f>'07_Base_Limpia'!I40</f>
        <v>2</v>
      </c>
      <c r="G208" s="7">
        <f t="shared" si="6"/>
        <v>0</v>
      </c>
      <c r="H208" s="7" t="str">
        <f>IF('07_Base_Limpia'!L40="Gana","Pierde",IF('07_Base_Limpia'!L40="Empata","Empata","Gana"))</f>
        <v>Empata</v>
      </c>
      <c r="I208" s="7">
        <f t="shared" si="7"/>
        <v>1</v>
      </c>
    </row>
    <row r="209" spans="1:9" ht="15" customHeight="1">
      <c r="A209" s="7">
        <f>'07_Base_Limpia'!B41</f>
        <v>2018</v>
      </c>
      <c r="B209" s="7" t="str">
        <f>'07_Base_Limpia'!H41</f>
        <v>Portugal</v>
      </c>
      <c r="C209" s="7" t="str">
        <f>'07_Base_Limpia'!G41</f>
        <v>Iran</v>
      </c>
      <c r="D209" s="7" t="s">
        <v>1009</v>
      </c>
      <c r="E209" s="7">
        <f>'07_Base_Limpia'!J41</f>
        <v>1</v>
      </c>
      <c r="F209" s="7">
        <f>'07_Base_Limpia'!I41</f>
        <v>1</v>
      </c>
      <c r="G209" s="7">
        <f t="shared" si="6"/>
        <v>0</v>
      </c>
      <c r="H209" s="7" t="str">
        <f>IF('07_Base_Limpia'!L41="Gana","Pierde",IF('07_Base_Limpia'!L41="Empata","Empata","Gana"))</f>
        <v>Empata</v>
      </c>
      <c r="I209" s="7">
        <f t="shared" si="7"/>
        <v>1</v>
      </c>
    </row>
    <row r="210" spans="1:9" ht="15" customHeight="1">
      <c r="A210" s="7">
        <f>'07_Base_Limpia'!B42</f>
        <v>2018</v>
      </c>
      <c r="B210" s="7" t="str">
        <f>'07_Base_Limpia'!H42</f>
        <v>Peru</v>
      </c>
      <c r="C210" s="7" t="str">
        <f>'07_Base_Limpia'!G42</f>
        <v>Australia</v>
      </c>
      <c r="D210" s="7" t="s">
        <v>1009</v>
      </c>
      <c r="E210" s="7">
        <f>'07_Base_Limpia'!J42</f>
        <v>2</v>
      </c>
      <c r="F210" s="7">
        <f>'07_Base_Limpia'!I42</f>
        <v>0</v>
      </c>
      <c r="G210" s="7">
        <f t="shared" si="6"/>
        <v>2</v>
      </c>
      <c r="H210" s="7" t="str">
        <f>IF('07_Base_Limpia'!L42="Gana","Pierde",IF('07_Base_Limpia'!L42="Empata","Empata","Gana"))</f>
        <v>Gana</v>
      </c>
      <c r="I210" s="7">
        <f t="shared" si="7"/>
        <v>3</v>
      </c>
    </row>
    <row r="211" spans="1:9" ht="15" customHeight="1">
      <c r="A211" s="7">
        <f>'07_Base_Limpia'!B43</f>
        <v>2018</v>
      </c>
      <c r="B211" s="7" t="str">
        <f>'07_Base_Limpia'!H43</f>
        <v>France</v>
      </c>
      <c r="C211" s="7" t="str">
        <f>'07_Base_Limpia'!G43</f>
        <v>Denmark</v>
      </c>
      <c r="D211" s="7" t="s">
        <v>1009</v>
      </c>
      <c r="E211" s="7">
        <f>'07_Base_Limpia'!J43</f>
        <v>0</v>
      </c>
      <c r="F211" s="7">
        <f>'07_Base_Limpia'!I43</f>
        <v>0</v>
      </c>
      <c r="G211" s="7">
        <f t="shared" si="6"/>
        <v>0</v>
      </c>
      <c r="H211" s="7" t="str">
        <f>IF('07_Base_Limpia'!L43="Gana","Pierde",IF('07_Base_Limpia'!L43="Empata","Empata","Gana"))</f>
        <v>Empata</v>
      </c>
      <c r="I211" s="7">
        <f t="shared" si="7"/>
        <v>1</v>
      </c>
    </row>
    <row r="212" spans="1:9" ht="15" customHeight="1">
      <c r="A212" s="7">
        <f>'07_Base_Limpia'!B44</f>
        <v>2018</v>
      </c>
      <c r="B212" s="7" t="str">
        <f>'07_Base_Limpia'!H44</f>
        <v>Croatia</v>
      </c>
      <c r="C212" s="7" t="str">
        <f>'07_Base_Limpia'!G44</f>
        <v>Iceland</v>
      </c>
      <c r="D212" s="7" t="s">
        <v>1009</v>
      </c>
      <c r="E212" s="7">
        <f>'07_Base_Limpia'!J44</f>
        <v>2</v>
      </c>
      <c r="F212" s="7">
        <f>'07_Base_Limpia'!I44</f>
        <v>1</v>
      </c>
      <c r="G212" s="7">
        <f t="shared" si="6"/>
        <v>1</v>
      </c>
      <c r="H212" s="7" t="str">
        <f>IF('07_Base_Limpia'!L44="Gana","Pierde",IF('07_Base_Limpia'!L44="Empata","Empata","Gana"))</f>
        <v>Gana</v>
      </c>
      <c r="I212" s="7">
        <f t="shared" si="7"/>
        <v>3</v>
      </c>
    </row>
    <row r="213" spans="1:9" ht="15" customHeight="1">
      <c r="A213" s="7">
        <f>'07_Base_Limpia'!B45</f>
        <v>2018</v>
      </c>
      <c r="B213" s="7" t="str">
        <f>'07_Base_Limpia'!H45</f>
        <v>Argentina</v>
      </c>
      <c r="C213" s="7" t="str">
        <f>'07_Base_Limpia'!G45</f>
        <v>Nigeria</v>
      </c>
      <c r="D213" s="7" t="s">
        <v>1009</v>
      </c>
      <c r="E213" s="7">
        <f>'07_Base_Limpia'!J45</f>
        <v>2</v>
      </c>
      <c r="F213" s="7">
        <f>'07_Base_Limpia'!I45</f>
        <v>1</v>
      </c>
      <c r="G213" s="7">
        <f t="shared" si="6"/>
        <v>1</v>
      </c>
      <c r="H213" s="7" t="str">
        <f>IF('07_Base_Limpia'!L45="Gana","Pierde",IF('07_Base_Limpia'!L45="Empata","Empata","Gana"))</f>
        <v>Gana</v>
      </c>
      <c r="I213" s="7">
        <f t="shared" si="7"/>
        <v>3</v>
      </c>
    </row>
    <row r="214" spans="1:9" ht="15" customHeight="1">
      <c r="A214" s="7">
        <f>'07_Base_Limpia'!B46</f>
        <v>2018</v>
      </c>
      <c r="B214" s="7" t="str">
        <f>'07_Base_Limpia'!H46</f>
        <v>Germany</v>
      </c>
      <c r="C214" s="7" t="str">
        <f>'07_Base_Limpia'!G46</f>
        <v>South Korea</v>
      </c>
      <c r="D214" s="7" t="s">
        <v>1009</v>
      </c>
      <c r="E214" s="7">
        <f>'07_Base_Limpia'!J46</f>
        <v>0</v>
      </c>
      <c r="F214" s="7">
        <f>'07_Base_Limpia'!I46</f>
        <v>2</v>
      </c>
      <c r="G214" s="7">
        <f t="shared" si="6"/>
        <v>-2</v>
      </c>
      <c r="H214" s="7" t="str">
        <f>IF('07_Base_Limpia'!L46="Gana","Pierde",IF('07_Base_Limpia'!L46="Empata","Empata","Gana"))</f>
        <v>Pierde</v>
      </c>
      <c r="I214" s="7">
        <f t="shared" si="7"/>
        <v>0</v>
      </c>
    </row>
    <row r="215" spans="1:9" ht="15" customHeight="1">
      <c r="A215" s="7">
        <f>'07_Base_Limpia'!B47</f>
        <v>2018</v>
      </c>
      <c r="B215" s="7" t="str">
        <f>'07_Base_Limpia'!H47</f>
        <v>Sweden</v>
      </c>
      <c r="C215" s="7" t="str">
        <f>'07_Base_Limpia'!G47</f>
        <v>Mexico</v>
      </c>
      <c r="D215" s="7" t="s">
        <v>1009</v>
      </c>
      <c r="E215" s="7">
        <f>'07_Base_Limpia'!J47</f>
        <v>3</v>
      </c>
      <c r="F215" s="7">
        <f>'07_Base_Limpia'!I47</f>
        <v>0</v>
      </c>
      <c r="G215" s="7">
        <f t="shared" si="6"/>
        <v>3</v>
      </c>
      <c r="H215" s="7" t="str">
        <f>IF('07_Base_Limpia'!L47="Gana","Pierde",IF('07_Base_Limpia'!L47="Empata","Empata","Gana"))</f>
        <v>Gana</v>
      </c>
      <c r="I215" s="7">
        <f t="shared" si="7"/>
        <v>3</v>
      </c>
    </row>
    <row r="216" spans="1:9" ht="15" customHeight="1">
      <c r="A216" s="7">
        <f>'07_Base_Limpia'!B48</f>
        <v>2018</v>
      </c>
      <c r="B216" s="7" t="str">
        <f>'07_Base_Limpia'!H48</f>
        <v>Brazil</v>
      </c>
      <c r="C216" s="7" t="str">
        <f>'07_Base_Limpia'!G48</f>
        <v>Serbia</v>
      </c>
      <c r="D216" s="7" t="s">
        <v>1009</v>
      </c>
      <c r="E216" s="7">
        <f>'07_Base_Limpia'!J48</f>
        <v>2</v>
      </c>
      <c r="F216" s="7">
        <f>'07_Base_Limpia'!I48</f>
        <v>0</v>
      </c>
      <c r="G216" s="7">
        <f t="shared" si="6"/>
        <v>2</v>
      </c>
      <c r="H216" s="7" t="str">
        <f>IF('07_Base_Limpia'!L48="Gana","Pierde",IF('07_Base_Limpia'!L48="Empata","Empata","Gana"))</f>
        <v>Gana</v>
      </c>
      <c r="I216" s="7">
        <f t="shared" si="7"/>
        <v>3</v>
      </c>
    </row>
    <row r="217" spans="1:9" ht="15" customHeight="1">
      <c r="A217" s="7">
        <f>'07_Base_Limpia'!B49</f>
        <v>2018</v>
      </c>
      <c r="B217" s="7" t="str">
        <f>'07_Base_Limpia'!H49</f>
        <v>Costa Rica</v>
      </c>
      <c r="C217" s="7" t="str">
        <f>'07_Base_Limpia'!G49</f>
        <v>Switzerland</v>
      </c>
      <c r="D217" s="7" t="s">
        <v>1009</v>
      </c>
      <c r="E217" s="7">
        <f>'07_Base_Limpia'!J49</f>
        <v>2</v>
      </c>
      <c r="F217" s="7">
        <f>'07_Base_Limpia'!I49</f>
        <v>2</v>
      </c>
      <c r="G217" s="7">
        <f t="shared" si="6"/>
        <v>0</v>
      </c>
      <c r="H217" s="7" t="str">
        <f>IF('07_Base_Limpia'!L49="Gana","Pierde",IF('07_Base_Limpia'!L49="Empata","Empata","Gana"))</f>
        <v>Empata</v>
      </c>
      <c r="I217" s="7">
        <f t="shared" si="7"/>
        <v>1</v>
      </c>
    </row>
    <row r="218" spans="1:9" ht="15" customHeight="1">
      <c r="A218" s="7">
        <f>'07_Base_Limpia'!B50</f>
        <v>2018</v>
      </c>
      <c r="B218" s="7" t="str">
        <f>'07_Base_Limpia'!H50</f>
        <v>Poland</v>
      </c>
      <c r="C218" s="7" t="str">
        <f>'07_Base_Limpia'!G50</f>
        <v>Japan</v>
      </c>
      <c r="D218" s="7" t="s">
        <v>1009</v>
      </c>
      <c r="E218" s="7">
        <f>'07_Base_Limpia'!J50</f>
        <v>1</v>
      </c>
      <c r="F218" s="7">
        <f>'07_Base_Limpia'!I50</f>
        <v>0</v>
      </c>
      <c r="G218" s="7">
        <f t="shared" si="6"/>
        <v>1</v>
      </c>
      <c r="H218" s="7" t="str">
        <f>IF('07_Base_Limpia'!L50="Gana","Pierde",IF('07_Base_Limpia'!L50="Empata","Empata","Gana"))</f>
        <v>Gana</v>
      </c>
      <c r="I218" s="7">
        <f t="shared" si="7"/>
        <v>3</v>
      </c>
    </row>
    <row r="219" spans="1:9" ht="15" customHeight="1">
      <c r="A219" s="7">
        <f>'07_Base_Limpia'!B51</f>
        <v>2018</v>
      </c>
      <c r="B219" s="7" t="str">
        <f>'07_Base_Limpia'!H51</f>
        <v>Colombia</v>
      </c>
      <c r="C219" s="7" t="str">
        <f>'07_Base_Limpia'!G51</f>
        <v>Senegal</v>
      </c>
      <c r="D219" s="7" t="s">
        <v>1009</v>
      </c>
      <c r="E219" s="7">
        <f>'07_Base_Limpia'!J51</f>
        <v>1</v>
      </c>
      <c r="F219" s="7">
        <f>'07_Base_Limpia'!I51</f>
        <v>0</v>
      </c>
      <c r="G219" s="7">
        <f t="shared" si="6"/>
        <v>1</v>
      </c>
      <c r="H219" s="7" t="str">
        <f>IF('07_Base_Limpia'!L51="Gana","Pierde",IF('07_Base_Limpia'!L51="Empata","Empata","Gana"))</f>
        <v>Gana</v>
      </c>
      <c r="I219" s="7">
        <f t="shared" si="7"/>
        <v>3</v>
      </c>
    </row>
    <row r="220" spans="1:9" ht="15" customHeight="1">
      <c r="A220" s="7">
        <f>'07_Base_Limpia'!B52</f>
        <v>2018</v>
      </c>
      <c r="B220" s="7" t="str">
        <f>'07_Base_Limpia'!H52</f>
        <v>Belgium</v>
      </c>
      <c r="C220" s="7" t="str">
        <f>'07_Base_Limpia'!G52</f>
        <v>England</v>
      </c>
      <c r="D220" s="7" t="s">
        <v>1009</v>
      </c>
      <c r="E220" s="7">
        <f>'07_Base_Limpia'!J52</f>
        <v>1</v>
      </c>
      <c r="F220" s="7">
        <f>'07_Base_Limpia'!I52</f>
        <v>0</v>
      </c>
      <c r="G220" s="7">
        <f t="shared" si="6"/>
        <v>1</v>
      </c>
      <c r="H220" s="7" t="str">
        <f>IF('07_Base_Limpia'!L52="Gana","Pierde",IF('07_Base_Limpia'!L52="Empata","Empata","Gana"))</f>
        <v>Gana</v>
      </c>
      <c r="I220" s="7">
        <f t="shared" si="7"/>
        <v>3</v>
      </c>
    </row>
    <row r="221" spans="1:9" ht="15" customHeight="1">
      <c r="A221" s="7">
        <f>'07_Base_Limpia'!B53</f>
        <v>2018</v>
      </c>
      <c r="B221" s="7" t="str">
        <f>'07_Base_Limpia'!H53</f>
        <v>Tunisia</v>
      </c>
      <c r="C221" s="7" t="str">
        <f>'07_Base_Limpia'!G53</f>
        <v>Panama</v>
      </c>
      <c r="D221" s="7" t="s">
        <v>1009</v>
      </c>
      <c r="E221" s="7">
        <f>'07_Base_Limpia'!J53</f>
        <v>2</v>
      </c>
      <c r="F221" s="7">
        <f>'07_Base_Limpia'!I53</f>
        <v>1</v>
      </c>
      <c r="G221" s="7">
        <f t="shared" si="6"/>
        <v>1</v>
      </c>
      <c r="H221" s="7" t="str">
        <f>IF('07_Base_Limpia'!L53="Gana","Pierde",IF('07_Base_Limpia'!L53="Empata","Empata","Gana"))</f>
        <v>Gana</v>
      </c>
      <c r="I221" s="7">
        <f t="shared" si="7"/>
        <v>3</v>
      </c>
    </row>
    <row r="222" spans="1:9" ht="15" customHeight="1">
      <c r="A222" s="7">
        <f>'07_Base_Limpia'!B54</f>
        <v>2022</v>
      </c>
      <c r="B222" s="7" t="str">
        <f>'07_Base_Limpia'!H54</f>
        <v>Ecuador</v>
      </c>
      <c r="C222" s="7" t="str">
        <f>'07_Base_Limpia'!G54</f>
        <v>Qatar</v>
      </c>
      <c r="D222" s="7" t="s">
        <v>1009</v>
      </c>
      <c r="E222" s="7">
        <f>'07_Base_Limpia'!J54</f>
        <v>2</v>
      </c>
      <c r="F222" s="7">
        <f>'07_Base_Limpia'!I54</f>
        <v>0</v>
      </c>
      <c r="G222" s="7">
        <f t="shared" si="6"/>
        <v>2</v>
      </c>
      <c r="H222" s="7" t="str">
        <f>IF('07_Base_Limpia'!L54="Gana","Pierde",IF('07_Base_Limpia'!L54="Empata","Empata","Gana"))</f>
        <v>Gana</v>
      </c>
      <c r="I222" s="7">
        <f t="shared" si="7"/>
        <v>3</v>
      </c>
    </row>
    <row r="223" spans="1:9" ht="15" customHeight="1">
      <c r="A223" s="7">
        <f>'07_Base_Limpia'!B55</f>
        <v>2022</v>
      </c>
      <c r="B223" s="7" t="str">
        <f>'07_Base_Limpia'!H55</f>
        <v>Iran</v>
      </c>
      <c r="C223" s="7" t="str">
        <f>'07_Base_Limpia'!G55</f>
        <v>England</v>
      </c>
      <c r="D223" s="7" t="s">
        <v>1009</v>
      </c>
      <c r="E223" s="7">
        <f>'07_Base_Limpia'!J55</f>
        <v>2</v>
      </c>
      <c r="F223" s="7">
        <f>'07_Base_Limpia'!I55</f>
        <v>6</v>
      </c>
      <c r="G223" s="7">
        <f t="shared" si="6"/>
        <v>-4</v>
      </c>
      <c r="H223" s="7" t="str">
        <f>IF('07_Base_Limpia'!L55="Gana","Pierde",IF('07_Base_Limpia'!L55="Empata","Empata","Gana"))</f>
        <v>Pierde</v>
      </c>
      <c r="I223" s="7">
        <f t="shared" si="7"/>
        <v>0</v>
      </c>
    </row>
    <row r="224" spans="1:9" ht="15" customHeight="1">
      <c r="A224" s="7">
        <f>'07_Base_Limpia'!B56</f>
        <v>2022</v>
      </c>
      <c r="B224" s="7" t="str">
        <f>'07_Base_Limpia'!H56</f>
        <v>Netherlands</v>
      </c>
      <c r="C224" s="7" t="str">
        <f>'07_Base_Limpia'!G56</f>
        <v>Senegal</v>
      </c>
      <c r="D224" s="7" t="s">
        <v>1009</v>
      </c>
      <c r="E224" s="7">
        <f>'07_Base_Limpia'!J56</f>
        <v>2</v>
      </c>
      <c r="F224" s="7">
        <f>'07_Base_Limpia'!I56</f>
        <v>0</v>
      </c>
      <c r="G224" s="7">
        <f t="shared" si="6"/>
        <v>2</v>
      </c>
      <c r="H224" s="7" t="str">
        <f>IF('07_Base_Limpia'!L56="Gana","Pierde",IF('07_Base_Limpia'!L56="Empata","Empata","Gana"))</f>
        <v>Gana</v>
      </c>
      <c r="I224" s="7">
        <f t="shared" si="7"/>
        <v>3</v>
      </c>
    </row>
    <row r="225" spans="1:9" ht="15" customHeight="1">
      <c r="A225" s="7">
        <f>'07_Base_Limpia'!B57</f>
        <v>2022</v>
      </c>
      <c r="B225" s="7" t="str">
        <f>'07_Base_Limpia'!H57</f>
        <v>Wales</v>
      </c>
      <c r="C225" s="7" t="str">
        <f>'07_Base_Limpia'!G57</f>
        <v>United States</v>
      </c>
      <c r="D225" s="7" t="s">
        <v>1009</v>
      </c>
      <c r="E225" s="7">
        <f>'07_Base_Limpia'!J57</f>
        <v>1</v>
      </c>
      <c r="F225" s="7">
        <f>'07_Base_Limpia'!I57</f>
        <v>1</v>
      </c>
      <c r="G225" s="7">
        <f t="shared" si="6"/>
        <v>0</v>
      </c>
      <c r="H225" s="7" t="str">
        <f>IF('07_Base_Limpia'!L57="Gana","Pierde",IF('07_Base_Limpia'!L57="Empata","Empata","Gana"))</f>
        <v>Empata</v>
      </c>
      <c r="I225" s="7">
        <f t="shared" si="7"/>
        <v>1</v>
      </c>
    </row>
    <row r="226" spans="1:9" ht="15" customHeight="1">
      <c r="A226" s="7">
        <f>'07_Base_Limpia'!B58</f>
        <v>2022</v>
      </c>
      <c r="B226" s="7" t="str">
        <f>'07_Base_Limpia'!H58</f>
        <v>Saudi Arabia</v>
      </c>
      <c r="C226" s="7" t="str">
        <f>'07_Base_Limpia'!G58</f>
        <v>Argentina</v>
      </c>
      <c r="D226" s="7" t="s">
        <v>1009</v>
      </c>
      <c r="E226" s="7">
        <f>'07_Base_Limpia'!J58</f>
        <v>2</v>
      </c>
      <c r="F226" s="7">
        <f>'07_Base_Limpia'!I58</f>
        <v>1</v>
      </c>
      <c r="G226" s="7">
        <f t="shared" si="6"/>
        <v>1</v>
      </c>
      <c r="H226" s="7" t="str">
        <f>IF('07_Base_Limpia'!L58="Gana","Pierde",IF('07_Base_Limpia'!L58="Empata","Empata","Gana"))</f>
        <v>Gana</v>
      </c>
      <c r="I226" s="7">
        <f t="shared" si="7"/>
        <v>3</v>
      </c>
    </row>
    <row r="227" spans="1:9" ht="15" customHeight="1">
      <c r="A227" s="7">
        <f>'07_Base_Limpia'!B59</f>
        <v>2022</v>
      </c>
      <c r="B227" s="7" t="str">
        <f>'07_Base_Limpia'!H59</f>
        <v>Tunisia</v>
      </c>
      <c r="C227" s="7" t="str">
        <f>'07_Base_Limpia'!G59</f>
        <v>Denmark</v>
      </c>
      <c r="D227" s="7" t="s">
        <v>1009</v>
      </c>
      <c r="E227" s="7">
        <f>'07_Base_Limpia'!J59</f>
        <v>0</v>
      </c>
      <c r="F227" s="7">
        <f>'07_Base_Limpia'!I59</f>
        <v>0</v>
      </c>
      <c r="G227" s="7">
        <f t="shared" si="6"/>
        <v>0</v>
      </c>
      <c r="H227" s="7" t="str">
        <f>IF('07_Base_Limpia'!L59="Gana","Pierde",IF('07_Base_Limpia'!L59="Empata","Empata","Gana"))</f>
        <v>Empata</v>
      </c>
      <c r="I227" s="7">
        <f t="shared" si="7"/>
        <v>1</v>
      </c>
    </row>
    <row r="228" spans="1:9" ht="15" customHeight="1">
      <c r="A228" s="7">
        <f>'07_Base_Limpia'!B60</f>
        <v>2022</v>
      </c>
      <c r="B228" s="7" t="str">
        <f>'07_Base_Limpia'!H60</f>
        <v>Poland</v>
      </c>
      <c r="C228" s="7" t="str">
        <f>'07_Base_Limpia'!G60</f>
        <v>Mexico</v>
      </c>
      <c r="D228" s="7" t="s">
        <v>1009</v>
      </c>
      <c r="E228" s="7">
        <f>'07_Base_Limpia'!J60</f>
        <v>0</v>
      </c>
      <c r="F228" s="7">
        <f>'07_Base_Limpia'!I60</f>
        <v>0</v>
      </c>
      <c r="G228" s="7">
        <f t="shared" si="6"/>
        <v>0</v>
      </c>
      <c r="H228" s="7" t="str">
        <f>IF('07_Base_Limpia'!L60="Gana","Pierde",IF('07_Base_Limpia'!L60="Empata","Empata","Gana"))</f>
        <v>Empata</v>
      </c>
      <c r="I228" s="7">
        <f t="shared" si="7"/>
        <v>1</v>
      </c>
    </row>
    <row r="229" spans="1:9" ht="15" customHeight="1">
      <c r="A229" s="7">
        <f>'07_Base_Limpia'!B61</f>
        <v>2022</v>
      </c>
      <c r="B229" s="7" t="str">
        <f>'07_Base_Limpia'!H61</f>
        <v>Australia</v>
      </c>
      <c r="C229" s="7" t="str">
        <f>'07_Base_Limpia'!G61</f>
        <v>France</v>
      </c>
      <c r="D229" s="7" t="s">
        <v>1009</v>
      </c>
      <c r="E229" s="7">
        <f>'07_Base_Limpia'!J61</f>
        <v>1</v>
      </c>
      <c r="F229" s="7">
        <f>'07_Base_Limpia'!I61</f>
        <v>4</v>
      </c>
      <c r="G229" s="7">
        <f t="shared" si="6"/>
        <v>-3</v>
      </c>
      <c r="H229" s="7" t="str">
        <f>IF('07_Base_Limpia'!L61="Gana","Pierde",IF('07_Base_Limpia'!L61="Empata","Empata","Gana"))</f>
        <v>Pierde</v>
      </c>
      <c r="I229" s="7">
        <f t="shared" si="7"/>
        <v>0</v>
      </c>
    </row>
    <row r="230" spans="1:9" ht="15" customHeight="1">
      <c r="A230" s="7">
        <f>'07_Base_Limpia'!B62</f>
        <v>2022</v>
      </c>
      <c r="B230" s="7" t="str">
        <f>'07_Base_Limpia'!H62</f>
        <v>Croatia</v>
      </c>
      <c r="C230" s="7" t="str">
        <f>'07_Base_Limpia'!G62</f>
        <v>Morocco</v>
      </c>
      <c r="D230" s="7" t="s">
        <v>1009</v>
      </c>
      <c r="E230" s="7">
        <f>'07_Base_Limpia'!J62</f>
        <v>0</v>
      </c>
      <c r="F230" s="7">
        <f>'07_Base_Limpia'!I62</f>
        <v>0</v>
      </c>
      <c r="G230" s="7">
        <f t="shared" si="6"/>
        <v>0</v>
      </c>
      <c r="H230" s="7" t="str">
        <f>IF('07_Base_Limpia'!L62="Gana","Pierde",IF('07_Base_Limpia'!L62="Empata","Empata","Gana"))</f>
        <v>Empata</v>
      </c>
      <c r="I230" s="7">
        <f t="shared" si="7"/>
        <v>1</v>
      </c>
    </row>
    <row r="231" spans="1:9" ht="15" customHeight="1">
      <c r="A231" s="7">
        <f>'07_Base_Limpia'!B63</f>
        <v>2022</v>
      </c>
      <c r="B231" s="7" t="str">
        <f>'07_Base_Limpia'!H63</f>
        <v>Japan</v>
      </c>
      <c r="C231" s="7" t="str">
        <f>'07_Base_Limpia'!G63</f>
        <v>Germany</v>
      </c>
      <c r="D231" s="7" t="s">
        <v>1009</v>
      </c>
      <c r="E231" s="7">
        <f>'07_Base_Limpia'!J63</f>
        <v>2</v>
      </c>
      <c r="F231" s="7">
        <f>'07_Base_Limpia'!I63</f>
        <v>1</v>
      </c>
      <c r="G231" s="7">
        <f t="shared" si="6"/>
        <v>1</v>
      </c>
      <c r="H231" s="7" t="str">
        <f>IF('07_Base_Limpia'!L63="Gana","Pierde",IF('07_Base_Limpia'!L63="Empata","Empata","Gana"))</f>
        <v>Gana</v>
      </c>
      <c r="I231" s="7">
        <f t="shared" si="7"/>
        <v>3</v>
      </c>
    </row>
    <row r="232" spans="1:9" ht="15" customHeight="1">
      <c r="A232" s="7">
        <f>'07_Base_Limpia'!B64</f>
        <v>2022</v>
      </c>
      <c r="B232" s="7" t="str">
        <f>'07_Base_Limpia'!H64</f>
        <v>Costa Rica</v>
      </c>
      <c r="C232" s="7" t="str">
        <f>'07_Base_Limpia'!G64</f>
        <v>Spain</v>
      </c>
      <c r="D232" s="7" t="s">
        <v>1009</v>
      </c>
      <c r="E232" s="7">
        <f>'07_Base_Limpia'!J64</f>
        <v>0</v>
      </c>
      <c r="F232" s="7">
        <f>'07_Base_Limpia'!I64</f>
        <v>7</v>
      </c>
      <c r="G232" s="7">
        <f t="shared" si="6"/>
        <v>-7</v>
      </c>
      <c r="H232" s="7" t="str">
        <f>IF('07_Base_Limpia'!L64="Gana","Pierde",IF('07_Base_Limpia'!L64="Empata","Empata","Gana"))</f>
        <v>Pierde</v>
      </c>
      <c r="I232" s="7">
        <f t="shared" si="7"/>
        <v>0</v>
      </c>
    </row>
    <row r="233" spans="1:9" ht="15" customHeight="1">
      <c r="A233" s="7">
        <f>'07_Base_Limpia'!B65</f>
        <v>2022</v>
      </c>
      <c r="B233" s="7" t="str">
        <f>'07_Base_Limpia'!H65</f>
        <v>Canada</v>
      </c>
      <c r="C233" s="7" t="str">
        <f>'07_Base_Limpia'!G65</f>
        <v>Belgium</v>
      </c>
      <c r="D233" s="7" t="s">
        <v>1009</v>
      </c>
      <c r="E233" s="7">
        <f>'07_Base_Limpia'!J65</f>
        <v>0</v>
      </c>
      <c r="F233" s="7">
        <f>'07_Base_Limpia'!I65</f>
        <v>1</v>
      </c>
      <c r="G233" s="7">
        <f t="shared" si="6"/>
        <v>-1</v>
      </c>
      <c r="H233" s="7" t="str">
        <f>IF('07_Base_Limpia'!L65="Gana","Pierde",IF('07_Base_Limpia'!L65="Empata","Empata","Gana"))</f>
        <v>Pierde</v>
      </c>
      <c r="I233" s="7">
        <f t="shared" si="7"/>
        <v>0</v>
      </c>
    </row>
    <row r="234" spans="1:9" ht="15" customHeight="1">
      <c r="A234" s="7">
        <f>'07_Base_Limpia'!B66</f>
        <v>2022</v>
      </c>
      <c r="B234" s="7" t="str">
        <f>'07_Base_Limpia'!H66</f>
        <v>Cameroon</v>
      </c>
      <c r="C234" s="7" t="str">
        <f>'07_Base_Limpia'!G66</f>
        <v>Switzerland</v>
      </c>
      <c r="D234" s="7" t="s">
        <v>1009</v>
      </c>
      <c r="E234" s="7">
        <f>'07_Base_Limpia'!J66</f>
        <v>0</v>
      </c>
      <c r="F234" s="7">
        <f>'07_Base_Limpia'!I66</f>
        <v>1</v>
      </c>
      <c r="G234" s="7">
        <f t="shared" si="6"/>
        <v>-1</v>
      </c>
      <c r="H234" s="7" t="str">
        <f>IF('07_Base_Limpia'!L66="Gana","Pierde",IF('07_Base_Limpia'!L66="Empata","Empata","Gana"))</f>
        <v>Pierde</v>
      </c>
      <c r="I234" s="7">
        <f t="shared" si="7"/>
        <v>0</v>
      </c>
    </row>
    <row r="235" spans="1:9" ht="15" customHeight="1">
      <c r="A235" s="7">
        <f>'07_Base_Limpia'!B67</f>
        <v>2022</v>
      </c>
      <c r="B235" s="7" t="str">
        <f>'07_Base_Limpia'!H67</f>
        <v>South Korea</v>
      </c>
      <c r="C235" s="7" t="str">
        <f>'07_Base_Limpia'!G67</f>
        <v>Uruguay</v>
      </c>
      <c r="D235" s="7" t="s">
        <v>1009</v>
      </c>
      <c r="E235" s="7">
        <f>'07_Base_Limpia'!J67</f>
        <v>0</v>
      </c>
      <c r="F235" s="7">
        <f>'07_Base_Limpia'!I67</f>
        <v>0</v>
      </c>
      <c r="G235" s="7">
        <f t="shared" si="6"/>
        <v>0</v>
      </c>
      <c r="H235" s="7" t="str">
        <f>IF('07_Base_Limpia'!L67="Gana","Pierde",IF('07_Base_Limpia'!L67="Empata","Empata","Gana"))</f>
        <v>Empata</v>
      </c>
      <c r="I235" s="7">
        <f t="shared" si="7"/>
        <v>1</v>
      </c>
    </row>
    <row r="236" spans="1:9" ht="15" customHeight="1">
      <c r="A236" s="7">
        <f>'07_Base_Limpia'!B68</f>
        <v>2022</v>
      </c>
      <c r="B236" s="7" t="str">
        <f>'07_Base_Limpia'!H68</f>
        <v>Ghana</v>
      </c>
      <c r="C236" s="7" t="str">
        <f>'07_Base_Limpia'!G68</f>
        <v>Portugal</v>
      </c>
      <c r="D236" s="7" t="s">
        <v>1009</v>
      </c>
      <c r="E236" s="7">
        <f>'07_Base_Limpia'!J68</f>
        <v>2</v>
      </c>
      <c r="F236" s="7">
        <f>'07_Base_Limpia'!I68</f>
        <v>3</v>
      </c>
      <c r="G236" s="7">
        <f t="shared" si="6"/>
        <v>-1</v>
      </c>
      <c r="H236" s="7" t="str">
        <f>IF('07_Base_Limpia'!L68="Gana","Pierde",IF('07_Base_Limpia'!L68="Empata","Empata","Gana"))</f>
        <v>Pierde</v>
      </c>
      <c r="I236" s="7">
        <f t="shared" si="7"/>
        <v>0</v>
      </c>
    </row>
    <row r="237" spans="1:9" ht="15" customHeight="1">
      <c r="A237" s="7">
        <f>'07_Base_Limpia'!B69</f>
        <v>2022</v>
      </c>
      <c r="B237" s="7" t="str">
        <f>'07_Base_Limpia'!H69</f>
        <v>Serbia</v>
      </c>
      <c r="C237" s="7" t="str">
        <f>'07_Base_Limpia'!G69</f>
        <v>Brazil</v>
      </c>
      <c r="D237" s="7" t="s">
        <v>1009</v>
      </c>
      <c r="E237" s="7">
        <f>'07_Base_Limpia'!J69</f>
        <v>0</v>
      </c>
      <c r="F237" s="7">
        <f>'07_Base_Limpia'!I69</f>
        <v>2</v>
      </c>
      <c r="G237" s="7">
        <f t="shared" si="6"/>
        <v>-2</v>
      </c>
      <c r="H237" s="7" t="str">
        <f>IF('07_Base_Limpia'!L69="Gana","Pierde",IF('07_Base_Limpia'!L69="Empata","Empata","Gana"))</f>
        <v>Pierde</v>
      </c>
      <c r="I237" s="7">
        <f t="shared" si="7"/>
        <v>0</v>
      </c>
    </row>
    <row r="238" spans="1:9" ht="15" customHeight="1">
      <c r="A238" s="7">
        <f>'07_Base_Limpia'!B70</f>
        <v>2022</v>
      </c>
      <c r="B238" s="7" t="str">
        <f>'07_Base_Limpia'!H70</f>
        <v>Iran</v>
      </c>
      <c r="C238" s="7" t="str">
        <f>'07_Base_Limpia'!G70</f>
        <v>Wales</v>
      </c>
      <c r="D238" s="7" t="s">
        <v>1009</v>
      </c>
      <c r="E238" s="7">
        <f>'07_Base_Limpia'!J70</f>
        <v>2</v>
      </c>
      <c r="F238" s="7">
        <f>'07_Base_Limpia'!I70</f>
        <v>0</v>
      </c>
      <c r="G238" s="7">
        <f t="shared" si="6"/>
        <v>2</v>
      </c>
      <c r="H238" s="7" t="str">
        <f>IF('07_Base_Limpia'!L70="Gana","Pierde",IF('07_Base_Limpia'!L70="Empata","Empata","Gana"))</f>
        <v>Gana</v>
      </c>
      <c r="I238" s="7">
        <f t="shared" si="7"/>
        <v>3</v>
      </c>
    </row>
    <row r="239" spans="1:9" ht="15" customHeight="1">
      <c r="A239" s="7">
        <f>'07_Base_Limpia'!B71</f>
        <v>2022</v>
      </c>
      <c r="B239" s="7" t="str">
        <f>'07_Base_Limpia'!H71</f>
        <v>Senegal</v>
      </c>
      <c r="C239" s="7" t="str">
        <f>'07_Base_Limpia'!G71</f>
        <v>Qatar</v>
      </c>
      <c r="D239" s="7" t="s">
        <v>1009</v>
      </c>
      <c r="E239" s="7">
        <f>'07_Base_Limpia'!J71</f>
        <v>3</v>
      </c>
      <c r="F239" s="7">
        <f>'07_Base_Limpia'!I71</f>
        <v>1</v>
      </c>
      <c r="G239" s="7">
        <f t="shared" si="6"/>
        <v>2</v>
      </c>
      <c r="H239" s="7" t="str">
        <f>IF('07_Base_Limpia'!L71="Gana","Pierde",IF('07_Base_Limpia'!L71="Empata","Empata","Gana"))</f>
        <v>Gana</v>
      </c>
      <c r="I239" s="7">
        <f t="shared" si="7"/>
        <v>3</v>
      </c>
    </row>
    <row r="240" spans="1:9" ht="15" customHeight="1">
      <c r="A240" s="7">
        <f>'07_Base_Limpia'!B72</f>
        <v>2022</v>
      </c>
      <c r="B240" s="7" t="str">
        <f>'07_Base_Limpia'!H72</f>
        <v>Ecuador</v>
      </c>
      <c r="C240" s="7" t="str">
        <f>'07_Base_Limpia'!G72</f>
        <v>Netherlands</v>
      </c>
      <c r="D240" s="7" t="s">
        <v>1009</v>
      </c>
      <c r="E240" s="7">
        <f>'07_Base_Limpia'!J72</f>
        <v>1</v>
      </c>
      <c r="F240" s="7">
        <f>'07_Base_Limpia'!I72</f>
        <v>1</v>
      </c>
      <c r="G240" s="7">
        <f t="shared" si="6"/>
        <v>0</v>
      </c>
      <c r="H240" s="7" t="str">
        <f>IF('07_Base_Limpia'!L72="Gana","Pierde",IF('07_Base_Limpia'!L72="Empata","Empata","Gana"))</f>
        <v>Empata</v>
      </c>
      <c r="I240" s="7">
        <f t="shared" si="7"/>
        <v>1</v>
      </c>
    </row>
    <row r="241" spans="1:9" ht="15" customHeight="1">
      <c r="A241" s="7">
        <f>'07_Base_Limpia'!B73</f>
        <v>2022</v>
      </c>
      <c r="B241" s="7" t="str">
        <f>'07_Base_Limpia'!H73</f>
        <v>United States</v>
      </c>
      <c r="C241" s="7" t="str">
        <f>'07_Base_Limpia'!G73</f>
        <v>England</v>
      </c>
      <c r="D241" s="7" t="s">
        <v>1009</v>
      </c>
      <c r="E241" s="7">
        <f>'07_Base_Limpia'!J73</f>
        <v>0</v>
      </c>
      <c r="F241" s="7">
        <f>'07_Base_Limpia'!I73</f>
        <v>0</v>
      </c>
      <c r="G241" s="7">
        <f t="shared" si="6"/>
        <v>0</v>
      </c>
      <c r="H241" s="7" t="str">
        <f>IF('07_Base_Limpia'!L73="Gana","Pierde",IF('07_Base_Limpia'!L73="Empata","Empata","Gana"))</f>
        <v>Empata</v>
      </c>
      <c r="I241" s="7">
        <f t="shared" si="7"/>
        <v>1</v>
      </c>
    </row>
    <row r="242" spans="1:9" ht="15" customHeight="1">
      <c r="A242" s="7">
        <f>'07_Base_Limpia'!B74</f>
        <v>2022</v>
      </c>
      <c r="B242" s="7" t="str">
        <f>'07_Base_Limpia'!H74</f>
        <v>Australia</v>
      </c>
      <c r="C242" s="7" t="str">
        <f>'07_Base_Limpia'!G74</f>
        <v>Tunisia</v>
      </c>
      <c r="D242" s="7" t="s">
        <v>1009</v>
      </c>
      <c r="E242" s="7">
        <f>'07_Base_Limpia'!J74</f>
        <v>1</v>
      </c>
      <c r="F242" s="7">
        <f>'07_Base_Limpia'!I74</f>
        <v>0</v>
      </c>
      <c r="G242" s="7">
        <f t="shared" si="6"/>
        <v>1</v>
      </c>
      <c r="H242" s="7" t="str">
        <f>IF('07_Base_Limpia'!L74="Gana","Pierde",IF('07_Base_Limpia'!L74="Empata","Empata","Gana"))</f>
        <v>Gana</v>
      </c>
      <c r="I242" s="7">
        <f t="shared" si="7"/>
        <v>3</v>
      </c>
    </row>
    <row r="243" spans="1:9" ht="15" customHeight="1">
      <c r="A243" s="7">
        <f>'07_Base_Limpia'!B75</f>
        <v>2022</v>
      </c>
      <c r="B243" s="7" t="str">
        <f>'07_Base_Limpia'!H75</f>
        <v>Saudi Arabia</v>
      </c>
      <c r="C243" s="7" t="str">
        <f>'07_Base_Limpia'!G75</f>
        <v>Poland</v>
      </c>
      <c r="D243" s="7" t="s">
        <v>1009</v>
      </c>
      <c r="E243" s="7">
        <f>'07_Base_Limpia'!J75</f>
        <v>0</v>
      </c>
      <c r="F243" s="7">
        <f>'07_Base_Limpia'!I75</f>
        <v>2</v>
      </c>
      <c r="G243" s="7">
        <f t="shared" si="6"/>
        <v>-2</v>
      </c>
      <c r="H243" s="7" t="str">
        <f>IF('07_Base_Limpia'!L75="Gana","Pierde",IF('07_Base_Limpia'!L75="Empata","Empata","Gana"))</f>
        <v>Pierde</v>
      </c>
      <c r="I243" s="7">
        <f t="shared" si="7"/>
        <v>0</v>
      </c>
    </row>
    <row r="244" spans="1:9" ht="15" customHeight="1">
      <c r="A244" s="7">
        <f>'07_Base_Limpia'!B76</f>
        <v>2022</v>
      </c>
      <c r="B244" s="7" t="str">
        <f>'07_Base_Limpia'!H76</f>
        <v>Denmark</v>
      </c>
      <c r="C244" s="7" t="str">
        <f>'07_Base_Limpia'!G76</f>
        <v>France</v>
      </c>
      <c r="D244" s="7" t="s">
        <v>1009</v>
      </c>
      <c r="E244" s="7">
        <f>'07_Base_Limpia'!J76</f>
        <v>1</v>
      </c>
      <c r="F244" s="7">
        <f>'07_Base_Limpia'!I76</f>
        <v>2</v>
      </c>
      <c r="G244" s="7">
        <f t="shared" si="6"/>
        <v>-1</v>
      </c>
      <c r="H244" s="7" t="str">
        <f>IF('07_Base_Limpia'!L76="Gana","Pierde",IF('07_Base_Limpia'!L76="Empata","Empata","Gana"))</f>
        <v>Pierde</v>
      </c>
      <c r="I244" s="7">
        <f t="shared" si="7"/>
        <v>0</v>
      </c>
    </row>
    <row r="245" spans="1:9" ht="15" customHeight="1">
      <c r="A245" s="7">
        <f>'07_Base_Limpia'!B77</f>
        <v>2022</v>
      </c>
      <c r="B245" s="7" t="str">
        <f>'07_Base_Limpia'!H77</f>
        <v>Mexico</v>
      </c>
      <c r="C245" s="7" t="str">
        <f>'07_Base_Limpia'!G77</f>
        <v>Argentina</v>
      </c>
      <c r="D245" s="7" t="s">
        <v>1009</v>
      </c>
      <c r="E245" s="7">
        <f>'07_Base_Limpia'!J77</f>
        <v>0</v>
      </c>
      <c r="F245" s="7">
        <f>'07_Base_Limpia'!I77</f>
        <v>2</v>
      </c>
      <c r="G245" s="7">
        <f t="shared" si="6"/>
        <v>-2</v>
      </c>
      <c r="H245" s="7" t="str">
        <f>IF('07_Base_Limpia'!L77="Gana","Pierde",IF('07_Base_Limpia'!L77="Empata","Empata","Gana"))</f>
        <v>Pierde</v>
      </c>
      <c r="I245" s="7">
        <f t="shared" si="7"/>
        <v>0</v>
      </c>
    </row>
    <row r="246" spans="1:9" ht="15" customHeight="1">
      <c r="A246" s="7">
        <f>'07_Base_Limpia'!B78</f>
        <v>2022</v>
      </c>
      <c r="B246" s="7" t="str">
        <f>'07_Base_Limpia'!H78</f>
        <v>Costa Rica</v>
      </c>
      <c r="C246" s="7" t="str">
        <f>'07_Base_Limpia'!G78</f>
        <v>Japan</v>
      </c>
      <c r="D246" s="7" t="s">
        <v>1009</v>
      </c>
      <c r="E246" s="7">
        <f>'07_Base_Limpia'!J78</f>
        <v>1</v>
      </c>
      <c r="F246" s="7">
        <f>'07_Base_Limpia'!I78</f>
        <v>0</v>
      </c>
      <c r="G246" s="7">
        <f t="shared" si="6"/>
        <v>1</v>
      </c>
      <c r="H246" s="7" t="str">
        <f>IF('07_Base_Limpia'!L78="Gana","Pierde",IF('07_Base_Limpia'!L78="Empata","Empata","Gana"))</f>
        <v>Gana</v>
      </c>
      <c r="I246" s="7">
        <f t="shared" si="7"/>
        <v>3</v>
      </c>
    </row>
    <row r="247" spans="1:9" ht="15" customHeight="1">
      <c r="A247" s="7">
        <f>'07_Base_Limpia'!B79</f>
        <v>2022</v>
      </c>
      <c r="B247" s="7" t="str">
        <f>'07_Base_Limpia'!H79</f>
        <v>Morocco</v>
      </c>
      <c r="C247" s="7" t="str">
        <f>'07_Base_Limpia'!G79</f>
        <v>Belgium</v>
      </c>
      <c r="D247" s="7" t="s">
        <v>1009</v>
      </c>
      <c r="E247" s="7">
        <f>'07_Base_Limpia'!J79</f>
        <v>2</v>
      </c>
      <c r="F247" s="7">
        <f>'07_Base_Limpia'!I79</f>
        <v>0</v>
      </c>
      <c r="G247" s="7">
        <f t="shared" si="6"/>
        <v>2</v>
      </c>
      <c r="H247" s="7" t="str">
        <f>IF('07_Base_Limpia'!L79="Gana","Pierde",IF('07_Base_Limpia'!L79="Empata","Empata","Gana"))</f>
        <v>Gana</v>
      </c>
      <c r="I247" s="7">
        <f t="shared" si="7"/>
        <v>3</v>
      </c>
    </row>
    <row r="248" spans="1:9" ht="15" customHeight="1">
      <c r="A248" s="7">
        <f>'07_Base_Limpia'!B80</f>
        <v>2022</v>
      </c>
      <c r="B248" s="7" t="str">
        <f>'07_Base_Limpia'!H80</f>
        <v>Canada</v>
      </c>
      <c r="C248" s="7" t="str">
        <f>'07_Base_Limpia'!G80</f>
        <v>Croatia</v>
      </c>
      <c r="D248" s="7" t="s">
        <v>1009</v>
      </c>
      <c r="E248" s="7">
        <f>'07_Base_Limpia'!J80</f>
        <v>1</v>
      </c>
      <c r="F248" s="7">
        <f>'07_Base_Limpia'!I80</f>
        <v>4</v>
      </c>
      <c r="G248" s="7">
        <f t="shared" si="6"/>
        <v>-3</v>
      </c>
      <c r="H248" s="7" t="str">
        <f>IF('07_Base_Limpia'!L80="Gana","Pierde",IF('07_Base_Limpia'!L80="Empata","Empata","Gana"))</f>
        <v>Pierde</v>
      </c>
      <c r="I248" s="7">
        <f t="shared" si="7"/>
        <v>0</v>
      </c>
    </row>
    <row r="249" spans="1:9" ht="15" customHeight="1">
      <c r="A249" s="7">
        <f>'07_Base_Limpia'!B81</f>
        <v>2022</v>
      </c>
      <c r="B249" s="7" t="str">
        <f>'07_Base_Limpia'!H81</f>
        <v>Germany</v>
      </c>
      <c r="C249" s="7" t="str">
        <f>'07_Base_Limpia'!G81</f>
        <v>Spain</v>
      </c>
      <c r="D249" s="7" t="s">
        <v>1009</v>
      </c>
      <c r="E249" s="7">
        <f>'07_Base_Limpia'!J81</f>
        <v>1</v>
      </c>
      <c r="F249" s="7">
        <f>'07_Base_Limpia'!I81</f>
        <v>1</v>
      </c>
      <c r="G249" s="7">
        <f t="shared" si="6"/>
        <v>0</v>
      </c>
      <c r="H249" s="7" t="str">
        <f>IF('07_Base_Limpia'!L81="Gana","Pierde",IF('07_Base_Limpia'!L81="Empata","Empata","Gana"))</f>
        <v>Empata</v>
      </c>
      <c r="I249" s="7">
        <f t="shared" si="7"/>
        <v>1</v>
      </c>
    </row>
    <row r="250" spans="1:9" ht="15" customHeight="1">
      <c r="A250" s="7">
        <f>'07_Base_Limpia'!B82</f>
        <v>2022</v>
      </c>
      <c r="B250" s="7" t="str">
        <f>'07_Base_Limpia'!H82</f>
        <v>Serbia</v>
      </c>
      <c r="C250" s="7" t="str">
        <f>'07_Base_Limpia'!G82</f>
        <v>Cameroon</v>
      </c>
      <c r="D250" s="7" t="s">
        <v>1009</v>
      </c>
      <c r="E250" s="7">
        <f>'07_Base_Limpia'!J82</f>
        <v>3</v>
      </c>
      <c r="F250" s="7">
        <f>'07_Base_Limpia'!I82</f>
        <v>3</v>
      </c>
      <c r="G250" s="7">
        <f t="shared" si="6"/>
        <v>0</v>
      </c>
      <c r="H250" s="7" t="str">
        <f>IF('07_Base_Limpia'!L82="Gana","Pierde",IF('07_Base_Limpia'!L82="Empata","Empata","Gana"))</f>
        <v>Empata</v>
      </c>
      <c r="I250" s="7">
        <f t="shared" si="7"/>
        <v>1</v>
      </c>
    </row>
    <row r="251" spans="1:9" ht="15" customHeight="1">
      <c r="A251" s="7">
        <f>'07_Base_Limpia'!B83</f>
        <v>2022</v>
      </c>
      <c r="B251" s="7" t="str">
        <f>'07_Base_Limpia'!H83</f>
        <v>Ghana</v>
      </c>
      <c r="C251" s="7" t="str">
        <f>'07_Base_Limpia'!G83</f>
        <v>South Korea</v>
      </c>
      <c r="D251" s="7" t="s">
        <v>1009</v>
      </c>
      <c r="E251" s="7">
        <f>'07_Base_Limpia'!J83</f>
        <v>3</v>
      </c>
      <c r="F251" s="7">
        <f>'07_Base_Limpia'!I83</f>
        <v>2</v>
      </c>
      <c r="G251" s="7">
        <f t="shared" si="6"/>
        <v>1</v>
      </c>
      <c r="H251" s="7" t="str">
        <f>IF('07_Base_Limpia'!L83="Gana","Pierde",IF('07_Base_Limpia'!L83="Empata","Empata","Gana"))</f>
        <v>Gana</v>
      </c>
      <c r="I251" s="7">
        <f t="shared" si="7"/>
        <v>3</v>
      </c>
    </row>
    <row r="252" spans="1:9" ht="15" customHeight="1">
      <c r="A252" s="7">
        <f>'07_Base_Limpia'!B84</f>
        <v>2022</v>
      </c>
      <c r="B252" s="7" t="str">
        <f>'07_Base_Limpia'!H84</f>
        <v>Switzerland</v>
      </c>
      <c r="C252" s="7" t="str">
        <f>'07_Base_Limpia'!G84</f>
        <v>Brazil</v>
      </c>
      <c r="D252" s="7" t="s">
        <v>1009</v>
      </c>
      <c r="E252" s="7">
        <f>'07_Base_Limpia'!J84</f>
        <v>0</v>
      </c>
      <c r="F252" s="7">
        <f>'07_Base_Limpia'!I84</f>
        <v>1</v>
      </c>
      <c r="G252" s="7">
        <f t="shared" si="6"/>
        <v>-1</v>
      </c>
      <c r="H252" s="7" t="str">
        <f>IF('07_Base_Limpia'!L84="Gana","Pierde",IF('07_Base_Limpia'!L84="Empata","Empata","Gana"))</f>
        <v>Pierde</v>
      </c>
      <c r="I252" s="7">
        <f t="shared" si="7"/>
        <v>0</v>
      </c>
    </row>
    <row r="253" spans="1:9" ht="15" customHeight="1">
      <c r="A253" s="7">
        <f>'07_Base_Limpia'!B85</f>
        <v>2022</v>
      </c>
      <c r="B253" s="7" t="str">
        <f>'07_Base_Limpia'!H85</f>
        <v>Uruguay</v>
      </c>
      <c r="C253" s="7" t="str">
        <f>'07_Base_Limpia'!G85</f>
        <v>Portugal</v>
      </c>
      <c r="D253" s="7" t="s">
        <v>1009</v>
      </c>
      <c r="E253" s="7">
        <f>'07_Base_Limpia'!J85</f>
        <v>0</v>
      </c>
      <c r="F253" s="7">
        <f>'07_Base_Limpia'!I85</f>
        <v>2</v>
      </c>
      <c r="G253" s="7">
        <f t="shared" si="6"/>
        <v>-2</v>
      </c>
      <c r="H253" s="7" t="str">
        <f>IF('07_Base_Limpia'!L85="Gana","Pierde",IF('07_Base_Limpia'!L85="Empata","Empata","Gana"))</f>
        <v>Pierde</v>
      </c>
      <c r="I253" s="7">
        <f t="shared" si="7"/>
        <v>0</v>
      </c>
    </row>
    <row r="254" spans="1:9" ht="15" customHeight="1">
      <c r="A254" s="7">
        <f>'07_Base_Limpia'!B86</f>
        <v>2022</v>
      </c>
      <c r="B254" s="7" t="str">
        <f>'07_Base_Limpia'!H86</f>
        <v>Senegal</v>
      </c>
      <c r="C254" s="7" t="str">
        <f>'07_Base_Limpia'!G86</f>
        <v>Ecuador</v>
      </c>
      <c r="D254" s="7" t="s">
        <v>1009</v>
      </c>
      <c r="E254" s="7">
        <f>'07_Base_Limpia'!J86</f>
        <v>2</v>
      </c>
      <c r="F254" s="7">
        <f>'07_Base_Limpia'!I86</f>
        <v>1</v>
      </c>
      <c r="G254" s="7">
        <f t="shared" si="6"/>
        <v>1</v>
      </c>
      <c r="H254" s="7" t="str">
        <f>IF('07_Base_Limpia'!L86="Gana","Pierde",IF('07_Base_Limpia'!L86="Empata","Empata","Gana"))</f>
        <v>Gana</v>
      </c>
      <c r="I254" s="7">
        <f t="shared" si="7"/>
        <v>3</v>
      </c>
    </row>
    <row r="255" spans="1:9" ht="15" customHeight="1">
      <c r="A255" s="7">
        <f>'07_Base_Limpia'!B87</f>
        <v>2022</v>
      </c>
      <c r="B255" s="7" t="str">
        <f>'07_Base_Limpia'!H87</f>
        <v>Qatar</v>
      </c>
      <c r="C255" s="7" t="str">
        <f>'07_Base_Limpia'!G87</f>
        <v>Netherlands</v>
      </c>
      <c r="D255" s="7" t="s">
        <v>1009</v>
      </c>
      <c r="E255" s="7">
        <f>'07_Base_Limpia'!J87</f>
        <v>0</v>
      </c>
      <c r="F255" s="7">
        <f>'07_Base_Limpia'!I87</f>
        <v>2</v>
      </c>
      <c r="G255" s="7">
        <f t="shared" si="6"/>
        <v>-2</v>
      </c>
      <c r="H255" s="7" t="str">
        <f>IF('07_Base_Limpia'!L87="Gana","Pierde",IF('07_Base_Limpia'!L87="Empata","Empata","Gana"))</f>
        <v>Pierde</v>
      </c>
      <c r="I255" s="7">
        <f t="shared" si="7"/>
        <v>0</v>
      </c>
    </row>
    <row r="256" spans="1:9" ht="15" customHeight="1">
      <c r="A256" s="7">
        <f>'07_Base_Limpia'!B88</f>
        <v>2022</v>
      </c>
      <c r="B256" s="7" t="str">
        <f>'07_Base_Limpia'!H88</f>
        <v>United States</v>
      </c>
      <c r="C256" s="7" t="str">
        <f>'07_Base_Limpia'!G88</f>
        <v>Iran</v>
      </c>
      <c r="D256" s="7" t="s">
        <v>1009</v>
      </c>
      <c r="E256" s="7">
        <f>'07_Base_Limpia'!J88</f>
        <v>1</v>
      </c>
      <c r="F256" s="7">
        <f>'07_Base_Limpia'!I88</f>
        <v>0</v>
      </c>
      <c r="G256" s="7">
        <f t="shared" si="6"/>
        <v>1</v>
      </c>
      <c r="H256" s="7" t="str">
        <f>IF('07_Base_Limpia'!L88="Gana","Pierde",IF('07_Base_Limpia'!L88="Empata","Empata","Gana"))</f>
        <v>Gana</v>
      </c>
      <c r="I256" s="7">
        <f t="shared" si="7"/>
        <v>3</v>
      </c>
    </row>
    <row r="257" spans="1:9" ht="15" customHeight="1">
      <c r="A257" s="7">
        <f>'07_Base_Limpia'!B89</f>
        <v>2022</v>
      </c>
      <c r="B257" s="7" t="str">
        <f>'07_Base_Limpia'!H89</f>
        <v>England</v>
      </c>
      <c r="C257" s="7" t="str">
        <f>'07_Base_Limpia'!G89</f>
        <v>Wales</v>
      </c>
      <c r="D257" s="7" t="s">
        <v>1009</v>
      </c>
      <c r="E257" s="7">
        <f>'07_Base_Limpia'!J89</f>
        <v>3</v>
      </c>
      <c r="F257" s="7">
        <f>'07_Base_Limpia'!I89</f>
        <v>0</v>
      </c>
      <c r="G257" s="7">
        <f t="shared" si="6"/>
        <v>3</v>
      </c>
      <c r="H257" s="7" t="str">
        <f>IF('07_Base_Limpia'!L89="Gana","Pierde",IF('07_Base_Limpia'!L89="Empata","Empata","Gana"))</f>
        <v>Gana</v>
      </c>
      <c r="I257" s="7">
        <f t="shared" si="7"/>
        <v>3</v>
      </c>
    </row>
    <row r="258" spans="1:9" ht="15" customHeight="1">
      <c r="A258" s="7">
        <f>'07_Base_Limpia'!B90</f>
        <v>2022</v>
      </c>
      <c r="B258" s="7" t="str">
        <f>'07_Base_Limpia'!H90</f>
        <v>Denmark</v>
      </c>
      <c r="C258" s="7" t="str">
        <f>'07_Base_Limpia'!G90</f>
        <v>Australia</v>
      </c>
      <c r="D258" s="7" t="s">
        <v>1009</v>
      </c>
      <c r="E258" s="7">
        <f>'07_Base_Limpia'!J90</f>
        <v>0</v>
      </c>
      <c r="F258" s="7">
        <f>'07_Base_Limpia'!I90</f>
        <v>1</v>
      </c>
      <c r="G258" s="7">
        <f t="shared" si="6"/>
        <v>-1</v>
      </c>
      <c r="H258" s="7" t="str">
        <f>IF('07_Base_Limpia'!L90="Gana","Pierde",IF('07_Base_Limpia'!L90="Empata","Empata","Gana"))</f>
        <v>Pierde</v>
      </c>
      <c r="I258" s="7">
        <f t="shared" si="7"/>
        <v>0</v>
      </c>
    </row>
    <row r="259" spans="1:9" ht="15" customHeight="1">
      <c r="A259" s="7">
        <f>'07_Base_Limpia'!B91</f>
        <v>2022</v>
      </c>
      <c r="B259" s="7" t="str">
        <f>'07_Base_Limpia'!H91</f>
        <v>France</v>
      </c>
      <c r="C259" s="7" t="str">
        <f>'07_Base_Limpia'!G91</f>
        <v>Tunisia</v>
      </c>
      <c r="D259" s="7" t="s">
        <v>1009</v>
      </c>
      <c r="E259" s="7">
        <f>'07_Base_Limpia'!J91</f>
        <v>0</v>
      </c>
      <c r="F259" s="7">
        <f>'07_Base_Limpia'!I91</f>
        <v>1</v>
      </c>
      <c r="G259" s="7">
        <f t="shared" si="6"/>
        <v>-1</v>
      </c>
      <c r="H259" s="7" t="str">
        <f>IF('07_Base_Limpia'!L91="Gana","Pierde",IF('07_Base_Limpia'!L91="Empata","Empata","Gana"))</f>
        <v>Pierde</v>
      </c>
      <c r="I259" s="7">
        <f t="shared" si="7"/>
        <v>0</v>
      </c>
    </row>
    <row r="260" spans="1:9" ht="15" customHeight="1">
      <c r="A260" s="7">
        <f>'07_Base_Limpia'!B92</f>
        <v>2022</v>
      </c>
      <c r="B260" s="7" t="str">
        <f>'07_Base_Limpia'!H92</f>
        <v>Argentina</v>
      </c>
      <c r="C260" s="7" t="str">
        <f>'07_Base_Limpia'!G92</f>
        <v>Poland</v>
      </c>
      <c r="D260" s="7" t="s">
        <v>1009</v>
      </c>
      <c r="E260" s="7">
        <f>'07_Base_Limpia'!J92</f>
        <v>2</v>
      </c>
      <c r="F260" s="7">
        <f>'07_Base_Limpia'!I92</f>
        <v>0</v>
      </c>
      <c r="G260" s="7">
        <f t="shared" si="6"/>
        <v>2</v>
      </c>
      <c r="H260" s="7" t="str">
        <f>IF('07_Base_Limpia'!L92="Gana","Pierde",IF('07_Base_Limpia'!L92="Empata","Empata","Gana"))</f>
        <v>Gana</v>
      </c>
      <c r="I260" s="7">
        <f t="shared" si="7"/>
        <v>3</v>
      </c>
    </row>
    <row r="261" spans="1:9" ht="15" customHeight="1">
      <c r="A261" s="7">
        <f>'07_Base_Limpia'!B93</f>
        <v>2022</v>
      </c>
      <c r="B261" s="7" t="str">
        <f>'07_Base_Limpia'!H93</f>
        <v>Mexico</v>
      </c>
      <c r="C261" s="7" t="str">
        <f>'07_Base_Limpia'!G93</f>
        <v>Saudi Arabia</v>
      </c>
      <c r="D261" s="7" t="s">
        <v>1009</v>
      </c>
      <c r="E261" s="7">
        <f>'07_Base_Limpia'!J93</f>
        <v>2</v>
      </c>
      <c r="F261" s="7">
        <f>'07_Base_Limpia'!I93</f>
        <v>1</v>
      </c>
      <c r="G261" s="7">
        <f t="shared" si="6"/>
        <v>1</v>
      </c>
      <c r="H261" s="7" t="str">
        <f>IF('07_Base_Limpia'!L93="Gana","Pierde",IF('07_Base_Limpia'!L93="Empata","Empata","Gana"))</f>
        <v>Gana</v>
      </c>
      <c r="I261" s="7">
        <f t="shared" si="7"/>
        <v>3</v>
      </c>
    </row>
    <row r="262" spans="1:9" ht="15" customHeight="1">
      <c r="A262" s="7">
        <f>'07_Base_Limpia'!B94</f>
        <v>2022</v>
      </c>
      <c r="B262" s="7" t="str">
        <f>'07_Base_Limpia'!H94</f>
        <v>Morocco</v>
      </c>
      <c r="C262" s="7" t="str">
        <f>'07_Base_Limpia'!G94</f>
        <v>Canada</v>
      </c>
      <c r="D262" s="7" t="s">
        <v>1009</v>
      </c>
      <c r="E262" s="7">
        <f>'07_Base_Limpia'!J94</f>
        <v>2</v>
      </c>
      <c r="F262" s="7">
        <f>'07_Base_Limpia'!I94</f>
        <v>1</v>
      </c>
      <c r="G262" s="7">
        <f t="shared" ref="G262:G325" si="8">E262-F262</f>
        <v>1</v>
      </c>
      <c r="H262" s="7" t="str">
        <f>IF('07_Base_Limpia'!L94="Gana","Pierde",IF('07_Base_Limpia'!L94="Empata","Empata","Gana"))</f>
        <v>Gana</v>
      </c>
      <c r="I262" s="7">
        <f t="shared" ref="I262:I325" si="9">IF(H262="Gana",3,IF(H262="Empata",1,0))</f>
        <v>3</v>
      </c>
    </row>
    <row r="263" spans="1:9" ht="15" customHeight="1">
      <c r="A263" s="7">
        <f>'07_Base_Limpia'!B95</f>
        <v>2022</v>
      </c>
      <c r="B263" s="7" t="str">
        <f>'07_Base_Limpia'!H95</f>
        <v>Belgium</v>
      </c>
      <c r="C263" s="7" t="str">
        <f>'07_Base_Limpia'!G95</f>
        <v>Croatia</v>
      </c>
      <c r="D263" s="7" t="s">
        <v>1009</v>
      </c>
      <c r="E263" s="7">
        <f>'07_Base_Limpia'!J95</f>
        <v>0</v>
      </c>
      <c r="F263" s="7">
        <f>'07_Base_Limpia'!I95</f>
        <v>0</v>
      </c>
      <c r="G263" s="7">
        <f t="shared" si="8"/>
        <v>0</v>
      </c>
      <c r="H263" s="7" t="str">
        <f>IF('07_Base_Limpia'!L95="Gana","Pierde",IF('07_Base_Limpia'!L95="Empata","Empata","Gana"))</f>
        <v>Empata</v>
      </c>
      <c r="I263" s="7">
        <f t="shared" si="9"/>
        <v>1</v>
      </c>
    </row>
    <row r="264" spans="1:9" ht="15" customHeight="1">
      <c r="A264" s="7">
        <f>'07_Base_Limpia'!B96</f>
        <v>2022</v>
      </c>
      <c r="B264" s="7" t="str">
        <f>'07_Base_Limpia'!H96</f>
        <v>Germany</v>
      </c>
      <c r="C264" s="7" t="str">
        <f>'07_Base_Limpia'!G96</f>
        <v>Costa Rica</v>
      </c>
      <c r="D264" s="7" t="s">
        <v>1009</v>
      </c>
      <c r="E264" s="7">
        <f>'07_Base_Limpia'!J96</f>
        <v>4</v>
      </c>
      <c r="F264" s="7">
        <f>'07_Base_Limpia'!I96</f>
        <v>2</v>
      </c>
      <c r="G264" s="7">
        <f t="shared" si="8"/>
        <v>2</v>
      </c>
      <c r="H264" s="7" t="str">
        <f>IF('07_Base_Limpia'!L96="Gana","Pierde",IF('07_Base_Limpia'!L96="Empata","Empata","Gana"))</f>
        <v>Gana</v>
      </c>
      <c r="I264" s="7">
        <f t="shared" si="9"/>
        <v>3</v>
      </c>
    </row>
    <row r="265" spans="1:9" ht="15" customHeight="1">
      <c r="A265" s="7">
        <f>'07_Base_Limpia'!B97</f>
        <v>2022</v>
      </c>
      <c r="B265" s="7" t="str">
        <f>'07_Base_Limpia'!H97</f>
        <v>Spain</v>
      </c>
      <c r="C265" s="7" t="str">
        <f>'07_Base_Limpia'!G97</f>
        <v>Japan</v>
      </c>
      <c r="D265" s="7" t="s">
        <v>1009</v>
      </c>
      <c r="E265" s="7">
        <f>'07_Base_Limpia'!J97</f>
        <v>1</v>
      </c>
      <c r="F265" s="7">
        <f>'07_Base_Limpia'!I97</f>
        <v>2</v>
      </c>
      <c r="G265" s="7">
        <f t="shared" si="8"/>
        <v>-1</v>
      </c>
      <c r="H265" s="7" t="str">
        <f>IF('07_Base_Limpia'!L97="Gana","Pierde",IF('07_Base_Limpia'!L97="Empata","Empata","Gana"))</f>
        <v>Pierde</v>
      </c>
      <c r="I265" s="7">
        <f t="shared" si="9"/>
        <v>0</v>
      </c>
    </row>
    <row r="266" spans="1:9" ht="15" customHeight="1">
      <c r="A266" s="7">
        <f>'07_Base_Limpia'!B98</f>
        <v>2022</v>
      </c>
      <c r="B266" s="7" t="str">
        <f>'07_Base_Limpia'!H98</f>
        <v>Uruguay</v>
      </c>
      <c r="C266" s="7" t="str">
        <f>'07_Base_Limpia'!G98</f>
        <v>Ghana</v>
      </c>
      <c r="D266" s="7" t="s">
        <v>1009</v>
      </c>
      <c r="E266" s="7">
        <f>'07_Base_Limpia'!J98</f>
        <v>2</v>
      </c>
      <c r="F266" s="7">
        <f>'07_Base_Limpia'!I98</f>
        <v>0</v>
      </c>
      <c r="G266" s="7">
        <f t="shared" si="8"/>
        <v>2</v>
      </c>
      <c r="H266" s="7" t="str">
        <f>IF('07_Base_Limpia'!L98="Gana","Pierde",IF('07_Base_Limpia'!L98="Empata","Empata","Gana"))</f>
        <v>Gana</v>
      </c>
      <c r="I266" s="7">
        <f t="shared" si="9"/>
        <v>3</v>
      </c>
    </row>
    <row r="267" spans="1:9" ht="15" customHeight="1">
      <c r="A267" s="7">
        <f>'07_Base_Limpia'!B99</f>
        <v>2022</v>
      </c>
      <c r="B267" s="7" t="str">
        <f>'07_Base_Limpia'!H99</f>
        <v>Portugal</v>
      </c>
      <c r="C267" s="7" t="str">
        <f>'07_Base_Limpia'!G99</f>
        <v>South Korea</v>
      </c>
      <c r="D267" s="7" t="s">
        <v>1009</v>
      </c>
      <c r="E267" s="7">
        <f>'07_Base_Limpia'!J99</f>
        <v>1</v>
      </c>
      <c r="F267" s="7">
        <f>'07_Base_Limpia'!I99</f>
        <v>2</v>
      </c>
      <c r="G267" s="7">
        <f t="shared" si="8"/>
        <v>-1</v>
      </c>
      <c r="H267" s="7" t="str">
        <f>IF('07_Base_Limpia'!L99="Gana","Pierde",IF('07_Base_Limpia'!L99="Empata","Empata","Gana"))</f>
        <v>Pierde</v>
      </c>
      <c r="I267" s="7">
        <f t="shared" si="9"/>
        <v>0</v>
      </c>
    </row>
    <row r="268" spans="1:9" ht="15" customHeight="1">
      <c r="A268" s="7">
        <f>'07_Base_Limpia'!B100</f>
        <v>2022</v>
      </c>
      <c r="B268" s="7" t="str">
        <f>'07_Base_Limpia'!H100</f>
        <v>Brazil</v>
      </c>
      <c r="C268" s="7" t="str">
        <f>'07_Base_Limpia'!G100</f>
        <v>Cameroon</v>
      </c>
      <c r="D268" s="7" t="s">
        <v>1009</v>
      </c>
      <c r="E268" s="7">
        <f>'07_Base_Limpia'!J100</f>
        <v>0</v>
      </c>
      <c r="F268" s="7">
        <f>'07_Base_Limpia'!I100</f>
        <v>1</v>
      </c>
      <c r="G268" s="7">
        <f t="shared" si="8"/>
        <v>-1</v>
      </c>
      <c r="H268" s="7" t="str">
        <f>IF('07_Base_Limpia'!L100="Gana","Pierde",IF('07_Base_Limpia'!L100="Empata","Empata","Gana"))</f>
        <v>Pierde</v>
      </c>
      <c r="I268" s="7">
        <f t="shared" si="9"/>
        <v>0</v>
      </c>
    </row>
    <row r="269" spans="1:9" ht="15" customHeight="1">
      <c r="A269" s="7">
        <f>'07_Base_Limpia'!B101</f>
        <v>2022</v>
      </c>
      <c r="B269" s="7" t="str">
        <f>'07_Base_Limpia'!H101</f>
        <v>Switzerland</v>
      </c>
      <c r="C269" s="7" t="str">
        <f>'07_Base_Limpia'!G101</f>
        <v>Serbia</v>
      </c>
      <c r="D269" s="7" t="s">
        <v>1009</v>
      </c>
      <c r="E269" s="7">
        <f>'07_Base_Limpia'!J101</f>
        <v>3</v>
      </c>
      <c r="F269" s="7">
        <f>'07_Base_Limpia'!I101</f>
        <v>2</v>
      </c>
      <c r="G269" s="7">
        <f t="shared" si="8"/>
        <v>1</v>
      </c>
      <c r="H269" s="7" t="str">
        <f>IF('07_Base_Limpia'!L101="Gana","Pierde",IF('07_Base_Limpia'!L101="Empata","Empata","Gana"))</f>
        <v>Gana</v>
      </c>
      <c r="I269" s="7">
        <f t="shared" si="9"/>
        <v>3</v>
      </c>
    </row>
    <row r="270" spans="1:9" ht="15" customHeight="1">
      <c r="A270" s="7">
        <f>'07_Base_Limpia'!B102</f>
        <v>2026</v>
      </c>
      <c r="B270" s="7" t="str">
        <f>'07_Base_Limpia'!H102</f>
        <v>South Africa</v>
      </c>
      <c r="C270" s="7" t="str">
        <f>'07_Base_Limpia'!G102</f>
        <v>Mexico</v>
      </c>
      <c r="D270" s="7" t="s">
        <v>1009</v>
      </c>
      <c r="E270" s="7">
        <f>'07_Base_Limpia'!J102</f>
        <v>0</v>
      </c>
      <c r="F270" s="7">
        <f>'07_Base_Limpia'!I102</f>
        <v>2</v>
      </c>
      <c r="G270" s="7">
        <f t="shared" si="8"/>
        <v>-2</v>
      </c>
      <c r="H270" s="7" t="str">
        <f>IF('07_Base_Limpia'!L102="Gana","Pierde",IF('07_Base_Limpia'!L102="Empata","Empata","Gana"))</f>
        <v>Pierde</v>
      </c>
      <c r="I270" s="7">
        <f t="shared" si="9"/>
        <v>0</v>
      </c>
    </row>
    <row r="271" spans="1:9" ht="15" customHeight="1">
      <c r="A271" s="7">
        <f>'07_Base_Limpia'!B103</f>
        <v>2026</v>
      </c>
      <c r="B271" s="7" t="str">
        <f>'07_Base_Limpia'!H103</f>
        <v>Czechia</v>
      </c>
      <c r="C271" s="7" t="str">
        <f>'07_Base_Limpia'!G103</f>
        <v>South Korea</v>
      </c>
      <c r="D271" s="7" t="s">
        <v>1009</v>
      </c>
      <c r="E271" s="7">
        <f>'07_Base_Limpia'!J103</f>
        <v>1</v>
      </c>
      <c r="F271" s="7">
        <f>'07_Base_Limpia'!I103</f>
        <v>2</v>
      </c>
      <c r="G271" s="7">
        <f t="shared" si="8"/>
        <v>-1</v>
      </c>
      <c r="H271" s="7" t="str">
        <f>IF('07_Base_Limpia'!L103="Gana","Pierde",IF('07_Base_Limpia'!L103="Empata","Empata","Gana"))</f>
        <v>Pierde</v>
      </c>
      <c r="I271" s="7">
        <f t="shared" si="9"/>
        <v>0</v>
      </c>
    </row>
    <row r="272" spans="1:9" ht="15" customHeight="1">
      <c r="A272" s="7">
        <f>'07_Base_Limpia'!B104</f>
        <v>2026</v>
      </c>
      <c r="B272" s="7" t="str">
        <f>'07_Base_Limpia'!H104</f>
        <v>Bosnia and Herzegovina</v>
      </c>
      <c r="C272" s="7" t="str">
        <f>'07_Base_Limpia'!G104</f>
        <v>Canada</v>
      </c>
      <c r="D272" s="7" t="s">
        <v>1009</v>
      </c>
      <c r="E272" s="7">
        <f>'07_Base_Limpia'!J104</f>
        <v>1</v>
      </c>
      <c r="F272" s="7">
        <f>'07_Base_Limpia'!I104</f>
        <v>1</v>
      </c>
      <c r="G272" s="7">
        <f t="shared" si="8"/>
        <v>0</v>
      </c>
      <c r="H272" s="7" t="str">
        <f>IF('07_Base_Limpia'!L104="Gana","Pierde",IF('07_Base_Limpia'!L104="Empata","Empata","Gana"))</f>
        <v>Empata</v>
      </c>
      <c r="I272" s="7">
        <f t="shared" si="9"/>
        <v>1</v>
      </c>
    </row>
    <row r="273" spans="1:9" ht="15" customHeight="1">
      <c r="A273" s="7">
        <f>'07_Base_Limpia'!B105</f>
        <v>2026</v>
      </c>
      <c r="B273" s="7" t="str">
        <f>'07_Base_Limpia'!H105</f>
        <v>Switzerland</v>
      </c>
      <c r="C273" s="7" t="str">
        <f>'07_Base_Limpia'!G105</f>
        <v>Qatar</v>
      </c>
      <c r="D273" s="7" t="s">
        <v>1009</v>
      </c>
      <c r="E273" s="7">
        <f>'07_Base_Limpia'!J105</f>
        <v>1</v>
      </c>
      <c r="F273" s="7">
        <f>'07_Base_Limpia'!I105</f>
        <v>1</v>
      </c>
      <c r="G273" s="7">
        <f t="shared" si="8"/>
        <v>0</v>
      </c>
      <c r="H273" s="7" t="str">
        <f>IF('07_Base_Limpia'!L105="Gana","Pierde",IF('07_Base_Limpia'!L105="Empata","Empata","Gana"))</f>
        <v>Empata</v>
      </c>
      <c r="I273" s="7">
        <f t="shared" si="9"/>
        <v>1</v>
      </c>
    </row>
    <row r="274" spans="1:9" ht="15" customHeight="1">
      <c r="A274" s="7">
        <f>'07_Base_Limpia'!B106</f>
        <v>2026</v>
      </c>
      <c r="B274" s="7" t="str">
        <f>'07_Base_Limpia'!H106</f>
        <v>Morocco</v>
      </c>
      <c r="C274" s="7" t="str">
        <f>'07_Base_Limpia'!G106</f>
        <v>Brazil</v>
      </c>
      <c r="D274" s="7" t="s">
        <v>1009</v>
      </c>
      <c r="E274" s="7">
        <f>'07_Base_Limpia'!J106</f>
        <v>1</v>
      </c>
      <c r="F274" s="7">
        <f>'07_Base_Limpia'!I106</f>
        <v>1</v>
      </c>
      <c r="G274" s="7">
        <f t="shared" si="8"/>
        <v>0</v>
      </c>
      <c r="H274" s="7" t="str">
        <f>IF('07_Base_Limpia'!L106="Gana","Pierde",IF('07_Base_Limpia'!L106="Empata","Empata","Gana"))</f>
        <v>Empata</v>
      </c>
      <c r="I274" s="7">
        <f t="shared" si="9"/>
        <v>1</v>
      </c>
    </row>
    <row r="275" spans="1:9" ht="15" customHeight="1">
      <c r="A275" s="7">
        <f>'07_Base_Limpia'!B107</f>
        <v>2026</v>
      </c>
      <c r="B275" s="7" t="str">
        <f>'07_Base_Limpia'!H107</f>
        <v>Scotland</v>
      </c>
      <c r="C275" s="7" t="str">
        <f>'07_Base_Limpia'!G107</f>
        <v>Haiti</v>
      </c>
      <c r="D275" s="7" t="s">
        <v>1009</v>
      </c>
      <c r="E275" s="7">
        <f>'07_Base_Limpia'!J107</f>
        <v>1</v>
      </c>
      <c r="F275" s="7">
        <f>'07_Base_Limpia'!I107</f>
        <v>0</v>
      </c>
      <c r="G275" s="7">
        <f t="shared" si="8"/>
        <v>1</v>
      </c>
      <c r="H275" s="7" t="str">
        <f>IF('07_Base_Limpia'!L107="Gana","Pierde",IF('07_Base_Limpia'!L107="Empata","Empata","Gana"))</f>
        <v>Gana</v>
      </c>
      <c r="I275" s="7">
        <f t="shared" si="9"/>
        <v>3</v>
      </c>
    </row>
    <row r="276" spans="1:9" ht="15" customHeight="1">
      <c r="A276" s="7">
        <f>'07_Base_Limpia'!B108</f>
        <v>2026</v>
      </c>
      <c r="B276" s="7" t="str">
        <f>'07_Base_Limpia'!H108</f>
        <v>Paraguay</v>
      </c>
      <c r="C276" s="7" t="str">
        <f>'07_Base_Limpia'!G108</f>
        <v>United States</v>
      </c>
      <c r="D276" s="7" t="s">
        <v>1009</v>
      </c>
      <c r="E276" s="7">
        <f>'07_Base_Limpia'!J108</f>
        <v>1</v>
      </c>
      <c r="F276" s="7">
        <f>'07_Base_Limpia'!I108</f>
        <v>4</v>
      </c>
      <c r="G276" s="7">
        <f t="shared" si="8"/>
        <v>-3</v>
      </c>
      <c r="H276" s="7" t="str">
        <f>IF('07_Base_Limpia'!L108="Gana","Pierde",IF('07_Base_Limpia'!L108="Empata","Empata","Gana"))</f>
        <v>Pierde</v>
      </c>
      <c r="I276" s="7">
        <f t="shared" si="9"/>
        <v>0</v>
      </c>
    </row>
    <row r="277" spans="1:9" ht="15" customHeight="1">
      <c r="A277" s="7">
        <f>'07_Base_Limpia'!B109</f>
        <v>2026</v>
      </c>
      <c r="B277" s="7" t="str">
        <f>'07_Base_Limpia'!H109</f>
        <v>Turkey</v>
      </c>
      <c r="C277" s="7" t="str">
        <f>'07_Base_Limpia'!G109</f>
        <v>Australia</v>
      </c>
      <c r="D277" s="7" t="s">
        <v>1009</v>
      </c>
      <c r="E277" s="7">
        <f>'07_Base_Limpia'!J109</f>
        <v>0</v>
      </c>
      <c r="F277" s="7">
        <f>'07_Base_Limpia'!I109</f>
        <v>2</v>
      </c>
      <c r="G277" s="7">
        <f t="shared" si="8"/>
        <v>-2</v>
      </c>
      <c r="H277" s="7" t="str">
        <f>IF('07_Base_Limpia'!L109="Gana","Pierde",IF('07_Base_Limpia'!L109="Empata","Empata","Gana"))</f>
        <v>Pierde</v>
      </c>
      <c r="I277" s="7">
        <f t="shared" si="9"/>
        <v>0</v>
      </c>
    </row>
    <row r="278" spans="1:9" ht="15" customHeight="1">
      <c r="A278" s="7">
        <f>'07_Base_Limpia'!B110</f>
        <v>2026</v>
      </c>
      <c r="B278" s="7" t="str">
        <f>'07_Base_Limpia'!H110</f>
        <v>Curacao</v>
      </c>
      <c r="C278" s="7" t="str">
        <f>'07_Base_Limpia'!G110</f>
        <v>Germany</v>
      </c>
      <c r="D278" s="7" t="s">
        <v>1009</v>
      </c>
      <c r="E278" s="7">
        <f>'07_Base_Limpia'!J110</f>
        <v>1</v>
      </c>
      <c r="F278" s="7">
        <f>'07_Base_Limpia'!I110</f>
        <v>7</v>
      </c>
      <c r="G278" s="7">
        <f t="shared" si="8"/>
        <v>-6</v>
      </c>
      <c r="H278" s="7" t="str">
        <f>IF('07_Base_Limpia'!L110="Gana","Pierde",IF('07_Base_Limpia'!L110="Empata","Empata","Gana"))</f>
        <v>Pierde</v>
      </c>
      <c r="I278" s="7">
        <f t="shared" si="9"/>
        <v>0</v>
      </c>
    </row>
    <row r="279" spans="1:9" ht="15" customHeight="1">
      <c r="A279" s="7">
        <f>'07_Base_Limpia'!B111</f>
        <v>2026</v>
      </c>
      <c r="B279" s="7" t="str">
        <f>'07_Base_Limpia'!H111</f>
        <v>Ecuador</v>
      </c>
      <c r="C279" s="7" t="str">
        <f>'07_Base_Limpia'!G111</f>
        <v>Ivory Coast</v>
      </c>
      <c r="D279" s="7" t="s">
        <v>1009</v>
      </c>
      <c r="E279" s="7">
        <f>'07_Base_Limpia'!J111</f>
        <v>0</v>
      </c>
      <c r="F279" s="7">
        <f>'07_Base_Limpia'!I111</f>
        <v>1</v>
      </c>
      <c r="G279" s="7">
        <f t="shared" si="8"/>
        <v>-1</v>
      </c>
      <c r="H279" s="7" t="str">
        <f>IF('07_Base_Limpia'!L111="Gana","Pierde",IF('07_Base_Limpia'!L111="Empata","Empata","Gana"))</f>
        <v>Pierde</v>
      </c>
      <c r="I279" s="7">
        <f t="shared" si="9"/>
        <v>0</v>
      </c>
    </row>
    <row r="280" spans="1:9" ht="15" customHeight="1">
      <c r="A280" s="7">
        <f>'07_Base_Limpia'!B112</f>
        <v>2026</v>
      </c>
      <c r="B280" s="7" t="str">
        <f>'07_Base_Limpia'!H112</f>
        <v>Japan</v>
      </c>
      <c r="C280" s="7" t="str">
        <f>'07_Base_Limpia'!G112</f>
        <v>Netherlands</v>
      </c>
      <c r="D280" s="7" t="s">
        <v>1009</v>
      </c>
      <c r="E280" s="7">
        <f>'07_Base_Limpia'!J112</f>
        <v>2</v>
      </c>
      <c r="F280" s="7">
        <f>'07_Base_Limpia'!I112</f>
        <v>2</v>
      </c>
      <c r="G280" s="7">
        <f t="shared" si="8"/>
        <v>0</v>
      </c>
      <c r="H280" s="7" t="str">
        <f>IF('07_Base_Limpia'!L112="Gana","Pierde",IF('07_Base_Limpia'!L112="Empata","Empata","Gana"))</f>
        <v>Empata</v>
      </c>
      <c r="I280" s="7">
        <f t="shared" si="9"/>
        <v>1</v>
      </c>
    </row>
    <row r="281" spans="1:9" ht="15" customHeight="1">
      <c r="A281" s="7">
        <f>'07_Base_Limpia'!B113</f>
        <v>2026</v>
      </c>
      <c r="B281" s="7" t="str">
        <f>'07_Base_Limpia'!H113</f>
        <v>Tunisia</v>
      </c>
      <c r="C281" s="7" t="str">
        <f>'07_Base_Limpia'!G113</f>
        <v>Sweden</v>
      </c>
      <c r="D281" s="7" t="s">
        <v>1009</v>
      </c>
      <c r="E281" s="7">
        <f>'07_Base_Limpia'!J113</f>
        <v>1</v>
      </c>
      <c r="F281" s="7">
        <f>'07_Base_Limpia'!I113</f>
        <v>5</v>
      </c>
      <c r="G281" s="7">
        <f t="shared" si="8"/>
        <v>-4</v>
      </c>
      <c r="H281" s="7" t="str">
        <f>IF('07_Base_Limpia'!L113="Gana","Pierde",IF('07_Base_Limpia'!L113="Empata","Empata","Gana"))</f>
        <v>Pierde</v>
      </c>
      <c r="I281" s="7">
        <f t="shared" si="9"/>
        <v>0</v>
      </c>
    </row>
    <row r="282" spans="1:9" ht="15" customHeight="1">
      <c r="A282" s="7">
        <f>'07_Base_Limpia'!B114</f>
        <v>2026</v>
      </c>
      <c r="B282" s="7" t="str">
        <f>'07_Base_Limpia'!H114</f>
        <v>Egypt</v>
      </c>
      <c r="C282" s="7" t="str">
        <f>'07_Base_Limpia'!G114</f>
        <v>Belgium</v>
      </c>
      <c r="D282" s="7" t="s">
        <v>1009</v>
      </c>
      <c r="E282" s="7">
        <f>'07_Base_Limpia'!J114</f>
        <v>1</v>
      </c>
      <c r="F282" s="7">
        <f>'07_Base_Limpia'!I114</f>
        <v>1</v>
      </c>
      <c r="G282" s="7">
        <f t="shared" si="8"/>
        <v>0</v>
      </c>
      <c r="H282" s="7" t="str">
        <f>IF('07_Base_Limpia'!L114="Gana","Pierde",IF('07_Base_Limpia'!L114="Empata","Empata","Gana"))</f>
        <v>Empata</v>
      </c>
      <c r="I282" s="7">
        <f t="shared" si="9"/>
        <v>1</v>
      </c>
    </row>
    <row r="283" spans="1:9" ht="15" customHeight="1">
      <c r="A283" s="7">
        <f>'07_Base_Limpia'!B115</f>
        <v>2026</v>
      </c>
      <c r="B283" s="7" t="str">
        <f>'07_Base_Limpia'!H115</f>
        <v>New Zealand</v>
      </c>
      <c r="C283" s="7" t="str">
        <f>'07_Base_Limpia'!G115</f>
        <v>Iran</v>
      </c>
      <c r="D283" s="7" t="s">
        <v>1009</v>
      </c>
      <c r="E283" s="7">
        <f>'07_Base_Limpia'!J115</f>
        <v>2</v>
      </c>
      <c r="F283" s="7">
        <f>'07_Base_Limpia'!I115</f>
        <v>2</v>
      </c>
      <c r="G283" s="7">
        <f t="shared" si="8"/>
        <v>0</v>
      </c>
      <c r="H283" s="7" t="str">
        <f>IF('07_Base_Limpia'!L115="Gana","Pierde",IF('07_Base_Limpia'!L115="Empata","Empata","Gana"))</f>
        <v>Empata</v>
      </c>
      <c r="I283" s="7">
        <f t="shared" si="9"/>
        <v>1</v>
      </c>
    </row>
    <row r="284" spans="1:9" ht="15" customHeight="1">
      <c r="A284" s="7">
        <f>'07_Base_Limpia'!B116</f>
        <v>2026</v>
      </c>
      <c r="B284" s="7" t="str">
        <f>'07_Base_Limpia'!H116</f>
        <v>Cape Verde</v>
      </c>
      <c r="C284" s="7" t="str">
        <f>'07_Base_Limpia'!G116</f>
        <v>Spain</v>
      </c>
      <c r="D284" s="7" t="s">
        <v>1009</v>
      </c>
      <c r="E284" s="7">
        <f>'07_Base_Limpia'!J116</f>
        <v>0</v>
      </c>
      <c r="F284" s="7">
        <f>'07_Base_Limpia'!I116</f>
        <v>0</v>
      </c>
      <c r="G284" s="7">
        <f t="shared" si="8"/>
        <v>0</v>
      </c>
      <c r="H284" s="7" t="str">
        <f>IF('07_Base_Limpia'!L116="Gana","Pierde",IF('07_Base_Limpia'!L116="Empata","Empata","Gana"))</f>
        <v>Empata</v>
      </c>
      <c r="I284" s="7">
        <f t="shared" si="9"/>
        <v>1</v>
      </c>
    </row>
    <row r="285" spans="1:9" ht="15" customHeight="1">
      <c r="A285" s="7">
        <f>'07_Base_Limpia'!B117</f>
        <v>2026</v>
      </c>
      <c r="B285" s="7" t="str">
        <f>'07_Base_Limpia'!H117</f>
        <v>Uruguay</v>
      </c>
      <c r="C285" s="7" t="str">
        <f>'07_Base_Limpia'!G117</f>
        <v>Saudi Arabia</v>
      </c>
      <c r="D285" s="7" t="s">
        <v>1009</v>
      </c>
      <c r="E285" s="7">
        <f>'07_Base_Limpia'!J117</f>
        <v>1</v>
      </c>
      <c r="F285" s="7">
        <f>'07_Base_Limpia'!I117</f>
        <v>1</v>
      </c>
      <c r="G285" s="7">
        <f t="shared" si="8"/>
        <v>0</v>
      </c>
      <c r="H285" s="7" t="str">
        <f>IF('07_Base_Limpia'!L117="Gana","Pierde",IF('07_Base_Limpia'!L117="Empata","Empata","Gana"))</f>
        <v>Empata</v>
      </c>
      <c r="I285" s="7">
        <f t="shared" si="9"/>
        <v>1</v>
      </c>
    </row>
    <row r="286" spans="1:9" ht="15" customHeight="1">
      <c r="A286" s="7">
        <f>'07_Base_Limpia'!B118</f>
        <v>2026</v>
      </c>
      <c r="B286" s="7" t="str">
        <f>'07_Base_Limpia'!H118</f>
        <v>Senegal</v>
      </c>
      <c r="C286" s="7" t="str">
        <f>'07_Base_Limpia'!G118</f>
        <v>France</v>
      </c>
      <c r="D286" s="7" t="s">
        <v>1009</v>
      </c>
      <c r="E286" s="7">
        <f>'07_Base_Limpia'!J118</f>
        <v>1</v>
      </c>
      <c r="F286" s="7">
        <f>'07_Base_Limpia'!I118</f>
        <v>3</v>
      </c>
      <c r="G286" s="7">
        <f t="shared" si="8"/>
        <v>-2</v>
      </c>
      <c r="H286" s="7" t="str">
        <f>IF('07_Base_Limpia'!L118="Gana","Pierde",IF('07_Base_Limpia'!L118="Empata","Empata","Gana"))</f>
        <v>Pierde</v>
      </c>
      <c r="I286" s="7">
        <f t="shared" si="9"/>
        <v>0</v>
      </c>
    </row>
    <row r="287" spans="1:9" ht="15" customHeight="1">
      <c r="A287" s="7">
        <f>'07_Base_Limpia'!B119</f>
        <v>2026</v>
      </c>
      <c r="B287" s="7" t="str">
        <f>'07_Base_Limpia'!H119</f>
        <v>Norway</v>
      </c>
      <c r="C287" s="7" t="str">
        <f>'07_Base_Limpia'!G119</f>
        <v>Iraq</v>
      </c>
      <c r="D287" s="7" t="s">
        <v>1009</v>
      </c>
      <c r="E287" s="7">
        <f>'07_Base_Limpia'!J119</f>
        <v>4</v>
      </c>
      <c r="F287" s="7">
        <f>'07_Base_Limpia'!I119</f>
        <v>1</v>
      </c>
      <c r="G287" s="7">
        <f t="shared" si="8"/>
        <v>3</v>
      </c>
      <c r="H287" s="7" t="str">
        <f>IF('07_Base_Limpia'!L119="Gana","Pierde",IF('07_Base_Limpia'!L119="Empata","Empata","Gana"))</f>
        <v>Gana</v>
      </c>
      <c r="I287" s="7">
        <f t="shared" si="9"/>
        <v>3</v>
      </c>
    </row>
    <row r="288" spans="1:9" ht="15" customHeight="1">
      <c r="A288" s="7">
        <f>'07_Base_Limpia'!B120</f>
        <v>2026</v>
      </c>
      <c r="B288" s="7" t="str">
        <f>'07_Base_Limpia'!H120</f>
        <v>Algeria</v>
      </c>
      <c r="C288" s="7" t="str">
        <f>'07_Base_Limpia'!G120</f>
        <v>Argentina</v>
      </c>
      <c r="D288" s="7" t="s">
        <v>1009</v>
      </c>
      <c r="E288" s="7">
        <f>'07_Base_Limpia'!J120</f>
        <v>0</v>
      </c>
      <c r="F288" s="7">
        <f>'07_Base_Limpia'!I120</f>
        <v>3</v>
      </c>
      <c r="G288" s="7">
        <f t="shared" si="8"/>
        <v>-3</v>
      </c>
      <c r="H288" s="7" t="str">
        <f>IF('07_Base_Limpia'!L120="Gana","Pierde",IF('07_Base_Limpia'!L120="Empata","Empata","Gana"))</f>
        <v>Pierde</v>
      </c>
      <c r="I288" s="7">
        <f t="shared" si="9"/>
        <v>0</v>
      </c>
    </row>
    <row r="289" spans="1:9" ht="15" customHeight="1">
      <c r="A289" s="7">
        <f>'07_Base_Limpia'!B121</f>
        <v>2026</v>
      </c>
      <c r="B289" s="7" t="str">
        <f>'07_Base_Limpia'!H121</f>
        <v>Jordan</v>
      </c>
      <c r="C289" s="7" t="str">
        <f>'07_Base_Limpia'!G121</f>
        <v>Austria</v>
      </c>
      <c r="D289" s="7" t="s">
        <v>1009</v>
      </c>
      <c r="E289" s="7">
        <f>'07_Base_Limpia'!J121</f>
        <v>1</v>
      </c>
      <c r="F289" s="7">
        <f>'07_Base_Limpia'!I121</f>
        <v>3</v>
      </c>
      <c r="G289" s="7">
        <f t="shared" si="8"/>
        <v>-2</v>
      </c>
      <c r="H289" s="7" t="str">
        <f>IF('07_Base_Limpia'!L121="Gana","Pierde",IF('07_Base_Limpia'!L121="Empata","Empata","Gana"))</f>
        <v>Pierde</v>
      </c>
      <c r="I289" s="7">
        <f t="shared" si="9"/>
        <v>0</v>
      </c>
    </row>
    <row r="290" spans="1:9" ht="15" customHeight="1">
      <c r="A290" s="7">
        <f>'07_Base_Limpia'!B122</f>
        <v>2026</v>
      </c>
      <c r="B290" s="7" t="str">
        <f>'07_Base_Limpia'!H122</f>
        <v>DR Congo</v>
      </c>
      <c r="C290" s="7" t="str">
        <f>'07_Base_Limpia'!G122</f>
        <v>Portugal</v>
      </c>
      <c r="D290" s="7" t="s">
        <v>1009</v>
      </c>
      <c r="E290" s="7">
        <f>'07_Base_Limpia'!J122</f>
        <v>1</v>
      </c>
      <c r="F290" s="7">
        <f>'07_Base_Limpia'!I122</f>
        <v>1</v>
      </c>
      <c r="G290" s="7">
        <f t="shared" si="8"/>
        <v>0</v>
      </c>
      <c r="H290" s="7" t="str">
        <f>IF('07_Base_Limpia'!L122="Gana","Pierde",IF('07_Base_Limpia'!L122="Empata","Empata","Gana"))</f>
        <v>Empata</v>
      </c>
      <c r="I290" s="7">
        <f t="shared" si="9"/>
        <v>1</v>
      </c>
    </row>
    <row r="291" spans="1:9" ht="15" customHeight="1">
      <c r="A291" s="7">
        <f>'07_Base_Limpia'!B123</f>
        <v>2026</v>
      </c>
      <c r="B291" s="7" t="str">
        <f>'07_Base_Limpia'!H123</f>
        <v>Colombia</v>
      </c>
      <c r="C291" s="7" t="str">
        <f>'07_Base_Limpia'!G123</f>
        <v>Uzbekistan</v>
      </c>
      <c r="D291" s="7" t="s">
        <v>1009</v>
      </c>
      <c r="E291" s="7">
        <f>'07_Base_Limpia'!J123</f>
        <v>3</v>
      </c>
      <c r="F291" s="7">
        <f>'07_Base_Limpia'!I123</f>
        <v>1</v>
      </c>
      <c r="G291" s="7">
        <f t="shared" si="8"/>
        <v>2</v>
      </c>
      <c r="H291" s="7" t="str">
        <f>IF('07_Base_Limpia'!L123="Gana","Pierde",IF('07_Base_Limpia'!L123="Empata","Empata","Gana"))</f>
        <v>Gana</v>
      </c>
      <c r="I291" s="7">
        <f t="shared" si="9"/>
        <v>3</v>
      </c>
    </row>
    <row r="292" spans="1:9" ht="15" customHeight="1">
      <c r="A292" s="7">
        <f>'07_Base_Limpia'!B124</f>
        <v>2026</v>
      </c>
      <c r="B292" s="7" t="str">
        <f>'07_Base_Limpia'!H124</f>
        <v>Croatia</v>
      </c>
      <c r="C292" s="7" t="str">
        <f>'07_Base_Limpia'!G124</f>
        <v>England</v>
      </c>
      <c r="D292" s="7" t="s">
        <v>1009</v>
      </c>
      <c r="E292" s="7">
        <f>'07_Base_Limpia'!J124</f>
        <v>2</v>
      </c>
      <c r="F292" s="7">
        <f>'07_Base_Limpia'!I124</f>
        <v>4</v>
      </c>
      <c r="G292" s="7">
        <f t="shared" si="8"/>
        <v>-2</v>
      </c>
      <c r="H292" s="7" t="str">
        <f>IF('07_Base_Limpia'!L124="Gana","Pierde",IF('07_Base_Limpia'!L124="Empata","Empata","Gana"))</f>
        <v>Pierde</v>
      </c>
      <c r="I292" s="7">
        <f t="shared" si="9"/>
        <v>0</v>
      </c>
    </row>
    <row r="293" spans="1:9" ht="15" customHeight="1">
      <c r="A293" s="7">
        <f>'07_Base_Limpia'!B125</f>
        <v>2026</v>
      </c>
      <c r="B293" s="7" t="str">
        <f>'07_Base_Limpia'!H125</f>
        <v>Panama</v>
      </c>
      <c r="C293" s="7" t="str">
        <f>'07_Base_Limpia'!G125</f>
        <v>Ghana</v>
      </c>
      <c r="D293" s="7" t="s">
        <v>1009</v>
      </c>
      <c r="E293" s="7">
        <f>'07_Base_Limpia'!J125</f>
        <v>0</v>
      </c>
      <c r="F293" s="7">
        <f>'07_Base_Limpia'!I125</f>
        <v>1</v>
      </c>
      <c r="G293" s="7">
        <f t="shared" si="8"/>
        <v>-1</v>
      </c>
      <c r="H293" s="7" t="str">
        <f>IF('07_Base_Limpia'!L125="Gana","Pierde",IF('07_Base_Limpia'!L125="Empata","Empata","Gana"))</f>
        <v>Pierde</v>
      </c>
      <c r="I293" s="7">
        <f t="shared" si="9"/>
        <v>0</v>
      </c>
    </row>
    <row r="294" spans="1:9" ht="15" customHeight="1">
      <c r="A294" s="7">
        <f>'07_Base_Limpia'!B126</f>
        <v>2026</v>
      </c>
      <c r="B294" s="7" t="str">
        <f>'07_Base_Limpia'!H126</f>
        <v>South Africa</v>
      </c>
      <c r="C294" s="7" t="str">
        <f>'07_Base_Limpia'!G126</f>
        <v>Czechia</v>
      </c>
      <c r="D294" s="7" t="s">
        <v>1009</v>
      </c>
      <c r="E294" s="7">
        <f>'07_Base_Limpia'!J126</f>
        <v>1</v>
      </c>
      <c r="F294" s="7">
        <f>'07_Base_Limpia'!I126</f>
        <v>1</v>
      </c>
      <c r="G294" s="7">
        <f t="shared" si="8"/>
        <v>0</v>
      </c>
      <c r="H294" s="7" t="str">
        <f>IF('07_Base_Limpia'!L126="Gana","Pierde",IF('07_Base_Limpia'!L126="Empata","Empata","Gana"))</f>
        <v>Empata</v>
      </c>
      <c r="I294" s="7">
        <f t="shared" si="9"/>
        <v>1</v>
      </c>
    </row>
    <row r="295" spans="1:9" ht="15" customHeight="1">
      <c r="A295" s="7">
        <f>'07_Base_Limpia'!B127</f>
        <v>2026</v>
      </c>
      <c r="B295" s="7" t="str">
        <f>'07_Base_Limpia'!H127</f>
        <v>South Korea</v>
      </c>
      <c r="C295" s="7" t="str">
        <f>'07_Base_Limpia'!G127</f>
        <v>Mexico</v>
      </c>
      <c r="D295" s="7" t="s">
        <v>1009</v>
      </c>
      <c r="E295" s="7">
        <f>'07_Base_Limpia'!J127</f>
        <v>0</v>
      </c>
      <c r="F295" s="7">
        <f>'07_Base_Limpia'!I127</f>
        <v>1</v>
      </c>
      <c r="G295" s="7">
        <f t="shared" si="8"/>
        <v>-1</v>
      </c>
      <c r="H295" s="7" t="str">
        <f>IF('07_Base_Limpia'!L127="Gana","Pierde",IF('07_Base_Limpia'!L127="Empata","Empata","Gana"))</f>
        <v>Pierde</v>
      </c>
      <c r="I295" s="7">
        <f t="shared" si="9"/>
        <v>0</v>
      </c>
    </row>
    <row r="296" spans="1:9" ht="15" customHeight="1">
      <c r="A296" s="7">
        <f>'07_Base_Limpia'!B128</f>
        <v>2026</v>
      </c>
      <c r="B296" s="7" t="str">
        <f>'07_Base_Limpia'!H128</f>
        <v>Bosnia and Herzegovina</v>
      </c>
      <c r="C296" s="7" t="str">
        <f>'07_Base_Limpia'!G128</f>
        <v>Switzerland</v>
      </c>
      <c r="D296" s="7" t="s">
        <v>1009</v>
      </c>
      <c r="E296" s="7">
        <f>'07_Base_Limpia'!J128</f>
        <v>1</v>
      </c>
      <c r="F296" s="7">
        <f>'07_Base_Limpia'!I128</f>
        <v>4</v>
      </c>
      <c r="G296" s="7">
        <f t="shared" si="8"/>
        <v>-3</v>
      </c>
      <c r="H296" s="7" t="str">
        <f>IF('07_Base_Limpia'!L128="Gana","Pierde",IF('07_Base_Limpia'!L128="Empata","Empata","Gana"))</f>
        <v>Pierde</v>
      </c>
      <c r="I296" s="7">
        <f t="shared" si="9"/>
        <v>0</v>
      </c>
    </row>
    <row r="297" spans="1:9" ht="15" customHeight="1">
      <c r="A297" s="7">
        <f>'07_Base_Limpia'!B129</f>
        <v>2026</v>
      </c>
      <c r="B297" s="7" t="str">
        <f>'07_Base_Limpia'!H129</f>
        <v>Qatar</v>
      </c>
      <c r="C297" s="7" t="str">
        <f>'07_Base_Limpia'!G129</f>
        <v>Canada</v>
      </c>
      <c r="D297" s="7" t="s">
        <v>1009</v>
      </c>
      <c r="E297" s="7">
        <f>'07_Base_Limpia'!J129</f>
        <v>0</v>
      </c>
      <c r="F297" s="7">
        <f>'07_Base_Limpia'!I129</f>
        <v>6</v>
      </c>
      <c r="G297" s="7">
        <f t="shared" si="8"/>
        <v>-6</v>
      </c>
      <c r="H297" s="7" t="str">
        <f>IF('07_Base_Limpia'!L129="Gana","Pierde",IF('07_Base_Limpia'!L129="Empata","Empata","Gana"))</f>
        <v>Pierde</v>
      </c>
      <c r="I297" s="7">
        <f t="shared" si="9"/>
        <v>0</v>
      </c>
    </row>
    <row r="298" spans="1:9" ht="15" customHeight="1">
      <c r="A298" s="7">
        <f>'07_Base_Limpia'!B130</f>
        <v>2026</v>
      </c>
      <c r="B298" s="7" t="str">
        <f>'07_Base_Limpia'!H130</f>
        <v>Morocco</v>
      </c>
      <c r="C298" s="7" t="str">
        <f>'07_Base_Limpia'!G130</f>
        <v>Scotland</v>
      </c>
      <c r="D298" s="7" t="s">
        <v>1009</v>
      </c>
      <c r="E298" s="7">
        <f>'07_Base_Limpia'!J130</f>
        <v>1</v>
      </c>
      <c r="F298" s="7">
        <f>'07_Base_Limpia'!I130</f>
        <v>0</v>
      </c>
      <c r="G298" s="7">
        <f t="shared" si="8"/>
        <v>1</v>
      </c>
      <c r="H298" s="7" t="str">
        <f>IF('07_Base_Limpia'!L130="Gana","Pierde",IF('07_Base_Limpia'!L130="Empata","Empata","Gana"))</f>
        <v>Gana</v>
      </c>
      <c r="I298" s="7">
        <f t="shared" si="9"/>
        <v>3</v>
      </c>
    </row>
    <row r="299" spans="1:9" ht="15" customHeight="1">
      <c r="A299" s="7">
        <f>'07_Base_Limpia'!B131</f>
        <v>2026</v>
      </c>
      <c r="B299" s="7" t="str">
        <f>'07_Base_Limpia'!H131</f>
        <v>Haiti</v>
      </c>
      <c r="C299" s="7" t="str">
        <f>'07_Base_Limpia'!G131</f>
        <v>Brazil</v>
      </c>
      <c r="D299" s="7" t="s">
        <v>1009</v>
      </c>
      <c r="E299" s="7">
        <f>'07_Base_Limpia'!J131</f>
        <v>0</v>
      </c>
      <c r="F299" s="7">
        <f>'07_Base_Limpia'!I131</f>
        <v>3</v>
      </c>
      <c r="G299" s="7">
        <f t="shared" si="8"/>
        <v>-3</v>
      </c>
      <c r="H299" s="7" t="str">
        <f>IF('07_Base_Limpia'!L131="Gana","Pierde",IF('07_Base_Limpia'!L131="Empata","Empata","Gana"))</f>
        <v>Pierde</v>
      </c>
      <c r="I299" s="7">
        <f t="shared" si="9"/>
        <v>0</v>
      </c>
    </row>
    <row r="300" spans="1:9" ht="15" customHeight="1">
      <c r="A300" s="7">
        <f>'07_Base_Limpia'!B132</f>
        <v>2026</v>
      </c>
      <c r="B300" s="7" t="str">
        <f>'07_Base_Limpia'!H132</f>
        <v>Australia</v>
      </c>
      <c r="C300" s="7" t="str">
        <f>'07_Base_Limpia'!G132</f>
        <v>United States</v>
      </c>
      <c r="D300" s="7" t="s">
        <v>1009</v>
      </c>
      <c r="E300" s="7">
        <f>'07_Base_Limpia'!J132</f>
        <v>0</v>
      </c>
      <c r="F300" s="7">
        <f>'07_Base_Limpia'!I132</f>
        <v>2</v>
      </c>
      <c r="G300" s="7">
        <f t="shared" si="8"/>
        <v>-2</v>
      </c>
      <c r="H300" s="7" t="str">
        <f>IF('07_Base_Limpia'!L132="Gana","Pierde",IF('07_Base_Limpia'!L132="Empata","Empata","Gana"))</f>
        <v>Pierde</v>
      </c>
      <c r="I300" s="7">
        <f t="shared" si="9"/>
        <v>0</v>
      </c>
    </row>
    <row r="301" spans="1:9" ht="15" customHeight="1">
      <c r="A301" s="7">
        <f>'07_Base_Limpia'!B133</f>
        <v>2026</v>
      </c>
      <c r="B301" s="7" t="str">
        <f>'07_Base_Limpia'!H133</f>
        <v>Paraguay</v>
      </c>
      <c r="C301" s="7" t="str">
        <f>'07_Base_Limpia'!G133</f>
        <v>Turkey</v>
      </c>
      <c r="D301" s="7" t="s">
        <v>1009</v>
      </c>
      <c r="E301" s="7">
        <f>'07_Base_Limpia'!J133</f>
        <v>1</v>
      </c>
      <c r="F301" s="7">
        <f>'07_Base_Limpia'!I133</f>
        <v>0</v>
      </c>
      <c r="G301" s="7">
        <f t="shared" si="8"/>
        <v>1</v>
      </c>
      <c r="H301" s="7" t="str">
        <f>IF('07_Base_Limpia'!L133="Gana","Pierde",IF('07_Base_Limpia'!L133="Empata","Empata","Gana"))</f>
        <v>Gana</v>
      </c>
      <c r="I301" s="7">
        <f t="shared" si="9"/>
        <v>3</v>
      </c>
    </row>
    <row r="302" spans="1:9" ht="15" customHeight="1">
      <c r="A302" s="7">
        <f>'07_Base_Limpia'!B134</f>
        <v>2026</v>
      </c>
      <c r="B302" s="7" t="str">
        <f>'07_Base_Limpia'!H134</f>
        <v>Ivory Coast</v>
      </c>
      <c r="C302" s="7" t="str">
        <f>'07_Base_Limpia'!G134</f>
        <v>Germany</v>
      </c>
      <c r="D302" s="7" t="s">
        <v>1009</v>
      </c>
      <c r="E302" s="7">
        <f>'07_Base_Limpia'!J134</f>
        <v>1</v>
      </c>
      <c r="F302" s="7">
        <f>'07_Base_Limpia'!I134</f>
        <v>2</v>
      </c>
      <c r="G302" s="7">
        <f t="shared" si="8"/>
        <v>-1</v>
      </c>
      <c r="H302" s="7" t="str">
        <f>IF('07_Base_Limpia'!L134="Gana","Pierde",IF('07_Base_Limpia'!L134="Empata","Empata","Gana"))</f>
        <v>Pierde</v>
      </c>
      <c r="I302" s="7">
        <f t="shared" si="9"/>
        <v>0</v>
      </c>
    </row>
    <row r="303" spans="1:9" ht="15" customHeight="1">
      <c r="A303" s="7">
        <f>'07_Base_Limpia'!B135</f>
        <v>2026</v>
      </c>
      <c r="B303" s="7" t="str">
        <f>'07_Base_Limpia'!H135</f>
        <v>Curacao</v>
      </c>
      <c r="C303" s="7" t="str">
        <f>'07_Base_Limpia'!G135</f>
        <v>Ecuador</v>
      </c>
      <c r="D303" s="7" t="s">
        <v>1009</v>
      </c>
      <c r="E303" s="7">
        <f>'07_Base_Limpia'!J135</f>
        <v>0</v>
      </c>
      <c r="F303" s="7">
        <f>'07_Base_Limpia'!I135</f>
        <v>0</v>
      </c>
      <c r="G303" s="7">
        <f t="shared" si="8"/>
        <v>0</v>
      </c>
      <c r="H303" s="7" t="str">
        <f>IF('07_Base_Limpia'!L135="Gana","Pierde",IF('07_Base_Limpia'!L135="Empata","Empata","Gana"))</f>
        <v>Empata</v>
      </c>
      <c r="I303" s="7">
        <f t="shared" si="9"/>
        <v>1</v>
      </c>
    </row>
    <row r="304" spans="1:9" ht="15" customHeight="1">
      <c r="A304" s="7">
        <f>'07_Base_Limpia'!B136</f>
        <v>2026</v>
      </c>
      <c r="B304" s="7" t="str">
        <f>'07_Base_Limpia'!H136</f>
        <v>Sweden</v>
      </c>
      <c r="C304" s="7" t="str">
        <f>'07_Base_Limpia'!G136</f>
        <v>Netherlands</v>
      </c>
      <c r="D304" s="7" t="s">
        <v>1009</v>
      </c>
      <c r="E304" s="7">
        <f>'07_Base_Limpia'!J136</f>
        <v>1</v>
      </c>
      <c r="F304" s="7">
        <f>'07_Base_Limpia'!I136</f>
        <v>5</v>
      </c>
      <c r="G304" s="7">
        <f t="shared" si="8"/>
        <v>-4</v>
      </c>
      <c r="H304" s="7" t="str">
        <f>IF('07_Base_Limpia'!L136="Gana","Pierde",IF('07_Base_Limpia'!L136="Empata","Empata","Gana"))</f>
        <v>Pierde</v>
      </c>
      <c r="I304" s="7">
        <f t="shared" si="9"/>
        <v>0</v>
      </c>
    </row>
    <row r="305" spans="1:9" ht="15" customHeight="1">
      <c r="A305" s="7">
        <f>'07_Base_Limpia'!B137</f>
        <v>2026</v>
      </c>
      <c r="B305" s="7" t="str">
        <f>'07_Base_Limpia'!H137</f>
        <v>Japan</v>
      </c>
      <c r="C305" s="7" t="str">
        <f>'07_Base_Limpia'!G137</f>
        <v>Tunisia</v>
      </c>
      <c r="D305" s="7" t="s">
        <v>1009</v>
      </c>
      <c r="E305" s="7">
        <f>'07_Base_Limpia'!J137</f>
        <v>4</v>
      </c>
      <c r="F305" s="7">
        <f>'07_Base_Limpia'!I137</f>
        <v>0</v>
      </c>
      <c r="G305" s="7">
        <f t="shared" si="8"/>
        <v>4</v>
      </c>
      <c r="H305" s="7" t="str">
        <f>IF('07_Base_Limpia'!L137="Gana","Pierde",IF('07_Base_Limpia'!L137="Empata","Empata","Gana"))</f>
        <v>Gana</v>
      </c>
      <c r="I305" s="7">
        <f t="shared" si="9"/>
        <v>3</v>
      </c>
    </row>
    <row r="306" spans="1:9" ht="15" customHeight="1">
      <c r="A306" s="7">
        <f>'07_Base_Limpia'!B138</f>
        <v>2026</v>
      </c>
      <c r="B306" s="7" t="str">
        <f>'07_Base_Limpia'!H138</f>
        <v>Iran</v>
      </c>
      <c r="C306" s="7" t="str">
        <f>'07_Base_Limpia'!G138</f>
        <v>Belgium</v>
      </c>
      <c r="D306" s="7" t="s">
        <v>1009</v>
      </c>
      <c r="E306" s="7">
        <f>'07_Base_Limpia'!J138</f>
        <v>0</v>
      </c>
      <c r="F306" s="7">
        <f>'07_Base_Limpia'!I138</f>
        <v>0</v>
      </c>
      <c r="G306" s="7">
        <f t="shared" si="8"/>
        <v>0</v>
      </c>
      <c r="H306" s="7" t="str">
        <f>IF('07_Base_Limpia'!L138="Gana","Pierde",IF('07_Base_Limpia'!L138="Empata","Empata","Gana"))</f>
        <v>Empata</v>
      </c>
      <c r="I306" s="7">
        <f t="shared" si="9"/>
        <v>1</v>
      </c>
    </row>
    <row r="307" spans="1:9" ht="15" customHeight="1">
      <c r="A307" s="7">
        <f>'07_Base_Limpia'!B139</f>
        <v>2026</v>
      </c>
      <c r="B307" s="7" t="str">
        <f>'07_Base_Limpia'!H139</f>
        <v>Egypt</v>
      </c>
      <c r="C307" s="7" t="str">
        <f>'07_Base_Limpia'!G139</f>
        <v>New Zealand</v>
      </c>
      <c r="D307" s="7" t="s">
        <v>1009</v>
      </c>
      <c r="E307" s="7">
        <f>'07_Base_Limpia'!J139</f>
        <v>3</v>
      </c>
      <c r="F307" s="7">
        <f>'07_Base_Limpia'!I139</f>
        <v>1</v>
      </c>
      <c r="G307" s="7">
        <f t="shared" si="8"/>
        <v>2</v>
      </c>
      <c r="H307" s="7" t="str">
        <f>IF('07_Base_Limpia'!L139="Gana","Pierde",IF('07_Base_Limpia'!L139="Empata","Empata","Gana"))</f>
        <v>Gana</v>
      </c>
      <c r="I307" s="7">
        <f t="shared" si="9"/>
        <v>3</v>
      </c>
    </row>
    <row r="308" spans="1:9" ht="15" customHeight="1">
      <c r="A308" s="7">
        <f>'07_Base_Limpia'!B140</f>
        <v>2026</v>
      </c>
      <c r="B308" s="7" t="str">
        <f>'07_Base_Limpia'!H140</f>
        <v>Saudi Arabia</v>
      </c>
      <c r="C308" s="7" t="str">
        <f>'07_Base_Limpia'!G140</f>
        <v>Spain</v>
      </c>
      <c r="D308" s="7" t="s">
        <v>1009</v>
      </c>
      <c r="E308" s="7">
        <f>'07_Base_Limpia'!J140</f>
        <v>0</v>
      </c>
      <c r="F308" s="7">
        <f>'07_Base_Limpia'!I140</f>
        <v>4</v>
      </c>
      <c r="G308" s="7">
        <f t="shared" si="8"/>
        <v>-4</v>
      </c>
      <c r="H308" s="7" t="str">
        <f>IF('07_Base_Limpia'!L140="Gana","Pierde",IF('07_Base_Limpia'!L140="Empata","Empata","Gana"))</f>
        <v>Pierde</v>
      </c>
      <c r="I308" s="7">
        <f t="shared" si="9"/>
        <v>0</v>
      </c>
    </row>
    <row r="309" spans="1:9" ht="15" customHeight="1">
      <c r="A309" s="7">
        <f>'07_Base_Limpia'!B141</f>
        <v>2026</v>
      </c>
      <c r="B309" s="7" t="str">
        <f>'07_Base_Limpia'!H141</f>
        <v>Cape Verde</v>
      </c>
      <c r="C309" s="7" t="str">
        <f>'07_Base_Limpia'!G141</f>
        <v>Uruguay</v>
      </c>
      <c r="D309" s="7" t="s">
        <v>1009</v>
      </c>
      <c r="E309" s="7">
        <f>'07_Base_Limpia'!J141</f>
        <v>2</v>
      </c>
      <c r="F309" s="7">
        <f>'07_Base_Limpia'!I141</f>
        <v>2</v>
      </c>
      <c r="G309" s="7">
        <f t="shared" si="8"/>
        <v>0</v>
      </c>
      <c r="H309" s="7" t="str">
        <f>IF('07_Base_Limpia'!L141="Gana","Pierde",IF('07_Base_Limpia'!L141="Empata","Empata","Gana"))</f>
        <v>Empata</v>
      </c>
      <c r="I309" s="7">
        <f t="shared" si="9"/>
        <v>1</v>
      </c>
    </row>
    <row r="310" spans="1:9" ht="15" customHeight="1">
      <c r="A310" s="7">
        <f>'07_Base_Limpia'!B142</f>
        <v>2026</v>
      </c>
      <c r="B310" s="7" t="str">
        <f>'07_Base_Limpia'!H142</f>
        <v>Iraq</v>
      </c>
      <c r="C310" s="7" t="str">
        <f>'07_Base_Limpia'!G142</f>
        <v>France</v>
      </c>
      <c r="D310" s="7" t="s">
        <v>1009</v>
      </c>
      <c r="E310" s="7">
        <f>'07_Base_Limpia'!J142</f>
        <v>0</v>
      </c>
      <c r="F310" s="7">
        <f>'07_Base_Limpia'!I142</f>
        <v>3</v>
      </c>
      <c r="G310" s="7">
        <f t="shared" si="8"/>
        <v>-3</v>
      </c>
      <c r="H310" s="7" t="str">
        <f>IF('07_Base_Limpia'!L142="Gana","Pierde",IF('07_Base_Limpia'!L142="Empata","Empata","Gana"))</f>
        <v>Pierde</v>
      </c>
      <c r="I310" s="7">
        <f t="shared" si="9"/>
        <v>0</v>
      </c>
    </row>
    <row r="311" spans="1:9" ht="15" customHeight="1">
      <c r="A311" s="7">
        <f>'07_Base_Limpia'!B143</f>
        <v>2026</v>
      </c>
      <c r="B311" s="7" t="str">
        <f>'07_Base_Limpia'!H143</f>
        <v>Senegal</v>
      </c>
      <c r="C311" s="7" t="str">
        <f>'07_Base_Limpia'!G143</f>
        <v>Norway</v>
      </c>
      <c r="D311" s="7" t="s">
        <v>1009</v>
      </c>
      <c r="E311" s="7">
        <f>'07_Base_Limpia'!J143</f>
        <v>2</v>
      </c>
      <c r="F311" s="7">
        <f>'07_Base_Limpia'!I143</f>
        <v>3</v>
      </c>
      <c r="G311" s="7">
        <f t="shared" si="8"/>
        <v>-1</v>
      </c>
      <c r="H311" s="7" t="str">
        <f>IF('07_Base_Limpia'!L143="Gana","Pierde",IF('07_Base_Limpia'!L143="Empata","Empata","Gana"))</f>
        <v>Pierde</v>
      </c>
      <c r="I311" s="7">
        <f t="shared" si="9"/>
        <v>0</v>
      </c>
    </row>
    <row r="312" spans="1:9" ht="15" customHeight="1">
      <c r="A312" s="7">
        <f>'07_Base_Limpia'!B144</f>
        <v>2026</v>
      </c>
      <c r="B312" s="7" t="str">
        <f>'07_Base_Limpia'!H144</f>
        <v>Austria</v>
      </c>
      <c r="C312" s="7" t="str">
        <f>'07_Base_Limpia'!G144</f>
        <v>Argentina</v>
      </c>
      <c r="D312" s="7" t="s">
        <v>1009</v>
      </c>
      <c r="E312" s="7">
        <f>'07_Base_Limpia'!J144</f>
        <v>0</v>
      </c>
      <c r="F312" s="7">
        <f>'07_Base_Limpia'!I144</f>
        <v>2</v>
      </c>
      <c r="G312" s="7">
        <f t="shared" si="8"/>
        <v>-2</v>
      </c>
      <c r="H312" s="7" t="str">
        <f>IF('07_Base_Limpia'!L144="Gana","Pierde",IF('07_Base_Limpia'!L144="Empata","Empata","Gana"))</f>
        <v>Pierde</v>
      </c>
      <c r="I312" s="7">
        <f t="shared" si="9"/>
        <v>0</v>
      </c>
    </row>
    <row r="313" spans="1:9" ht="15" customHeight="1">
      <c r="A313" s="7">
        <f>'07_Base_Limpia'!B145</f>
        <v>2026</v>
      </c>
      <c r="B313" s="7" t="str">
        <f>'07_Base_Limpia'!H145</f>
        <v>Algeria</v>
      </c>
      <c r="C313" s="7" t="str">
        <f>'07_Base_Limpia'!G145</f>
        <v>Jordan</v>
      </c>
      <c r="D313" s="7" t="s">
        <v>1009</v>
      </c>
      <c r="E313" s="7">
        <f>'07_Base_Limpia'!J145</f>
        <v>2</v>
      </c>
      <c r="F313" s="7">
        <f>'07_Base_Limpia'!I145</f>
        <v>1</v>
      </c>
      <c r="G313" s="7">
        <f t="shared" si="8"/>
        <v>1</v>
      </c>
      <c r="H313" s="7" t="str">
        <f>IF('07_Base_Limpia'!L145="Gana","Pierde",IF('07_Base_Limpia'!L145="Empata","Empata","Gana"))</f>
        <v>Gana</v>
      </c>
      <c r="I313" s="7">
        <f t="shared" si="9"/>
        <v>3</v>
      </c>
    </row>
    <row r="314" spans="1:9" ht="15" customHeight="1">
      <c r="A314" s="7">
        <f>'07_Base_Limpia'!B146</f>
        <v>2026</v>
      </c>
      <c r="B314" s="7" t="str">
        <f>'07_Base_Limpia'!H146</f>
        <v>Uzbekistan</v>
      </c>
      <c r="C314" s="7" t="str">
        <f>'07_Base_Limpia'!G146</f>
        <v>Portugal</v>
      </c>
      <c r="D314" s="7" t="s">
        <v>1009</v>
      </c>
      <c r="E314" s="7">
        <f>'07_Base_Limpia'!J146</f>
        <v>0</v>
      </c>
      <c r="F314" s="7">
        <f>'07_Base_Limpia'!I146</f>
        <v>5</v>
      </c>
      <c r="G314" s="7">
        <f t="shared" si="8"/>
        <v>-5</v>
      </c>
      <c r="H314" s="7" t="str">
        <f>IF('07_Base_Limpia'!L146="Gana","Pierde",IF('07_Base_Limpia'!L146="Empata","Empata","Gana"))</f>
        <v>Pierde</v>
      </c>
      <c r="I314" s="7">
        <f t="shared" si="9"/>
        <v>0</v>
      </c>
    </row>
    <row r="315" spans="1:9" ht="15" customHeight="1">
      <c r="A315" s="7">
        <f>'07_Base_Limpia'!B147</f>
        <v>2026</v>
      </c>
      <c r="B315" s="7" t="str">
        <f>'07_Base_Limpia'!H147</f>
        <v>DR Congo</v>
      </c>
      <c r="C315" s="7" t="str">
        <f>'07_Base_Limpia'!G147</f>
        <v>Colombia</v>
      </c>
      <c r="D315" s="7" t="s">
        <v>1009</v>
      </c>
      <c r="E315" s="7">
        <f>'07_Base_Limpia'!J147</f>
        <v>0</v>
      </c>
      <c r="F315" s="7">
        <f>'07_Base_Limpia'!I147</f>
        <v>1</v>
      </c>
      <c r="G315" s="7">
        <f t="shared" si="8"/>
        <v>-1</v>
      </c>
      <c r="H315" s="7" t="str">
        <f>IF('07_Base_Limpia'!L147="Gana","Pierde",IF('07_Base_Limpia'!L147="Empata","Empata","Gana"))</f>
        <v>Pierde</v>
      </c>
      <c r="I315" s="7">
        <f t="shared" si="9"/>
        <v>0</v>
      </c>
    </row>
    <row r="316" spans="1:9" ht="15" customHeight="1">
      <c r="A316" s="7">
        <f>'07_Base_Limpia'!B148</f>
        <v>2026</v>
      </c>
      <c r="B316" s="7" t="str">
        <f>'07_Base_Limpia'!H148</f>
        <v>Ghana</v>
      </c>
      <c r="C316" s="7" t="str">
        <f>'07_Base_Limpia'!G148</f>
        <v>England</v>
      </c>
      <c r="D316" s="7" t="s">
        <v>1009</v>
      </c>
      <c r="E316" s="7">
        <f>'07_Base_Limpia'!J148</f>
        <v>0</v>
      </c>
      <c r="F316" s="7">
        <f>'07_Base_Limpia'!I148</f>
        <v>0</v>
      </c>
      <c r="G316" s="7">
        <f t="shared" si="8"/>
        <v>0</v>
      </c>
      <c r="H316" s="7" t="str">
        <f>IF('07_Base_Limpia'!L148="Gana","Pierde",IF('07_Base_Limpia'!L148="Empata","Empata","Gana"))</f>
        <v>Empata</v>
      </c>
      <c r="I316" s="7">
        <f t="shared" si="9"/>
        <v>1</v>
      </c>
    </row>
    <row r="317" spans="1:9" ht="15" customHeight="1">
      <c r="A317" s="7">
        <f>'07_Base_Limpia'!B149</f>
        <v>2026</v>
      </c>
      <c r="B317" s="7" t="str">
        <f>'07_Base_Limpia'!H149</f>
        <v>Croatia</v>
      </c>
      <c r="C317" s="7" t="str">
        <f>'07_Base_Limpia'!G149</f>
        <v>Panama</v>
      </c>
      <c r="D317" s="7" t="s">
        <v>1009</v>
      </c>
      <c r="E317" s="7">
        <f>'07_Base_Limpia'!J149</f>
        <v>1</v>
      </c>
      <c r="F317" s="7">
        <f>'07_Base_Limpia'!I149</f>
        <v>0</v>
      </c>
      <c r="G317" s="7">
        <f t="shared" si="8"/>
        <v>1</v>
      </c>
      <c r="H317" s="7" t="str">
        <f>IF('07_Base_Limpia'!L149="Gana","Pierde",IF('07_Base_Limpia'!L149="Empata","Empata","Gana"))</f>
        <v>Gana</v>
      </c>
      <c r="I317" s="7">
        <f t="shared" si="9"/>
        <v>3</v>
      </c>
    </row>
    <row r="318" spans="1:9" ht="15" customHeight="1">
      <c r="A318" s="7">
        <f>'07_Base_Limpia'!B150</f>
        <v>2026</v>
      </c>
      <c r="B318" s="7" t="str">
        <f>'07_Base_Limpia'!H150</f>
        <v>Mexico</v>
      </c>
      <c r="C318" s="7" t="str">
        <f>'07_Base_Limpia'!G150</f>
        <v>Czechia</v>
      </c>
      <c r="D318" s="7" t="s">
        <v>1009</v>
      </c>
      <c r="E318" s="7">
        <f>'07_Base_Limpia'!J150</f>
        <v>3</v>
      </c>
      <c r="F318" s="7">
        <f>'07_Base_Limpia'!I150</f>
        <v>0</v>
      </c>
      <c r="G318" s="7">
        <f t="shared" si="8"/>
        <v>3</v>
      </c>
      <c r="H318" s="7" t="str">
        <f>IF('07_Base_Limpia'!L150="Gana","Pierde",IF('07_Base_Limpia'!L150="Empata","Empata","Gana"))</f>
        <v>Gana</v>
      </c>
      <c r="I318" s="7">
        <f t="shared" si="9"/>
        <v>3</v>
      </c>
    </row>
    <row r="319" spans="1:9" ht="15" customHeight="1">
      <c r="A319" s="7">
        <f>'07_Base_Limpia'!B151</f>
        <v>2026</v>
      </c>
      <c r="B319" s="7" t="str">
        <f>'07_Base_Limpia'!H151</f>
        <v>South Korea</v>
      </c>
      <c r="C319" s="7" t="str">
        <f>'07_Base_Limpia'!G151</f>
        <v>South Africa</v>
      </c>
      <c r="D319" s="7" t="s">
        <v>1009</v>
      </c>
      <c r="E319" s="7">
        <f>'07_Base_Limpia'!J151</f>
        <v>0</v>
      </c>
      <c r="F319" s="7">
        <f>'07_Base_Limpia'!I151</f>
        <v>1</v>
      </c>
      <c r="G319" s="7">
        <f t="shared" si="8"/>
        <v>-1</v>
      </c>
      <c r="H319" s="7" t="str">
        <f>IF('07_Base_Limpia'!L151="Gana","Pierde",IF('07_Base_Limpia'!L151="Empata","Empata","Gana"))</f>
        <v>Pierde</v>
      </c>
      <c r="I319" s="7">
        <f t="shared" si="9"/>
        <v>0</v>
      </c>
    </row>
    <row r="320" spans="1:9" ht="15" customHeight="1">
      <c r="A320" s="7">
        <f>'07_Base_Limpia'!B152</f>
        <v>2026</v>
      </c>
      <c r="B320" s="7" t="str">
        <f>'07_Base_Limpia'!H152</f>
        <v>Canada</v>
      </c>
      <c r="C320" s="7" t="str">
        <f>'07_Base_Limpia'!G152</f>
        <v>Switzerland</v>
      </c>
      <c r="D320" s="7" t="s">
        <v>1009</v>
      </c>
      <c r="E320" s="7">
        <f>'07_Base_Limpia'!J152</f>
        <v>1</v>
      </c>
      <c r="F320" s="7">
        <f>'07_Base_Limpia'!I152</f>
        <v>2</v>
      </c>
      <c r="G320" s="7">
        <f t="shared" si="8"/>
        <v>-1</v>
      </c>
      <c r="H320" s="7" t="str">
        <f>IF('07_Base_Limpia'!L152="Gana","Pierde",IF('07_Base_Limpia'!L152="Empata","Empata","Gana"))</f>
        <v>Pierde</v>
      </c>
      <c r="I320" s="7">
        <f t="shared" si="9"/>
        <v>0</v>
      </c>
    </row>
    <row r="321" spans="1:9" ht="15" customHeight="1">
      <c r="A321" s="7">
        <f>'07_Base_Limpia'!B153</f>
        <v>2026</v>
      </c>
      <c r="B321" s="7" t="str">
        <f>'07_Base_Limpia'!H153</f>
        <v>Qatar</v>
      </c>
      <c r="C321" s="7" t="str">
        <f>'07_Base_Limpia'!G153</f>
        <v>Bosnia and Herzegovina</v>
      </c>
      <c r="D321" s="7" t="s">
        <v>1009</v>
      </c>
      <c r="E321" s="7">
        <f>'07_Base_Limpia'!J153</f>
        <v>1</v>
      </c>
      <c r="F321" s="7">
        <f>'07_Base_Limpia'!I153</f>
        <v>3</v>
      </c>
      <c r="G321" s="7">
        <f t="shared" si="8"/>
        <v>-2</v>
      </c>
      <c r="H321" s="7" t="str">
        <f>IF('07_Base_Limpia'!L153="Gana","Pierde",IF('07_Base_Limpia'!L153="Empata","Empata","Gana"))</f>
        <v>Pierde</v>
      </c>
      <c r="I321" s="7">
        <f t="shared" si="9"/>
        <v>0</v>
      </c>
    </row>
    <row r="322" spans="1:9" ht="15" customHeight="1">
      <c r="A322" s="7">
        <f>'07_Base_Limpia'!B154</f>
        <v>2026</v>
      </c>
      <c r="B322" s="7" t="str">
        <f>'07_Base_Limpia'!H154</f>
        <v>Brazil</v>
      </c>
      <c r="C322" s="7" t="str">
        <f>'07_Base_Limpia'!G154</f>
        <v>Scotland</v>
      </c>
      <c r="D322" s="7" t="s">
        <v>1009</v>
      </c>
      <c r="E322" s="7">
        <f>'07_Base_Limpia'!J154</f>
        <v>3</v>
      </c>
      <c r="F322" s="7">
        <f>'07_Base_Limpia'!I154</f>
        <v>0</v>
      </c>
      <c r="G322" s="7">
        <f t="shared" si="8"/>
        <v>3</v>
      </c>
      <c r="H322" s="7" t="str">
        <f>IF('07_Base_Limpia'!L154="Gana","Pierde",IF('07_Base_Limpia'!L154="Empata","Empata","Gana"))</f>
        <v>Gana</v>
      </c>
      <c r="I322" s="7">
        <f t="shared" si="9"/>
        <v>3</v>
      </c>
    </row>
    <row r="323" spans="1:9" ht="15" customHeight="1">
      <c r="A323" s="7">
        <f>'07_Base_Limpia'!B155</f>
        <v>2026</v>
      </c>
      <c r="B323" s="7" t="str">
        <f>'07_Base_Limpia'!H155</f>
        <v>Haiti</v>
      </c>
      <c r="C323" s="7" t="str">
        <f>'07_Base_Limpia'!G155</f>
        <v>Morocco</v>
      </c>
      <c r="D323" s="7" t="s">
        <v>1009</v>
      </c>
      <c r="E323" s="7">
        <f>'07_Base_Limpia'!J155</f>
        <v>2</v>
      </c>
      <c r="F323" s="7">
        <f>'07_Base_Limpia'!I155</f>
        <v>4</v>
      </c>
      <c r="G323" s="7">
        <f t="shared" si="8"/>
        <v>-2</v>
      </c>
      <c r="H323" s="7" t="str">
        <f>IF('07_Base_Limpia'!L155="Gana","Pierde",IF('07_Base_Limpia'!L155="Empata","Empata","Gana"))</f>
        <v>Pierde</v>
      </c>
      <c r="I323" s="7">
        <f t="shared" si="9"/>
        <v>0</v>
      </c>
    </row>
    <row r="324" spans="1:9" ht="15" customHeight="1">
      <c r="A324" s="7">
        <f>'07_Base_Limpia'!B156</f>
        <v>2026</v>
      </c>
      <c r="B324" s="7" t="str">
        <f>'07_Base_Limpia'!H156</f>
        <v>United States</v>
      </c>
      <c r="C324" s="7" t="str">
        <f>'07_Base_Limpia'!G156</f>
        <v>Turkey</v>
      </c>
      <c r="D324" s="7" t="s">
        <v>1009</v>
      </c>
      <c r="E324" s="7">
        <f>'07_Base_Limpia'!J156</f>
        <v>2</v>
      </c>
      <c r="F324" s="7">
        <f>'07_Base_Limpia'!I156</f>
        <v>3</v>
      </c>
      <c r="G324" s="7">
        <f t="shared" si="8"/>
        <v>-1</v>
      </c>
      <c r="H324" s="7" t="str">
        <f>IF('07_Base_Limpia'!L156="Gana","Pierde",IF('07_Base_Limpia'!L156="Empata","Empata","Gana"))</f>
        <v>Pierde</v>
      </c>
      <c r="I324" s="7">
        <f t="shared" si="9"/>
        <v>0</v>
      </c>
    </row>
    <row r="325" spans="1:9" ht="15" customHeight="1">
      <c r="A325" s="7">
        <f>'07_Base_Limpia'!B157</f>
        <v>2026</v>
      </c>
      <c r="B325" s="7" t="str">
        <f>'07_Base_Limpia'!H157</f>
        <v>Australia</v>
      </c>
      <c r="C325" s="7" t="str">
        <f>'07_Base_Limpia'!G157</f>
        <v>Paraguay</v>
      </c>
      <c r="D325" s="7" t="s">
        <v>1009</v>
      </c>
      <c r="E325" s="7">
        <f>'07_Base_Limpia'!J157</f>
        <v>0</v>
      </c>
      <c r="F325" s="7">
        <f>'07_Base_Limpia'!I157</f>
        <v>0</v>
      </c>
      <c r="G325" s="7">
        <f t="shared" si="8"/>
        <v>0</v>
      </c>
      <c r="H325" s="7" t="str">
        <f>IF('07_Base_Limpia'!L157="Gana","Pierde",IF('07_Base_Limpia'!L157="Empata","Empata","Gana"))</f>
        <v>Empata</v>
      </c>
      <c r="I325" s="7">
        <f t="shared" si="9"/>
        <v>1</v>
      </c>
    </row>
    <row r="326" spans="1:9" ht="15" customHeight="1">
      <c r="A326" s="7">
        <f>'07_Base_Limpia'!B158</f>
        <v>2026</v>
      </c>
      <c r="B326" s="7" t="str">
        <f>'07_Base_Limpia'!H158</f>
        <v>Ivory Coast</v>
      </c>
      <c r="C326" s="7" t="str">
        <f>'07_Base_Limpia'!G158</f>
        <v>Curacao</v>
      </c>
      <c r="D326" s="7" t="s">
        <v>1009</v>
      </c>
      <c r="E326" s="7">
        <f>'07_Base_Limpia'!J158</f>
        <v>2</v>
      </c>
      <c r="F326" s="7">
        <f>'07_Base_Limpia'!I158</f>
        <v>0</v>
      </c>
      <c r="G326" s="7">
        <f t="shared" ref="G326:G389" si="10">E326-F326</f>
        <v>2</v>
      </c>
      <c r="H326" s="7" t="str">
        <f>IF('07_Base_Limpia'!L158="Gana","Pierde",IF('07_Base_Limpia'!L158="Empata","Empata","Gana"))</f>
        <v>Gana</v>
      </c>
      <c r="I326" s="7">
        <f t="shared" ref="I326:I389" si="11">IF(H326="Gana",3,IF(H326="Empata",1,0))</f>
        <v>3</v>
      </c>
    </row>
    <row r="327" spans="1:9" ht="15" customHeight="1">
      <c r="A327" s="7">
        <f>'07_Base_Limpia'!B159</f>
        <v>2026</v>
      </c>
      <c r="B327" s="7" t="str">
        <f>'07_Base_Limpia'!H159</f>
        <v>Germany</v>
      </c>
      <c r="C327" s="7" t="str">
        <f>'07_Base_Limpia'!G159</f>
        <v>Ecuador</v>
      </c>
      <c r="D327" s="7" t="s">
        <v>1009</v>
      </c>
      <c r="E327" s="7">
        <f>'07_Base_Limpia'!J159</f>
        <v>1</v>
      </c>
      <c r="F327" s="7">
        <f>'07_Base_Limpia'!I159</f>
        <v>2</v>
      </c>
      <c r="G327" s="7">
        <f t="shared" si="10"/>
        <v>-1</v>
      </c>
      <c r="H327" s="7" t="str">
        <f>IF('07_Base_Limpia'!L159="Gana","Pierde",IF('07_Base_Limpia'!L159="Empata","Empata","Gana"))</f>
        <v>Pierde</v>
      </c>
      <c r="I327" s="7">
        <f t="shared" si="11"/>
        <v>0</v>
      </c>
    </row>
    <row r="328" spans="1:9" ht="15" customHeight="1">
      <c r="A328" s="7">
        <f>'07_Base_Limpia'!B160</f>
        <v>2026</v>
      </c>
      <c r="B328" s="7" t="str">
        <f>'07_Base_Limpia'!H160</f>
        <v>Sweden</v>
      </c>
      <c r="C328" s="7" t="str">
        <f>'07_Base_Limpia'!G160</f>
        <v>Japan</v>
      </c>
      <c r="D328" s="7" t="s">
        <v>1009</v>
      </c>
      <c r="E328" s="7">
        <f>'07_Base_Limpia'!J160</f>
        <v>1</v>
      </c>
      <c r="F328" s="7">
        <f>'07_Base_Limpia'!I160</f>
        <v>1</v>
      </c>
      <c r="G328" s="7">
        <f t="shared" si="10"/>
        <v>0</v>
      </c>
      <c r="H328" s="7" t="str">
        <f>IF('07_Base_Limpia'!L160="Gana","Pierde",IF('07_Base_Limpia'!L160="Empata","Empata","Gana"))</f>
        <v>Empata</v>
      </c>
      <c r="I328" s="7">
        <f t="shared" si="11"/>
        <v>1</v>
      </c>
    </row>
    <row r="329" spans="1:9" ht="15" customHeight="1">
      <c r="A329" s="7">
        <f>'07_Base_Limpia'!B161</f>
        <v>2026</v>
      </c>
      <c r="B329" s="7" t="str">
        <f>'07_Base_Limpia'!H161</f>
        <v>Netherlands</v>
      </c>
      <c r="C329" s="7" t="str">
        <f>'07_Base_Limpia'!G161</f>
        <v>Tunisia</v>
      </c>
      <c r="D329" s="7" t="s">
        <v>1009</v>
      </c>
      <c r="E329" s="7">
        <f>'07_Base_Limpia'!J161</f>
        <v>3</v>
      </c>
      <c r="F329" s="7">
        <f>'07_Base_Limpia'!I161</f>
        <v>1</v>
      </c>
      <c r="G329" s="7">
        <f t="shared" si="10"/>
        <v>2</v>
      </c>
      <c r="H329" s="7" t="str">
        <f>IF('07_Base_Limpia'!L161="Gana","Pierde",IF('07_Base_Limpia'!L161="Empata","Empata","Gana"))</f>
        <v>Gana</v>
      </c>
      <c r="I329" s="7">
        <f t="shared" si="11"/>
        <v>3</v>
      </c>
    </row>
    <row r="330" spans="1:9" ht="15" customHeight="1">
      <c r="A330" s="7">
        <f>'07_Base_Limpia'!B162</f>
        <v>2026</v>
      </c>
      <c r="B330" s="7" t="str">
        <f>'07_Base_Limpia'!H162</f>
        <v>Iran</v>
      </c>
      <c r="C330" s="7" t="str">
        <f>'07_Base_Limpia'!G162</f>
        <v>Egypt</v>
      </c>
      <c r="D330" s="7" t="s">
        <v>1009</v>
      </c>
      <c r="E330" s="7">
        <f>'07_Base_Limpia'!J162</f>
        <v>1</v>
      </c>
      <c r="F330" s="7">
        <f>'07_Base_Limpia'!I162</f>
        <v>1</v>
      </c>
      <c r="G330" s="7">
        <f t="shared" si="10"/>
        <v>0</v>
      </c>
      <c r="H330" s="7" t="str">
        <f>IF('07_Base_Limpia'!L162="Gana","Pierde",IF('07_Base_Limpia'!L162="Empata","Empata","Gana"))</f>
        <v>Empata</v>
      </c>
      <c r="I330" s="7">
        <f t="shared" si="11"/>
        <v>1</v>
      </c>
    </row>
    <row r="331" spans="1:9" ht="15" customHeight="1">
      <c r="A331" s="7">
        <f>'07_Base_Limpia'!B163</f>
        <v>2026</v>
      </c>
      <c r="B331" s="7" t="str">
        <f>'07_Base_Limpia'!H163</f>
        <v>Belgium</v>
      </c>
      <c r="C331" s="7" t="str">
        <f>'07_Base_Limpia'!G163</f>
        <v>New Zealand</v>
      </c>
      <c r="D331" s="7" t="s">
        <v>1009</v>
      </c>
      <c r="E331" s="7">
        <f>'07_Base_Limpia'!J163</f>
        <v>5</v>
      </c>
      <c r="F331" s="7">
        <f>'07_Base_Limpia'!I163</f>
        <v>1</v>
      </c>
      <c r="G331" s="7">
        <f t="shared" si="10"/>
        <v>4</v>
      </c>
      <c r="H331" s="7" t="str">
        <f>IF('07_Base_Limpia'!L163="Gana","Pierde",IF('07_Base_Limpia'!L163="Empata","Empata","Gana"))</f>
        <v>Gana</v>
      </c>
      <c r="I331" s="7">
        <f t="shared" si="11"/>
        <v>3</v>
      </c>
    </row>
    <row r="332" spans="1:9" ht="15" customHeight="1">
      <c r="A332" s="7">
        <f>'07_Base_Limpia'!B164</f>
        <v>2026</v>
      </c>
      <c r="B332" s="7" t="str">
        <f>'07_Base_Limpia'!H164</f>
        <v>Saudi Arabia</v>
      </c>
      <c r="C332" s="7" t="str">
        <f>'07_Base_Limpia'!G164</f>
        <v>Cape Verde</v>
      </c>
      <c r="D332" s="7" t="s">
        <v>1009</v>
      </c>
      <c r="E332" s="7">
        <f>'07_Base_Limpia'!J164</f>
        <v>0</v>
      </c>
      <c r="F332" s="7">
        <f>'07_Base_Limpia'!I164</f>
        <v>0</v>
      </c>
      <c r="G332" s="7">
        <f t="shared" si="10"/>
        <v>0</v>
      </c>
      <c r="H332" s="7" t="str">
        <f>IF('07_Base_Limpia'!L164="Gana","Pierde",IF('07_Base_Limpia'!L164="Empata","Empata","Gana"))</f>
        <v>Empata</v>
      </c>
      <c r="I332" s="7">
        <f t="shared" si="11"/>
        <v>1</v>
      </c>
    </row>
    <row r="333" spans="1:9" ht="15" customHeight="1">
      <c r="A333" s="7">
        <f>'07_Base_Limpia'!B165</f>
        <v>2026</v>
      </c>
      <c r="B333" s="7" t="str">
        <f>'07_Base_Limpia'!H165</f>
        <v>Spain</v>
      </c>
      <c r="C333" s="7" t="str">
        <f>'07_Base_Limpia'!G165</f>
        <v>Uruguay</v>
      </c>
      <c r="D333" s="7" t="s">
        <v>1009</v>
      </c>
      <c r="E333" s="7">
        <f>'07_Base_Limpia'!J165</f>
        <v>1</v>
      </c>
      <c r="F333" s="7">
        <f>'07_Base_Limpia'!I165</f>
        <v>0</v>
      </c>
      <c r="G333" s="7">
        <f t="shared" si="10"/>
        <v>1</v>
      </c>
      <c r="H333" s="7" t="str">
        <f>IF('07_Base_Limpia'!L165="Gana","Pierde",IF('07_Base_Limpia'!L165="Empata","Empata","Gana"))</f>
        <v>Gana</v>
      </c>
      <c r="I333" s="7">
        <f t="shared" si="11"/>
        <v>3</v>
      </c>
    </row>
    <row r="334" spans="1:9" ht="15" customHeight="1">
      <c r="A334" s="7">
        <f>'07_Base_Limpia'!B166</f>
        <v>2026</v>
      </c>
      <c r="B334" s="7" t="str">
        <f>'07_Base_Limpia'!H166</f>
        <v>France</v>
      </c>
      <c r="C334" s="7" t="str">
        <f>'07_Base_Limpia'!G166</f>
        <v>Norway</v>
      </c>
      <c r="D334" s="7" t="s">
        <v>1009</v>
      </c>
      <c r="E334" s="7">
        <f>'07_Base_Limpia'!J166</f>
        <v>4</v>
      </c>
      <c r="F334" s="7">
        <f>'07_Base_Limpia'!I166</f>
        <v>1</v>
      </c>
      <c r="G334" s="7">
        <f t="shared" si="10"/>
        <v>3</v>
      </c>
      <c r="H334" s="7" t="str">
        <f>IF('07_Base_Limpia'!L166="Gana","Pierde",IF('07_Base_Limpia'!L166="Empata","Empata","Gana"))</f>
        <v>Gana</v>
      </c>
      <c r="I334" s="7">
        <f t="shared" si="11"/>
        <v>3</v>
      </c>
    </row>
    <row r="335" spans="1:9" ht="15" customHeight="1">
      <c r="A335" s="7">
        <f>'07_Base_Limpia'!B167</f>
        <v>2026</v>
      </c>
      <c r="B335" s="7" t="str">
        <f>'07_Base_Limpia'!H167</f>
        <v>Iraq</v>
      </c>
      <c r="C335" s="7" t="str">
        <f>'07_Base_Limpia'!G167</f>
        <v>Senegal</v>
      </c>
      <c r="D335" s="7" t="s">
        <v>1009</v>
      </c>
      <c r="E335" s="7">
        <f>'07_Base_Limpia'!J167</f>
        <v>0</v>
      </c>
      <c r="F335" s="7">
        <f>'07_Base_Limpia'!I167</f>
        <v>5</v>
      </c>
      <c r="G335" s="7">
        <f t="shared" si="10"/>
        <v>-5</v>
      </c>
      <c r="H335" s="7" t="str">
        <f>IF('07_Base_Limpia'!L167="Gana","Pierde",IF('07_Base_Limpia'!L167="Empata","Empata","Gana"))</f>
        <v>Pierde</v>
      </c>
      <c r="I335" s="7">
        <f t="shared" si="11"/>
        <v>0</v>
      </c>
    </row>
    <row r="336" spans="1:9" ht="15" customHeight="1">
      <c r="A336" s="7">
        <f>'07_Base_Limpia'!B168</f>
        <v>2026</v>
      </c>
      <c r="B336" s="7" t="str">
        <f>'07_Base_Limpia'!H168</f>
        <v>Austria</v>
      </c>
      <c r="C336" s="7" t="str">
        <f>'07_Base_Limpia'!G168</f>
        <v>Algeria</v>
      </c>
      <c r="D336" s="7" t="s">
        <v>1009</v>
      </c>
      <c r="E336" s="7">
        <f>'07_Base_Limpia'!J168</f>
        <v>3</v>
      </c>
      <c r="F336" s="7">
        <f>'07_Base_Limpia'!I168</f>
        <v>3</v>
      </c>
      <c r="G336" s="7">
        <f t="shared" si="10"/>
        <v>0</v>
      </c>
      <c r="H336" s="7" t="str">
        <f>IF('07_Base_Limpia'!L168="Gana","Pierde",IF('07_Base_Limpia'!L168="Empata","Empata","Gana"))</f>
        <v>Empata</v>
      </c>
      <c r="I336" s="7">
        <f t="shared" si="11"/>
        <v>1</v>
      </c>
    </row>
    <row r="337" spans="1:11" ht="15" customHeight="1">
      <c r="A337" s="7">
        <f>'07_Base_Limpia'!B169</f>
        <v>2026</v>
      </c>
      <c r="B337" s="7" t="str">
        <f>'07_Base_Limpia'!H169</f>
        <v>Argentina</v>
      </c>
      <c r="C337" s="7" t="str">
        <f>'07_Base_Limpia'!G169</f>
        <v>Jordan</v>
      </c>
      <c r="D337" s="7" t="s">
        <v>1009</v>
      </c>
      <c r="E337" s="7">
        <f>'07_Base_Limpia'!J169</f>
        <v>3</v>
      </c>
      <c r="F337" s="7">
        <f>'07_Base_Limpia'!I169</f>
        <v>1</v>
      </c>
      <c r="G337" s="7">
        <f t="shared" si="10"/>
        <v>2</v>
      </c>
      <c r="H337" s="7" t="str">
        <f>IF('07_Base_Limpia'!L169="Gana","Pierde",IF('07_Base_Limpia'!L169="Empata","Empata","Gana"))</f>
        <v>Gana</v>
      </c>
      <c r="I337" s="7">
        <f t="shared" si="11"/>
        <v>3</v>
      </c>
    </row>
    <row r="338" spans="1:11" ht="15" customHeight="1">
      <c r="A338" s="7">
        <f>'07_Base_Limpia'!B170</f>
        <v>2026</v>
      </c>
      <c r="B338" s="7" t="str">
        <f>'07_Base_Limpia'!H170</f>
        <v>Portugal</v>
      </c>
      <c r="C338" s="7" t="str">
        <f>'07_Base_Limpia'!G170</f>
        <v>Colombia</v>
      </c>
      <c r="D338" s="7" t="s">
        <v>1009</v>
      </c>
      <c r="E338" s="7">
        <f>'07_Base_Limpia'!J170</f>
        <v>0</v>
      </c>
      <c r="F338" s="7">
        <f>'07_Base_Limpia'!I170</f>
        <v>0</v>
      </c>
      <c r="G338" s="7">
        <f t="shared" si="10"/>
        <v>0</v>
      </c>
      <c r="H338" s="7" t="str">
        <f>IF('07_Base_Limpia'!L170="Gana","Pierde",IF('07_Base_Limpia'!L170="Empata","Empata","Gana"))</f>
        <v>Empata</v>
      </c>
      <c r="I338" s="7">
        <f t="shared" si="11"/>
        <v>1</v>
      </c>
    </row>
    <row r="339" spans="1:11" ht="15" customHeight="1">
      <c r="A339" s="7">
        <f>'07_Base_Limpia'!B171</f>
        <v>2026</v>
      </c>
      <c r="B339" s="7" t="str">
        <f>'07_Base_Limpia'!H171</f>
        <v>Uzbekistan</v>
      </c>
      <c r="C339" s="7" t="str">
        <f>'07_Base_Limpia'!G171</f>
        <v>DR Congo</v>
      </c>
      <c r="D339" s="7" t="s">
        <v>1009</v>
      </c>
      <c r="E339" s="7">
        <f>'07_Base_Limpia'!J171</f>
        <v>1</v>
      </c>
      <c r="F339" s="7">
        <f>'07_Base_Limpia'!I171</f>
        <v>3</v>
      </c>
      <c r="G339" s="7">
        <f t="shared" si="10"/>
        <v>-2</v>
      </c>
      <c r="H339" s="7" t="str">
        <f>IF('07_Base_Limpia'!L171="Gana","Pierde",IF('07_Base_Limpia'!L171="Empata","Empata","Gana"))</f>
        <v>Pierde</v>
      </c>
      <c r="I339" s="7">
        <f t="shared" si="11"/>
        <v>0</v>
      </c>
    </row>
    <row r="340" spans="1:11" ht="15" customHeight="1">
      <c r="A340" s="7">
        <f>'07_Base_Limpia'!B172</f>
        <v>2026</v>
      </c>
      <c r="B340" s="7" t="str">
        <f>'07_Base_Limpia'!H172</f>
        <v>England</v>
      </c>
      <c r="C340" s="7" t="str">
        <f>'07_Base_Limpia'!G172</f>
        <v>Panama</v>
      </c>
      <c r="D340" s="7" t="s">
        <v>1009</v>
      </c>
      <c r="E340" s="7">
        <f>'07_Base_Limpia'!J172</f>
        <v>2</v>
      </c>
      <c r="F340" s="7">
        <f>'07_Base_Limpia'!I172</f>
        <v>0</v>
      </c>
      <c r="G340" s="7">
        <f t="shared" si="10"/>
        <v>2</v>
      </c>
      <c r="H340" s="7" t="str">
        <f>IF('07_Base_Limpia'!L172="Gana","Pierde",IF('07_Base_Limpia'!L172="Empata","Empata","Gana"))</f>
        <v>Gana</v>
      </c>
      <c r="I340" s="7">
        <f t="shared" si="11"/>
        <v>3</v>
      </c>
    </row>
    <row r="341" spans="1:11" ht="15" customHeight="1">
      <c r="A341" s="7">
        <f>'07_Base_Limpia'!B173</f>
        <v>2026</v>
      </c>
      <c r="B341" s="7" t="str">
        <f>'07_Base_Limpia'!H173</f>
        <v>Ghana</v>
      </c>
      <c r="C341" s="7" t="str">
        <f>'07_Base_Limpia'!G173</f>
        <v>Croatia</v>
      </c>
      <c r="D341" s="7" t="s">
        <v>1009</v>
      </c>
      <c r="E341" s="7">
        <f>'07_Base_Limpia'!J173</f>
        <v>1</v>
      </c>
      <c r="F341" s="7">
        <f>'07_Base_Limpia'!I173</f>
        <v>2</v>
      </c>
      <c r="G341" s="7">
        <f t="shared" si="10"/>
        <v>-1</v>
      </c>
      <c r="H341" s="7" t="str">
        <f>IF('07_Base_Limpia'!L173="Gana","Pierde",IF('07_Base_Limpia'!L173="Empata","Empata","Gana"))</f>
        <v>Pierde</v>
      </c>
      <c r="I341" s="7">
        <f t="shared" si="11"/>
        <v>0</v>
      </c>
    </row>
    <row r="344" spans="1:11" ht="15.75" customHeight="1">
      <c r="A344" s="18" t="s">
        <v>1010</v>
      </c>
    </row>
    <row r="345" spans="1:11" ht="15" customHeight="1">
      <c r="A345" s="17" t="s">
        <v>55</v>
      </c>
      <c r="B345" s="17" t="s">
        <v>1000</v>
      </c>
      <c r="C345" s="17" t="s">
        <v>1011</v>
      </c>
      <c r="D345" s="17" t="s">
        <v>1012</v>
      </c>
      <c r="E345" s="17" t="s">
        <v>1013</v>
      </c>
      <c r="F345" s="17" t="s">
        <v>1014</v>
      </c>
      <c r="G345" s="17" t="s">
        <v>1003</v>
      </c>
      <c r="H345" s="17" t="s">
        <v>1004</v>
      </c>
      <c r="I345" s="17" t="s">
        <v>1005</v>
      </c>
      <c r="J345" s="17" t="s">
        <v>1015</v>
      </c>
      <c r="K345" s="17" t="s">
        <v>1016</v>
      </c>
    </row>
    <row r="346" spans="1:11" ht="15" customHeight="1">
      <c r="A346" s="7">
        <v>2018</v>
      </c>
      <c r="B346" s="7" t="s">
        <v>112</v>
      </c>
      <c r="C346" s="7">
        <f t="shared" ref="C346:C377" si="12">COUNTIFS($A$6:$A$341,$A346,$B$6:$B$341,$B346)</f>
        <v>3</v>
      </c>
      <c r="D346" s="7">
        <f t="shared" ref="D346:D377" si="13">COUNTIFS($A$6:$A$341,$A346,$B$6:$B$341,$B346,$H$6:$H$341,"Gana")</f>
        <v>1</v>
      </c>
      <c r="E346" s="7">
        <f t="shared" ref="E346:E377" si="14">COUNTIFS($A$6:$A$341,$A346,$B$6:$B$341,$B346,$H$6:$H$341,"Empata")</f>
        <v>1</v>
      </c>
      <c r="F346" s="7">
        <f t="shared" ref="F346:F377" si="15">COUNTIFS($A$6:$A$341,$A346,$B$6:$B$341,$B346,$H$6:$H$341,"Pierde")</f>
        <v>1</v>
      </c>
      <c r="G346" s="7">
        <f t="shared" ref="G346:G377" si="16">SUMIFS($E$6:$E$341,$A$6:$A$341,$A346,$B$6:$B$341,$B346)</f>
        <v>3</v>
      </c>
      <c r="H346" s="7">
        <f t="shared" ref="H346:H377" si="17">SUMIFS($F$6:$F$341,$A$6:$A$341,$A346,$B$6:$B$341,$B346)</f>
        <v>5</v>
      </c>
      <c r="I346" s="7">
        <f t="shared" ref="I346:I377" si="18">G346-H346</f>
        <v>-2</v>
      </c>
      <c r="J346" s="7">
        <f t="shared" ref="J346:J377" si="19">SUMIFS($I$6:$I$341,$A$6:$A$341,$A346,$B$6:$B$341,$B346)</f>
        <v>4</v>
      </c>
      <c r="K346" s="7" t="str">
        <f t="shared" ref="K346:K377" si="20">$A346&amp;"|"&amp;$I346</f>
        <v>2018|-2</v>
      </c>
    </row>
    <row r="347" spans="1:11" ht="15" customHeight="1">
      <c r="A347" s="7">
        <v>2018</v>
      </c>
      <c r="B347" s="7" t="s">
        <v>114</v>
      </c>
      <c r="C347" s="7">
        <f t="shared" si="12"/>
        <v>3</v>
      </c>
      <c r="D347" s="7">
        <f t="shared" si="13"/>
        <v>0</v>
      </c>
      <c r="E347" s="7">
        <f t="shared" si="14"/>
        <v>1</v>
      </c>
      <c r="F347" s="7">
        <f t="shared" si="15"/>
        <v>2</v>
      </c>
      <c r="G347" s="7">
        <f t="shared" si="16"/>
        <v>2</v>
      </c>
      <c r="H347" s="7">
        <f t="shared" si="17"/>
        <v>5</v>
      </c>
      <c r="I347" s="7">
        <f t="shared" si="18"/>
        <v>-3</v>
      </c>
      <c r="J347" s="7">
        <f t="shared" si="19"/>
        <v>1</v>
      </c>
      <c r="K347" s="7" t="str">
        <f t="shared" si="20"/>
        <v>2018|-3</v>
      </c>
    </row>
    <row r="348" spans="1:11" ht="15" customHeight="1">
      <c r="A348" s="7">
        <v>2018</v>
      </c>
      <c r="B348" s="7" t="s">
        <v>118</v>
      </c>
      <c r="C348" s="7">
        <f t="shared" si="12"/>
        <v>3</v>
      </c>
      <c r="D348" s="7">
        <f t="shared" si="13"/>
        <v>3</v>
      </c>
      <c r="E348" s="7">
        <f t="shared" si="14"/>
        <v>0</v>
      </c>
      <c r="F348" s="7">
        <f t="shared" si="15"/>
        <v>0</v>
      </c>
      <c r="G348" s="7">
        <f t="shared" si="16"/>
        <v>9</v>
      </c>
      <c r="H348" s="7">
        <f t="shared" si="17"/>
        <v>2</v>
      </c>
      <c r="I348" s="7">
        <f t="shared" si="18"/>
        <v>7</v>
      </c>
      <c r="J348" s="7">
        <f t="shared" si="19"/>
        <v>9</v>
      </c>
      <c r="K348" s="7" t="str">
        <f t="shared" si="20"/>
        <v>2018|7</v>
      </c>
    </row>
    <row r="349" spans="1:11" ht="15" customHeight="1">
      <c r="A349" s="7">
        <v>2018</v>
      </c>
      <c r="B349" s="7" t="s">
        <v>126</v>
      </c>
      <c r="C349" s="7">
        <f t="shared" si="12"/>
        <v>3</v>
      </c>
      <c r="D349" s="7">
        <f t="shared" si="13"/>
        <v>2</v>
      </c>
      <c r="E349" s="7">
        <f t="shared" si="14"/>
        <v>1</v>
      </c>
      <c r="F349" s="7">
        <f t="shared" si="15"/>
        <v>0</v>
      </c>
      <c r="G349" s="7">
        <f t="shared" si="16"/>
        <v>5</v>
      </c>
      <c r="H349" s="7">
        <f t="shared" si="17"/>
        <v>1</v>
      </c>
      <c r="I349" s="7">
        <f t="shared" si="18"/>
        <v>4</v>
      </c>
      <c r="J349" s="7">
        <f t="shared" si="19"/>
        <v>7</v>
      </c>
      <c r="K349" s="7" t="str">
        <f t="shared" si="20"/>
        <v>2018|4</v>
      </c>
    </row>
    <row r="350" spans="1:11" ht="15" customHeight="1">
      <c r="A350" s="7">
        <v>2018</v>
      </c>
      <c r="B350" s="7" t="s">
        <v>136</v>
      </c>
      <c r="C350" s="7">
        <f t="shared" si="12"/>
        <v>3</v>
      </c>
      <c r="D350" s="7">
        <f t="shared" si="13"/>
        <v>2</v>
      </c>
      <c r="E350" s="7">
        <f t="shared" si="14"/>
        <v>0</v>
      </c>
      <c r="F350" s="7">
        <f t="shared" si="15"/>
        <v>1</v>
      </c>
      <c r="G350" s="7">
        <f t="shared" si="16"/>
        <v>5</v>
      </c>
      <c r="H350" s="7">
        <f t="shared" si="17"/>
        <v>2</v>
      </c>
      <c r="I350" s="7">
        <f t="shared" si="18"/>
        <v>3</v>
      </c>
      <c r="J350" s="7">
        <f t="shared" si="19"/>
        <v>6</v>
      </c>
      <c r="K350" s="7" t="str">
        <f t="shared" si="20"/>
        <v>2018|3</v>
      </c>
    </row>
    <row r="351" spans="1:11" ht="15" customHeight="1">
      <c r="A351" s="7">
        <v>2018</v>
      </c>
      <c r="B351" s="7" t="s">
        <v>138</v>
      </c>
      <c r="C351" s="7">
        <f t="shared" si="12"/>
        <v>3</v>
      </c>
      <c r="D351" s="7">
        <f t="shared" si="13"/>
        <v>0</v>
      </c>
      <c r="E351" s="7">
        <f t="shared" si="14"/>
        <v>1</v>
      </c>
      <c r="F351" s="7">
        <f t="shared" si="15"/>
        <v>2</v>
      </c>
      <c r="G351" s="7">
        <f t="shared" si="16"/>
        <v>2</v>
      </c>
      <c r="H351" s="7">
        <f t="shared" si="17"/>
        <v>5</v>
      </c>
      <c r="I351" s="7">
        <f t="shared" si="18"/>
        <v>-3</v>
      </c>
      <c r="J351" s="7">
        <f t="shared" si="19"/>
        <v>1</v>
      </c>
      <c r="K351" s="7" t="str">
        <f t="shared" si="20"/>
        <v>2018|-3</v>
      </c>
    </row>
    <row r="352" spans="1:11" ht="15" customHeight="1">
      <c r="A352" s="7">
        <v>2018</v>
      </c>
      <c r="B352" s="7" t="s">
        <v>140</v>
      </c>
      <c r="C352" s="7">
        <f t="shared" si="12"/>
        <v>3</v>
      </c>
      <c r="D352" s="7">
        <f t="shared" si="13"/>
        <v>3</v>
      </c>
      <c r="E352" s="7">
        <f t="shared" si="14"/>
        <v>0</v>
      </c>
      <c r="F352" s="7">
        <f t="shared" si="15"/>
        <v>0</v>
      </c>
      <c r="G352" s="7">
        <f t="shared" si="16"/>
        <v>7</v>
      </c>
      <c r="H352" s="7">
        <f t="shared" si="17"/>
        <v>1</v>
      </c>
      <c r="I352" s="7">
        <f t="shared" si="18"/>
        <v>6</v>
      </c>
      <c r="J352" s="7">
        <f t="shared" si="19"/>
        <v>9</v>
      </c>
      <c r="K352" s="7" t="str">
        <f t="shared" si="20"/>
        <v>2018|6</v>
      </c>
    </row>
    <row r="353" spans="1:11" ht="15" customHeight="1">
      <c r="A353" s="7">
        <v>2018</v>
      </c>
      <c r="B353" s="7" t="s">
        <v>155</v>
      </c>
      <c r="C353" s="7">
        <f t="shared" si="12"/>
        <v>3</v>
      </c>
      <c r="D353" s="7">
        <f t="shared" si="13"/>
        <v>1</v>
      </c>
      <c r="E353" s="7">
        <f t="shared" si="14"/>
        <v>2</v>
      </c>
      <c r="F353" s="7">
        <f t="shared" si="15"/>
        <v>0</v>
      </c>
      <c r="G353" s="7">
        <f t="shared" si="16"/>
        <v>2</v>
      </c>
      <c r="H353" s="7">
        <f t="shared" si="17"/>
        <v>1</v>
      </c>
      <c r="I353" s="7">
        <f t="shared" si="18"/>
        <v>1</v>
      </c>
      <c r="J353" s="7">
        <f t="shared" si="19"/>
        <v>5</v>
      </c>
      <c r="K353" s="7" t="str">
        <f t="shared" si="20"/>
        <v>2018|1</v>
      </c>
    </row>
    <row r="354" spans="1:11" ht="15" customHeight="1">
      <c r="A354" s="7">
        <v>2018</v>
      </c>
      <c r="B354" s="7" t="s">
        <v>159</v>
      </c>
      <c r="C354" s="7">
        <f t="shared" si="12"/>
        <v>3</v>
      </c>
      <c r="D354" s="7">
        <f t="shared" si="13"/>
        <v>0</v>
      </c>
      <c r="E354" s="7">
        <f t="shared" si="14"/>
        <v>0</v>
      </c>
      <c r="F354" s="7">
        <f t="shared" si="15"/>
        <v>3</v>
      </c>
      <c r="G354" s="7">
        <f t="shared" si="16"/>
        <v>2</v>
      </c>
      <c r="H354" s="7">
        <f t="shared" si="17"/>
        <v>6</v>
      </c>
      <c r="I354" s="7">
        <f t="shared" si="18"/>
        <v>-4</v>
      </c>
      <c r="J354" s="7">
        <f t="shared" si="19"/>
        <v>0</v>
      </c>
      <c r="K354" s="7" t="str">
        <f t="shared" si="20"/>
        <v>2018|-4</v>
      </c>
    </row>
    <row r="355" spans="1:11" ht="15" customHeight="1">
      <c r="A355" s="7">
        <v>2018</v>
      </c>
      <c r="B355" s="7" t="s">
        <v>161</v>
      </c>
      <c r="C355" s="7">
        <f t="shared" si="12"/>
        <v>3</v>
      </c>
      <c r="D355" s="7">
        <f t="shared" si="13"/>
        <v>2</v>
      </c>
      <c r="E355" s="7">
        <f t="shared" si="14"/>
        <v>0</v>
      </c>
      <c r="F355" s="7">
        <f t="shared" si="15"/>
        <v>1</v>
      </c>
      <c r="G355" s="7">
        <f t="shared" si="16"/>
        <v>8</v>
      </c>
      <c r="H355" s="7">
        <f t="shared" si="17"/>
        <v>3</v>
      </c>
      <c r="I355" s="7">
        <f t="shared" si="18"/>
        <v>5</v>
      </c>
      <c r="J355" s="7">
        <f t="shared" si="19"/>
        <v>6</v>
      </c>
      <c r="K355" s="7" t="str">
        <f t="shared" si="20"/>
        <v>2018|5</v>
      </c>
    </row>
    <row r="356" spans="1:11" ht="15" customHeight="1">
      <c r="A356" s="7">
        <v>2018</v>
      </c>
      <c r="B356" s="7" t="s">
        <v>163</v>
      </c>
      <c r="C356" s="7">
        <f t="shared" si="12"/>
        <v>3</v>
      </c>
      <c r="D356" s="7">
        <f t="shared" si="13"/>
        <v>2</v>
      </c>
      <c r="E356" s="7">
        <f t="shared" si="14"/>
        <v>1</v>
      </c>
      <c r="F356" s="7">
        <f t="shared" si="15"/>
        <v>0</v>
      </c>
      <c r="G356" s="7">
        <f t="shared" si="16"/>
        <v>3</v>
      </c>
      <c r="H356" s="7">
        <f t="shared" si="17"/>
        <v>1</v>
      </c>
      <c r="I356" s="7">
        <f t="shared" si="18"/>
        <v>2</v>
      </c>
      <c r="J356" s="7">
        <f t="shared" si="19"/>
        <v>7</v>
      </c>
      <c r="K356" s="7" t="str">
        <f t="shared" si="20"/>
        <v>2018|2</v>
      </c>
    </row>
    <row r="357" spans="1:11" ht="15" customHeight="1">
      <c r="A357" s="7">
        <v>2018</v>
      </c>
      <c r="B357" s="7" t="s">
        <v>166</v>
      </c>
      <c r="C357" s="7">
        <f t="shared" si="12"/>
        <v>3</v>
      </c>
      <c r="D357" s="7">
        <f t="shared" si="13"/>
        <v>1</v>
      </c>
      <c r="E357" s="7">
        <f t="shared" si="14"/>
        <v>0</v>
      </c>
      <c r="F357" s="7">
        <f t="shared" si="15"/>
        <v>2</v>
      </c>
      <c r="G357" s="7">
        <f t="shared" si="16"/>
        <v>2</v>
      </c>
      <c r="H357" s="7">
        <f t="shared" si="17"/>
        <v>4</v>
      </c>
      <c r="I357" s="7">
        <f t="shared" si="18"/>
        <v>-2</v>
      </c>
      <c r="J357" s="7">
        <f t="shared" si="19"/>
        <v>3</v>
      </c>
      <c r="K357" s="7" t="str">
        <f t="shared" si="20"/>
        <v>2018|-2</v>
      </c>
    </row>
    <row r="358" spans="1:11" ht="15" customHeight="1">
      <c r="A358" s="7">
        <v>2018</v>
      </c>
      <c r="B358" s="7" t="s">
        <v>172</v>
      </c>
      <c r="C358" s="7">
        <f t="shared" si="12"/>
        <v>3</v>
      </c>
      <c r="D358" s="7">
        <f t="shared" si="13"/>
        <v>0</v>
      </c>
      <c r="E358" s="7">
        <f t="shared" si="14"/>
        <v>1</v>
      </c>
      <c r="F358" s="7">
        <f t="shared" si="15"/>
        <v>2</v>
      </c>
      <c r="G358" s="7">
        <f t="shared" si="16"/>
        <v>2</v>
      </c>
      <c r="H358" s="7">
        <f t="shared" si="17"/>
        <v>5</v>
      </c>
      <c r="I358" s="7">
        <f t="shared" si="18"/>
        <v>-3</v>
      </c>
      <c r="J358" s="7">
        <f t="shared" si="19"/>
        <v>1</v>
      </c>
      <c r="K358" s="7" t="str">
        <f t="shared" si="20"/>
        <v>2018|-3</v>
      </c>
    </row>
    <row r="359" spans="1:11" ht="15" customHeight="1">
      <c r="A359" s="7">
        <v>2018</v>
      </c>
      <c r="B359" s="7" t="s">
        <v>175</v>
      </c>
      <c r="C359" s="7">
        <f t="shared" si="12"/>
        <v>3</v>
      </c>
      <c r="D359" s="7">
        <f t="shared" si="13"/>
        <v>1</v>
      </c>
      <c r="E359" s="7">
        <f t="shared" si="14"/>
        <v>1</v>
      </c>
      <c r="F359" s="7">
        <f t="shared" si="15"/>
        <v>1</v>
      </c>
      <c r="G359" s="7">
        <f t="shared" si="16"/>
        <v>2</v>
      </c>
      <c r="H359" s="7">
        <f t="shared" si="17"/>
        <v>2</v>
      </c>
      <c r="I359" s="7">
        <f t="shared" si="18"/>
        <v>0</v>
      </c>
      <c r="J359" s="7">
        <f t="shared" si="19"/>
        <v>4</v>
      </c>
      <c r="K359" s="7" t="str">
        <f t="shared" si="20"/>
        <v>2018|0</v>
      </c>
    </row>
    <row r="360" spans="1:11" ht="15" customHeight="1">
      <c r="A360" s="7">
        <v>2018</v>
      </c>
      <c r="B360" s="7" t="s">
        <v>185</v>
      </c>
      <c r="C360" s="7">
        <f t="shared" si="12"/>
        <v>3</v>
      </c>
      <c r="D360" s="7">
        <f t="shared" si="13"/>
        <v>1</v>
      </c>
      <c r="E360" s="7">
        <f t="shared" si="14"/>
        <v>1</v>
      </c>
      <c r="F360" s="7">
        <f t="shared" si="15"/>
        <v>1</v>
      </c>
      <c r="G360" s="7">
        <f t="shared" si="16"/>
        <v>4</v>
      </c>
      <c r="H360" s="7">
        <f t="shared" si="17"/>
        <v>4</v>
      </c>
      <c r="I360" s="7">
        <f t="shared" si="18"/>
        <v>0</v>
      </c>
      <c r="J360" s="7">
        <f t="shared" si="19"/>
        <v>4</v>
      </c>
      <c r="K360" s="7" t="str">
        <f t="shared" si="20"/>
        <v>2018|0</v>
      </c>
    </row>
    <row r="361" spans="1:11" ht="15" customHeight="1">
      <c r="A361" s="7">
        <v>2018</v>
      </c>
      <c r="B361" s="7" t="s">
        <v>188</v>
      </c>
      <c r="C361" s="7">
        <f t="shared" si="12"/>
        <v>3</v>
      </c>
      <c r="D361" s="7">
        <f t="shared" si="13"/>
        <v>2</v>
      </c>
      <c r="E361" s="7">
        <f t="shared" si="14"/>
        <v>0</v>
      </c>
      <c r="F361" s="7">
        <f t="shared" si="15"/>
        <v>1</v>
      </c>
      <c r="G361" s="7">
        <f t="shared" si="16"/>
        <v>3</v>
      </c>
      <c r="H361" s="7">
        <f t="shared" si="17"/>
        <v>4</v>
      </c>
      <c r="I361" s="7">
        <f t="shared" si="18"/>
        <v>-1</v>
      </c>
      <c r="J361" s="7">
        <f t="shared" si="19"/>
        <v>6</v>
      </c>
      <c r="K361" s="7" t="str">
        <f t="shared" si="20"/>
        <v>2018|-1</v>
      </c>
    </row>
    <row r="362" spans="1:11" ht="15" customHeight="1">
      <c r="A362" s="7">
        <v>2018</v>
      </c>
      <c r="B362" s="7" t="s">
        <v>191</v>
      </c>
      <c r="C362" s="7">
        <f t="shared" si="12"/>
        <v>3</v>
      </c>
      <c r="D362" s="7">
        <f t="shared" si="13"/>
        <v>0</v>
      </c>
      <c r="E362" s="7">
        <f t="shared" si="14"/>
        <v>1</v>
      </c>
      <c r="F362" s="7">
        <f t="shared" si="15"/>
        <v>2</v>
      </c>
      <c r="G362" s="7">
        <f t="shared" si="16"/>
        <v>2</v>
      </c>
      <c r="H362" s="7">
        <f t="shared" si="17"/>
        <v>4</v>
      </c>
      <c r="I362" s="7">
        <f t="shared" si="18"/>
        <v>-2</v>
      </c>
      <c r="J362" s="7">
        <f t="shared" si="19"/>
        <v>1</v>
      </c>
      <c r="K362" s="7" t="str">
        <f t="shared" si="20"/>
        <v>2018|-2</v>
      </c>
    </row>
    <row r="363" spans="1:11" ht="15" customHeight="1">
      <c r="A363" s="7">
        <v>2018</v>
      </c>
      <c r="B363" s="7" t="s">
        <v>200</v>
      </c>
      <c r="C363" s="7">
        <f t="shared" si="12"/>
        <v>3</v>
      </c>
      <c r="D363" s="7">
        <f t="shared" si="13"/>
        <v>1</v>
      </c>
      <c r="E363" s="7">
        <f t="shared" si="14"/>
        <v>0</v>
      </c>
      <c r="F363" s="7">
        <f t="shared" si="15"/>
        <v>2</v>
      </c>
      <c r="G363" s="7">
        <f t="shared" si="16"/>
        <v>3</v>
      </c>
      <c r="H363" s="7">
        <f t="shared" si="17"/>
        <v>4</v>
      </c>
      <c r="I363" s="7">
        <f t="shared" si="18"/>
        <v>-1</v>
      </c>
      <c r="J363" s="7">
        <f t="shared" si="19"/>
        <v>3</v>
      </c>
      <c r="K363" s="7" t="str">
        <f t="shared" si="20"/>
        <v>2018|-1</v>
      </c>
    </row>
    <row r="364" spans="1:11" ht="15" customHeight="1">
      <c r="A364" s="7">
        <v>2018</v>
      </c>
      <c r="B364" s="7" t="s">
        <v>204</v>
      </c>
      <c r="C364" s="7">
        <f t="shared" si="12"/>
        <v>3</v>
      </c>
      <c r="D364" s="7">
        <f t="shared" si="13"/>
        <v>0</v>
      </c>
      <c r="E364" s="7">
        <f t="shared" si="14"/>
        <v>0</v>
      </c>
      <c r="F364" s="7">
        <f t="shared" si="15"/>
        <v>3</v>
      </c>
      <c r="G364" s="7">
        <f t="shared" si="16"/>
        <v>2</v>
      </c>
      <c r="H364" s="7">
        <f t="shared" si="17"/>
        <v>11</v>
      </c>
      <c r="I364" s="7">
        <f t="shared" si="18"/>
        <v>-9</v>
      </c>
      <c r="J364" s="7">
        <f t="shared" si="19"/>
        <v>0</v>
      </c>
      <c r="K364" s="7" t="str">
        <f t="shared" si="20"/>
        <v>2018|-9</v>
      </c>
    </row>
    <row r="365" spans="1:11" ht="15" customHeight="1">
      <c r="A365" s="7">
        <v>2018</v>
      </c>
      <c r="B365" s="7" t="s">
        <v>208</v>
      </c>
      <c r="C365" s="7">
        <f t="shared" si="12"/>
        <v>3</v>
      </c>
      <c r="D365" s="7">
        <f t="shared" si="13"/>
        <v>1</v>
      </c>
      <c r="E365" s="7">
        <f t="shared" si="14"/>
        <v>0</v>
      </c>
      <c r="F365" s="7">
        <f t="shared" si="15"/>
        <v>2</v>
      </c>
      <c r="G365" s="7">
        <f t="shared" si="16"/>
        <v>2</v>
      </c>
      <c r="H365" s="7">
        <f t="shared" si="17"/>
        <v>2</v>
      </c>
      <c r="I365" s="7">
        <f t="shared" si="18"/>
        <v>0</v>
      </c>
      <c r="J365" s="7">
        <f t="shared" si="19"/>
        <v>3</v>
      </c>
      <c r="K365" s="7" t="str">
        <f t="shared" si="20"/>
        <v>2018|0</v>
      </c>
    </row>
    <row r="366" spans="1:11" ht="15" customHeight="1">
      <c r="A366" s="7">
        <v>2018</v>
      </c>
      <c r="B366" s="7" t="s">
        <v>210</v>
      </c>
      <c r="C366" s="7">
        <f t="shared" si="12"/>
        <v>3</v>
      </c>
      <c r="D366" s="7">
        <f t="shared" si="13"/>
        <v>1</v>
      </c>
      <c r="E366" s="7">
        <f t="shared" si="14"/>
        <v>0</v>
      </c>
      <c r="F366" s="7">
        <f t="shared" si="15"/>
        <v>2</v>
      </c>
      <c r="G366" s="7">
        <f t="shared" si="16"/>
        <v>2</v>
      </c>
      <c r="H366" s="7">
        <f t="shared" si="17"/>
        <v>5</v>
      </c>
      <c r="I366" s="7">
        <f t="shared" si="18"/>
        <v>-3</v>
      </c>
      <c r="J366" s="7">
        <f t="shared" si="19"/>
        <v>3</v>
      </c>
      <c r="K366" s="7" t="str">
        <f t="shared" si="20"/>
        <v>2018|-3</v>
      </c>
    </row>
    <row r="367" spans="1:11" ht="15" customHeight="1">
      <c r="A367" s="7">
        <v>2018</v>
      </c>
      <c r="B367" s="7" t="s">
        <v>212</v>
      </c>
      <c r="C367" s="7">
        <f t="shared" si="12"/>
        <v>3</v>
      </c>
      <c r="D367" s="7">
        <f t="shared" si="13"/>
        <v>1</v>
      </c>
      <c r="E367" s="7">
        <f t="shared" si="14"/>
        <v>2</v>
      </c>
      <c r="F367" s="7">
        <f t="shared" si="15"/>
        <v>0</v>
      </c>
      <c r="G367" s="7">
        <f t="shared" si="16"/>
        <v>5</v>
      </c>
      <c r="H367" s="7">
        <f t="shared" si="17"/>
        <v>4</v>
      </c>
      <c r="I367" s="7">
        <f t="shared" si="18"/>
        <v>1</v>
      </c>
      <c r="J367" s="7">
        <f t="shared" si="19"/>
        <v>5</v>
      </c>
      <c r="K367" s="7" t="str">
        <f t="shared" si="20"/>
        <v>2018|1</v>
      </c>
    </row>
    <row r="368" spans="1:11" ht="15" customHeight="1">
      <c r="A368" s="7">
        <v>2018</v>
      </c>
      <c r="B368" s="7" t="s">
        <v>73</v>
      </c>
      <c r="C368" s="7">
        <f t="shared" si="12"/>
        <v>3</v>
      </c>
      <c r="D368" s="7">
        <f t="shared" si="13"/>
        <v>2</v>
      </c>
      <c r="E368" s="7">
        <f t="shared" si="14"/>
        <v>0</v>
      </c>
      <c r="F368" s="7">
        <f t="shared" si="15"/>
        <v>1</v>
      </c>
      <c r="G368" s="7">
        <f t="shared" si="16"/>
        <v>8</v>
      </c>
      <c r="H368" s="7">
        <f t="shared" si="17"/>
        <v>4</v>
      </c>
      <c r="I368" s="7">
        <f t="shared" si="18"/>
        <v>4</v>
      </c>
      <c r="J368" s="7">
        <f t="shared" si="19"/>
        <v>6</v>
      </c>
      <c r="K368" s="7" t="str">
        <f t="shared" si="20"/>
        <v>2018|4</v>
      </c>
    </row>
    <row r="369" spans="1:11" ht="15" customHeight="1">
      <c r="A369" s="7">
        <v>2018</v>
      </c>
      <c r="B369" s="7" t="s">
        <v>76</v>
      </c>
      <c r="C369" s="7">
        <f t="shared" si="12"/>
        <v>3</v>
      </c>
      <c r="D369" s="7">
        <f t="shared" si="13"/>
        <v>1</v>
      </c>
      <c r="E369" s="7">
        <f t="shared" si="14"/>
        <v>0</v>
      </c>
      <c r="F369" s="7">
        <f t="shared" si="15"/>
        <v>2</v>
      </c>
      <c r="G369" s="7">
        <f t="shared" si="16"/>
        <v>2</v>
      </c>
      <c r="H369" s="7">
        <f t="shared" si="17"/>
        <v>7</v>
      </c>
      <c r="I369" s="7">
        <f t="shared" si="18"/>
        <v>-5</v>
      </c>
      <c r="J369" s="7">
        <f t="shared" si="19"/>
        <v>3</v>
      </c>
      <c r="K369" s="7" t="str">
        <f t="shared" si="20"/>
        <v>2018|-5</v>
      </c>
    </row>
    <row r="370" spans="1:11" ht="15" customHeight="1">
      <c r="A370" s="7">
        <v>2018</v>
      </c>
      <c r="B370" s="7" t="s">
        <v>222</v>
      </c>
      <c r="C370" s="7">
        <f t="shared" si="12"/>
        <v>3</v>
      </c>
      <c r="D370" s="7">
        <f t="shared" si="13"/>
        <v>1</v>
      </c>
      <c r="E370" s="7">
        <f t="shared" si="14"/>
        <v>1</v>
      </c>
      <c r="F370" s="7">
        <f t="shared" si="15"/>
        <v>1</v>
      </c>
      <c r="G370" s="7">
        <f t="shared" si="16"/>
        <v>4</v>
      </c>
      <c r="H370" s="7">
        <f t="shared" si="17"/>
        <v>4</v>
      </c>
      <c r="I370" s="7">
        <f t="shared" si="18"/>
        <v>0</v>
      </c>
      <c r="J370" s="7">
        <f t="shared" si="19"/>
        <v>4</v>
      </c>
      <c r="K370" s="7" t="str">
        <f t="shared" si="20"/>
        <v>2018|0</v>
      </c>
    </row>
    <row r="371" spans="1:11" ht="15" customHeight="1">
      <c r="A371" s="7">
        <v>2018</v>
      </c>
      <c r="B371" s="7" t="s">
        <v>224</v>
      </c>
      <c r="C371" s="7">
        <f t="shared" si="12"/>
        <v>3</v>
      </c>
      <c r="D371" s="7">
        <f t="shared" si="13"/>
        <v>1</v>
      </c>
      <c r="E371" s="7">
        <f t="shared" si="14"/>
        <v>0</v>
      </c>
      <c r="F371" s="7">
        <f t="shared" si="15"/>
        <v>2</v>
      </c>
      <c r="G371" s="7">
        <f t="shared" si="16"/>
        <v>2</v>
      </c>
      <c r="H371" s="7">
        <f t="shared" si="17"/>
        <v>4</v>
      </c>
      <c r="I371" s="7">
        <f t="shared" si="18"/>
        <v>-2</v>
      </c>
      <c r="J371" s="7">
        <f t="shared" si="19"/>
        <v>3</v>
      </c>
      <c r="K371" s="7" t="str">
        <f t="shared" si="20"/>
        <v>2018|-2</v>
      </c>
    </row>
    <row r="372" spans="1:11" ht="15" customHeight="1">
      <c r="A372" s="7">
        <v>2018</v>
      </c>
      <c r="B372" s="7" t="s">
        <v>229</v>
      </c>
      <c r="C372" s="7">
        <f t="shared" si="12"/>
        <v>3</v>
      </c>
      <c r="D372" s="7">
        <f t="shared" si="13"/>
        <v>1</v>
      </c>
      <c r="E372" s="7">
        <f t="shared" si="14"/>
        <v>0</v>
      </c>
      <c r="F372" s="7">
        <f t="shared" si="15"/>
        <v>2</v>
      </c>
      <c r="G372" s="7">
        <f t="shared" si="16"/>
        <v>3</v>
      </c>
      <c r="H372" s="7">
        <f t="shared" si="17"/>
        <v>3</v>
      </c>
      <c r="I372" s="7">
        <f t="shared" si="18"/>
        <v>0</v>
      </c>
      <c r="J372" s="7">
        <f t="shared" si="19"/>
        <v>3</v>
      </c>
      <c r="K372" s="7" t="str">
        <f t="shared" si="20"/>
        <v>2018|0</v>
      </c>
    </row>
    <row r="373" spans="1:11" ht="15" customHeight="1">
      <c r="A373" s="7">
        <v>2018</v>
      </c>
      <c r="B373" s="7" t="s">
        <v>234</v>
      </c>
      <c r="C373" s="7">
        <f t="shared" si="12"/>
        <v>3</v>
      </c>
      <c r="D373" s="7">
        <f t="shared" si="13"/>
        <v>1</v>
      </c>
      <c r="E373" s="7">
        <f t="shared" si="14"/>
        <v>2</v>
      </c>
      <c r="F373" s="7">
        <f t="shared" si="15"/>
        <v>0</v>
      </c>
      <c r="G373" s="7">
        <f t="shared" si="16"/>
        <v>6</v>
      </c>
      <c r="H373" s="7">
        <f t="shared" si="17"/>
        <v>5</v>
      </c>
      <c r="I373" s="7">
        <f t="shared" si="18"/>
        <v>1</v>
      </c>
      <c r="J373" s="7">
        <f t="shared" si="19"/>
        <v>5</v>
      </c>
      <c r="K373" s="7" t="str">
        <f t="shared" si="20"/>
        <v>2018|1</v>
      </c>
    </row>
    <row r="374" spans="1:11" ht="15" customHeight="1">
      <c r="A374" s="7">
        <v>2018</v>
      </c>
      <c r="B374" s="7" t="s">
        <v>236</v>
      </c>
      <c r="C374" s="7">
        <f t="shared" si="12"/>
        <v>3</v>
      </c>
      <c r="D374" s="7">
        <f t="shared" si="13"/>
        <v>2</v>
      </c>
      <c r="E374" s="7">
        <f t="shared" si="14"/>
        <v>0</v>
      </c>
      <c r="F374" s="7">
        <f t="shared" si="15"/>
        <v>1</v>
      </c>
      <c r="G374" s="7">
        <f t="shared" si="16"/>
        <v>5</v>
      </c>
      <c r="H374" s="7">
        <f t="shared" si="17"/>
        <v>2</v>
      </c>
      <c r="I374" s="7">
        <f t="shared" si="18"/>
        <v>3</v>
      </c>
      <c r="J374" s="7">
        <f t="shared" si="19"/>
        <v>6</v>
      </c>
      <c r="K374" s="7" t="str">
        <f t="shared" si="20"/>
        <v>2018|3</v>
      </c>
    </row>
    <row r="375" spans="1:11" ht="15" customHeight="1">
      <c r="A375" s="7">
        <v>2018</v>
      </c>
      <c r="B375" s="7" t="s">
        <v>239</v>
      </c>
      <c r="C375" s="7">
        <f t="shared" si="12"/>
        <v>3</v>
      </c>
      <c r="D375" s="7">
        <f t="shared" si="13"/>
        <v>1</v>
      </c>
      <c r="E375" s="7">
        <f t="shared" si="14"/>
        <v>2</v>
      </c>
      <c r="F375" s="7">
        <f t="shared" si="15"/>
        <v>0</v>
      </c>
      <c r="G375" s="7">
        <f t="shared" si="16"/>
        <v>5</v>
      </c>
      <c r="H375" s="7">
        <f t="shared" si="17"/>
        <v>4</v>
      </c>
      <c r="I375" s="7">
        <f t="shared" si="18"/>
        <v>1</v>
      </c>
      <c r="J375" s="7">
        <f t="shared" si="19"/>
        <v>5</v>
      </c>
      <c r="K375" s="7" t="str">
        <f t="shared" si="20"/>
        <v>2018|1</v>
      </c>
    </row>
    <row r="376" spans="1:11" ht="15" customHeight="1">
      <c r="A376" s="7">
        <v>2018</v>
      </c>
      <c r="B376" s="7" t="s">
        <v>241</v>
      </c>
      <c r="C376" s="7">
        <f t="shared" si="12"/>
        <v>3</v>
      </c>
      <c r="D376" s="7">
        <f t="shared" si="13"/>
        <v>1</v>
      </c>
      <c r="E376" s="7">
        <f t="shared" si="14"/>
        <v>0</v>
      </c>
      <c r="F376" s="7">
        <f t="shared" si="15"/>
        <v>2</v>
      </c>
      <c r="G376" s="7">
        <f t="shared" si="16"/>
        <v>5</v>
      </c>
      <c r="H376" s="7">
        <f t="shared" si="17"/>
        <v>8</v>
      </c>
      <c r="I376" s="7">
        <f t="shared" si="18"/>
        <v>-3</v>
      </c>
      <c r="J376" s="7">
        <f t="shared" si="19"/>
        <v>3</v>
      </c>
      <c r="K376" s="7" t="str">
        <f t="shared" si="20"/>
        <v>2018|-3</v>
      </c>
    </row>
    <row r="377" spans="1:11" ht="15" customHeight="1">
      <c r="A377" s="7">
        <v>2018</v>
      </c>
      <c r="B377" s="7" t="s">
        <v>252</v>
      </c>
      <c r="C377" s="7">
        <f t="shared" si="12"/>
        <v>3</v>
      </c>
      <c r="D377" s="7">
        <f t="shared" si="13"/>
        <v>3</v>
      </c>
      <c r="E377" s="7">
        <f t="shared" si="14"/>
        <v>0</v>
      </c>
      <c r="F377" s="7">
        <f t="shared" si="15"/>
        <v>0</v>
      </c>
      <c r="G377" s="7">
        <f t="shared" si="16"/>
        <v>5</v>
      </c>
      <c r="H377" s="7">
        <f t="shared" si="17"/>
        <v>0</v>
      </c>
      <c r="I377" s="7">
        <f t="shared" si="18"/>
        <v>5</v>
      </c>
      <c r="J377" s="7">
        <f t="shared" si="19"/>
        <v>9</v>
      </c>
      <c r="K377" s="7" t="str">
        <f t="shared" si="20"/>
        <v>2018|5</v>
      </c>
    </row>
    <row r="378" spans="1:11" ht="15" customHeight="1">
      <c r="A378" s="7">
        <v>2022</v>
      </c>
      <c r="B378" s="7" t="s">
        <v>112</v>
      </c>
      <c r="C378" s="7">
        <f t="shared" ref="C378:C409" si="21">COUNTIFS($A$6:$A$341,$A378,$B$6:$B$341,$B378)</f>
        <v>3</v>
      </c>
      <c r="D378" s="7">
        <f t="shared" ref="D378:D409" si="22">COUNTIFS($A$6:$A$341,$A378,$B$6:$B$341,$B378,$H$6:$H$341,"Gana")</f>
        <v>2</v>
      </c>
      <c r="E378" s="7">
        <f t="shared" ref="E378:E409" si="23">COUNTIFS($A$6:$A$341,$A378,$B$6:$B$341,$B378,$H$6:$H$341,"Empata")</f>
        <v>0</v>
      </c>
      <c r="F378" s="7">
        <f t="shared" ref="F378:F409" si="24">COUNTIFS($A$6:$A$341,$A378,$B$6:$B$341,$B378,$H$6:$H$341,"Pierde")</f>
        <v>1</v>
      </c>
      <c r="G378" s="7">
        <f t="shared" ref="G378:G409" si="25">SUMIFS($E$6:$E$341,$A$6:$A$341,$A378,$B$6:$B$341,$B378)</f>
        <v>5</v>
      </c>
      <c r="H378" s="7">
        <f t="shared" ref="H378:H409" si="26">SUMIFS($F$6:$F$341,$A$6:$A$341,$A378,$B$6:$B$341,$B378)</f>
        <v>2</v>
      </c>
      <c r="I378" s="7">
        <f t="shared" ref="I378:I409" si="27">G378-H378</f>
        <v>3</v>
      </c>
      <c r="J378" s="7">
        <f t="shared" ref="J378:J409" si="28">SUMIFS($I$6:$I$341,$A$6:$A$341,$A378,$B$6:$B$341,$B378)</f>
        <v>6</v>
      </c>
      <c r="K378" s="7" t="str">
        <f t="shared" ref="K378:K409" si="29">$A378&amp;"|"&amp;$I378</f>
        <v>2022|3</v>
      </c>
    </row>
    <row r="379" spans="1:11" ht="15" customHeight="1">
      <c r="A379" s="7">
        <v>2022</v>
      </c>
      <c r="B379" s="7" t="s">
        <v>114</v>
      </c>
      <c r="C379" s="7">
        <f t="shared" si="21"/>
        <v>3</v>
      </c>
      <c r="D379" s="7">
        <f t="shared" si="22"/>
        <v>2</v>
      </c>
      <c r="E379" s="7">
        <f t="shared" si="23"/>
        <v>0</v>
      </c>
      <c r="F379" s="7">
        <f t="shared" si="24"/>
        <v>1</v>
      </c>
      <c r="G379" s="7">
        <f t="shared" si="25"/>
        <v>3</v>
      </c>
      <c r="H379" s="7">
        <f t="shared" si="26"/>
        <v>4</v>
      </c>
      <c r="I379" s="7">
        <f t="shared" si="27"/>
        <v>-1</v>
      </c>
      <c r="J379" s="7">
        <f t="shared" si="28"/>
        <v>6</v>
      </c>
      <c r="K379" s="7" t="str">
        <f t="shared" si="29"/>
        <v>2022|-1</v>
      </c>
    </row>
    <row r="380" spans="1:11" ht="15" customHeight="1">
      <c r="A380" s="7">
        <v>2022</v>
      </c>
      <c r="B380" s="7" t="s">
        <v>118</v>
      </c>
      <c r="C380" s="7">
        <f t="shared" si="21"/>
        <v>3</v>
      </c>
      <c r="D380" s="7">
        <f t="shared" si="22"/>
        <v>1</v>
      </c>
      <c r="E380" s="7">
        <f t="shared" si="23"/>
        <v>1</v>
      </c>
      <c r="F380" s="7">
        <f t="shared" si="24"/>
        <v>1</v>
      </c>
      <c r="G380" s="7">
        <f t="shared" si="25"/>
        <v>1</v>
      </c>
      <c r="H380" s="7">
        <f t="shared" si="26"/>
        <v>2</v>
      </c>
      <c r="I380" s="7">
        <f t="shared" si="27"/>
        <v>-1</v>
      </c>
      <c r="J380" s="7">
        <f t="shared" si="28"/>
        <v>4</v>
      </c>
      <c r="K380" s="7" t="str">
        <f t="shared" si="29"/>
        <v>2022|-1</v>
      </c>
    </row>
    <row r="381" spans="1:11" ht="15" customHeight="1">
      <c r="A381" s="7">
        <v>2022</v>
      </c>
      <c r="B381" s="7" t="s">
        <v>126</v>
      </c>
      <c r="C381" s="7">
        <f t="shared" si="21"/>
        <v>3</v>
      </c>
      <c r="D381" s="7">
        <f t="shared" si="22"/>
        <v>2</v>
      </c>
      <c r="E381" s="7">
        <f t="shared" si="23"/>
        <v>0</v>
      </c>
      <c r="F381" s="7">
        <f t="shared" si="24"/>
        <v>1</v>
      </c>
      <c r="G381" s="7">
        <f t="shared" si="25"/>
        <v>3</v>
      </c>
      <c r="H381" s="7">
        <f t="shared" si="26"/>
        <v>1</v>
      </c>
      <c r="I381" s="7">
        <f t="shared" si="27"/>
        <v>2</v>
      </c>
      <c r="J381" s="7">
        <f t="shared" si="28"/>
        <v>6</v>
      </c>
      <c r="K381" s="7" t="str">
        <f t="shared" si="29"/>
        <v>2022|2</v>
      </c>
    </row>
    <row r="382" spans="1:11" ht="15" customHeight="1">
      <c r="A382" s="7">
        <v>2022</v>
      </c>
      <c r="B382" s="7" t="s">
        <v>128</v>
      </c>
      <c r="C382" s="7">
        <f t="shared" si="21"/>
        <v>3</v>
      </c>
      <c r="D382" s="7">
        <f t="shared" si="22"/>
        <v>1</v>
      </c>
      <c r="E382" s="7">
        <f t="shared" si="23"/>
        <v>1</v>
      </c>
      <c r="F382" s="7">
        <f t="shared" si="24"/>
        <v>1</v>
      </c>
      <c r="G382" s="7">
        <f t="shared" si="25"/>
        <v>4</v>
      </c>
      <c r="H382" s="7">
        <f t="shared" si="26"/>
        <v>4</v>
      </c>
      <c r="I382" s="7">
        <f t="shared" si="27"/>
        <v>0</v>
      </c>
      <c r="J382" s="7">
        <f t="shared" si="28"/>
        <v>4</v>
      </c>
      <c r="K382" s="7" t="str">
        <f t="shared" si="29"/>
        <v>2022|0</v>
      </c>
    </row>
    <row r="383" spans="1:11" ht="15" customHeight="1">
      <c r="A383" s="7">
        <v>2022</v>
      </c>
      <c r="B383" s="7" t="s">
        <v>130</v>
      </c>
      <c r="C383" s="7">
        <f t="shared" si="21"/>
        <v>3</v>
      </c>
      <c r="D383" s="7">
        <f t="shared" si="22"/>
        <v>0</v>
      </c>
      <c r="E383" s="7">
        <f t="shared" si="23"/>
        <v>0</v>
      </c>
      <c r="F383" s="7">
        <f t="shared" si="24"/>
        <v>3</v>
      </c>
      <c r="G383" s="7">
        <f t="shared" si="25"/>
        <v>2</v>
      </c>
      <c r="H383" s="7">
        <f t="shared" si="26"/>
        <v>7</v>
      </c>
      <c r="I383" s="7">
        <f t="shared" si="27"/>
        <v>-5</v>
      </c>
      <c r="J383" s="7">
        <f t="shared" si="28"/>
        <v>0</v>
      </c>
      <c r="K383" s="7" t="str">
        <f t="shared" si="29"/>
        <v>2022|-5</v>
      </c>
    </row>
    <row r="384" spans="1:11" ht="15" customHeight="1">
      <c r="A384" s="7">
        <v>2022</v>
      </c>
      <c r="B384" s="7" t="s">
        <v>138</v>
      </c>
      <c r="C384" s="7">
        <f t="shared" si="21"/>
        <v>3</v>
      </c>
      <c r="D384" s="7">
        <f t="shared" si="22"/>
        <v>1</v>
      </c>
      <c r="E384" s="7">
        <f t="shared" si="23"/>
        <v>0</v>
      </c>
      <c r="F384" s="7">
        <f t="shared" si="24"/>
        <v>2</v>
      </c>
      <c r="G384" s="7">
        <f t="shared" si="25"/>
        <v>3</v>
      </c>
      <c r="H384" s="7">
        <f t="shared" si="26"/>
        <v>11</v>
      </c>
      <c r="I384" s="7">
        <f t="shared" si="27"/>
        <v>-8</v>
      </c>
      <c r="J384" s="7">
        <f t="shared" si="28"/>
        <v>3</v>
      </c>
      <c r="K384" s="7" t="str">
        <f t="shared" si="29"/>
        <v>2022|-8</v>
      </c>
    </row>
    <row r="385" spans="1:11" ht="15" customHeight="1">
      <c r="A385" s="7">
        <v>2022</v>
      </c>
      <c r="B385" s="7" t="s">
        <v>140</v>
      </c>
      <c r="C385" s="7">
        <f t="shared" si="21"/>
        <v>3</v>
      </c>
      <c r="D385" s="7">
        <f t="shared" si="22"/>
        <v>1</v>
      </c>
      <c r="E385" s="7">
        <f t="shared" si="23"/>
        <v>2</v>
      </c>
      <c r="F385" s="7">
        <f t="shared" si="24"/>
        <v>0</v>
      </c>
      <c r="G385" s="7">
        <f t="shared" si="25"/>
        <v>4</v>
      </c>
      <c r="H385" s="7">
        <f t="shared" si="26"/>
        <v>1</v>
      </c>
      <c r="I385" s="7">
        <f t="shared" si="27"/>
        <v>3</v>
      </c>
      <c r="J385" s="7">
        <f t="shared" si="28"/>
        <v>5</v>
      </c>
      <c r="K385" s="7" t="str">
        <f t="shared" si="29"/>
        <v>2022|3</v>
      </c>
    </row>
    <row r="386" spans="1:11" ht="15" customHeight="1">
      <c r="A386" s="7">
        <v>2022</v>
      </c>
      <c r="B386" s="7" t="s">
        <v>155</v>
      </c>
      <c r="C386" s="7">
        <f t="shared" si="21"/>
        <v>3</v>
      </c>
      <c r="D386" s="7">
        <f t="shared" si="22"/>
        <v>0</v>
      </c>
      <c r="E386" s="7">
        <f t="shared" si="23"/>
        <v>1</v>
      </c>
      <c r="F386" s="7">
        <f t="shared" si="24"/>
        <v>2</v>
      </c>
      <c r="G386" s="7">
        <f t="shared" si="25"/>
        <v>1</v>
      </c>
      <c r="H386" s="7">
        <f t="shared" si="26"/>
        <v>3</v>
      </c>
      <c r="I386" s="7">
        <f t="shared" si="27"/>
        <v>-2</v>
      </c>
      <c r="J386" s="7">
        <f t="shared" si="28"/>
        <v>1</v>
      </c>
      <c r="K386" s="7" t="str">
        <f t="shared" si="29"/>
        <v>2022|-2</v>
      </c>
    </row>
    <row r="387" spans="1:11" ht="15" customHeight="1">
      <c r="A387" s="7">
        <v>2022</v>
      </c>
      <c r="B387" s="7" t="s">
        <v>157</v>
      </c>
      <c r="C387" s="7">
        <f t="shared" si="21"/>
        <v>3</v>
      </c>
      <c r="D387" s="7">
        <f t="shared" si="22"/>
        <v>1</v>
      </c>
      <c r="E387" s="7">
        <f t="shared" si="23"/>
        <v>1</v>
      </c>
      <c r="F387" s="7">
        <f t="shared" si="24"/>
        <v>1</v>
      </c>
      <c r="G387" s="7">
        <f t="shared" si="25"/>
        <v>4</v>
      </c>
      <c r="H387" s="7">
        <f t="shared" si="26"/>
        <v>3</v>
      </c>
      <c r="I387" s="7">
        <f t="shared" si="27"/>
        <v>1</v>
      </c>
      <c r="J387" s="7">
        <f t="shared" si="28"/>
        <v>4</v>
      </c>
      <c r="K387" s="7" t="str">
        <f t="shared" si="29"/>
        <v>2022|1</v>
      </c>
    </row>
    <row r="388" spans="1:11" ht="15" customHeight="1">
      <c r="A388" s="7">
        <v>2022</v>
      </c>
      <c r="B388" s="7" t="s">
        <v>161</v>
      </c>
      <c r="C388" s="7">
        <f t="shared" si="21"/>
        <v>3</v>
      </c>
      <c r="D388" s="7">
        <f t="shared" si="22"/>
        <v>2</v>
      </c>
      <c r="E388" s="7">
        <f t="shared" si="23"/>
        <v>1</v>
      </c>
      <c r="F388" s="7">
        <f t="shared" si="24"/>
        <v>0</v>
      </c>
      <c r="G388" s="7">
        <f t="shared" si="25"/>
        <v>9</v>
      </c>
      <c r="H388" s="7">
        <f t="shared" si="26"/>
        <v>2</v>
      </c>
      <c r="I388" s="7">
        <f t="shared" si="27"/>
        <v>7</v>
      </c>
      <c r="J388" s="7">
        <f t="shared" si="28"/>
        <v>7</v>
      </c>
      <c r="K388" s="7" t="str">
        <f t="shared" si="29"/>
        <v>2022|7</v>
      </c>
    </row>
    <row r="389" spans="1:11" ht="15" customHeight="1">
      <c r="A389" s="7">
        <v>2022</v>
      </c>
      <c r="B389" s="7" t="s">
        <v>163</v>
      </c>
      <c r="C389" s="7">
        <f t="shared" si="21"/>
        <v>3</v>
      </c>
      <c r="D389" s="7">
        <f t="shared" si="22"/>
        <v>2</v>
      </c>
      <c r="E389" s="7">
        <f t="shared" si="23"/>
        <v>0</v>
      </c>
      <c r="F389" s="7">
        <f t="shared" si="24"/>
        <v>1</v>
      </c>
      <c r="G389" s="7">
        <f t="shared" si="25"/>
        <v>6</v>
      </c>
      <c r="H389" s="7">
        <f t="shared" si="26"/>
        <v>3</v>
      </c>
      <c r="I389" s="7">
        <f t="shared" si="27"/>
        <v>3</v>
      </c>
      <c r="J389" s="7">
        <f t="shared" si="28"/>
        <v>6</v>
      </c>
      <c r="K389" s="7" t="str">
        <f t="shared" si="29"/>
        <v>2022|3</v>
      </c>
    </row>
    <row r="390" spans="1:11" ht="15" customHeight="1">
      <c r="A390" s="7">
        <v>2022</v>
      </c>
      <c r="B390" s="7" t="s">
        <v>166</v>
      </c>
      <c r="C390" s="7">
        <f t="shared" si="21"/>
        <v>3</v>
      </c>
      <c r="D390" s="7">
        <f t="shared" si="22"/>
        <v>1</v>
      </c>
      <c r="E390" s="7">
        <f t="shared" si="23"/>
        <v>1</v>
      </c>
      <c r="F390" s="7">
        <f t="shared" si="24"/>
        <v>1</v>
      </c>
      <c r="G390" s="7">
        <f t="shared" si="25"/>
        <v>6</v>
      </c>
      <c r="H390" s="7">
        <f t="shared" si="26"/>
        <v>5</v>
      </c>
      <c r="I390" s="7">
        <f t="shared" si="27"/>
        <v>1</v>
      </c>
      <c r="J390" s="7">
        <f t="shared" si="28"/>
        <v>4</v>
      </c>
      <c r="K390" s="7" t="str">
        <f t="shared" si="29"/>
        <v>2022|1</v>
      </c>
    </row>
    <row r="391" spans="1:11" ht="15" customHeight="1">
      <c r="A391" s="7">
        <v>2022</v>
      </c>
      <c r="B391" s="7" t="s">
        <v>168</v>
      </c>
      <c r="C391" s="7">
        <f t="shared" si="21"/>
        <v>3</v>
      </c>
      <c r="D391" s="7">
        <f t="shared" si="22"/>
        <v>1</v>
      </c>
      <c r="E391" s="7">
        <f t="shared" si="23"/>
        <v>0</v>
      </c>
      <c r="F391" s="7">
        <f t="shared" si="24"/>
        <v>2</v>
      </c>
      <c r="G391" s="7">
        <f t="shared" si="25"/>
        <v>5</v>
      </c>
      <c r="H391" s="7">
        <f t="shared" si="26"/>
        <v>7</v>
      </c>
      <c r="I391" s="7">
        <f t="shared" si="27"/>
        <v>-2</v>
      </c>
      <c r="J391" s="7">
        <f t="shared" si="28"/>
        <v>3</v>
      </c>
      <c r="K391" s="7" t="str">
        <f t="shared" si="29"/>
        <v>2022|-2</v>
      </c>
    </row>
    <row r="392" spans="1:11" ht="15" customHeight="1">
      <c r="A392" s="7">
        <v>2022</v>
      </c>
      <c r="B392" s="7" t="s">
        <v>175</v>
      </c>
      <c r="C392" s="7">
        <f t="shared" si="21"/>
        <v>3</v>
      </c>
      <c r="D392" s="7">
        <f t="shared" si="22"/>
        <v>1</v>
      </c>
      <c r="E392" s="7">
        <f t="shared" si="23"/>
        <v>0</v>
      </c>
      <c r="F392" s="7">
        <f t="shared" si="24"/>
        <v>2</v>
      </c>
      <c r="G392" s="7">
        <f t="shared" si="25"/>
        <v>4</v>
      </c>
      <c r="H392" s="7">
        <f t="shared" si="26"/>
        <v>7</v>
      </c>
      <c r="I392" s="7">
        <f t="shared" si="27"/>
        <v>-3</v>
      </c>
      <c r="J392" s="7">
        <f t="shared" si="28"/>
        <v>3</v>
      </c>
      <c r="K392" s="7" t="str">
        <f t="shared" si="29"/>
        <v>2022|-3</v>
      </c>
    </row>
    <row r="393" spans="1:11" ht="15" customHeight="1">
      <c r="A393" s="7">
        <v>2022</v>
      </c>
      <c r="B393" s="7" t="s">
        <v>185</v>
      </c>
      <c r="C393" s="7">
        <f t="shared" si="21"/>
        <v>3</v>
      </c>
      <c r="D393" s="7">
        <f t="shared" si="22"/>
        <v>2</v>
      </c>
      <c r="E393" s="7">
        <f t="shared" si="23"/>
        <v>0</v>
      </c>
      <c r="F393" s="7">
        <f t="shared" si="24"/>
        <v>1</v>
      </c>
      <c r="G393" s="7">
        <f t="shared" si="25"/>
        <v>4</v>
      </c>
      <c r="H393" s="7">
        <f t="shared" si="26"/>
        <v>3</v>
      </c>
      <c r="I393" s="7">
        <f t="shared" si="27"/>
        <v>1</v>
      </c>
      <c r="J393" s="7">
        <f t="shared" si="28"/>
        <v>6</v>
      </c>
      <c r="K393" s="7" t="str">
        <f t="shared" si="29"/>
        <v>2022|1</v>
      </c>
    </row>
    <row r="394" spans="1:11" ht="15" customHeight="1">
      <c r="A394" s="7">
        <v>2022</v>
      </c>
      <c r="B394" s="7" t="s">
        <v>188</v>
      </c>
      <c r="C394" s="7">
        <f t="shared" si="21"/>
        <v>3</v>
      </c>
      <c r="D394" s="7">
        <f t="shared" si="22"/>
        <v>1</v>
      </c>
      <c r="E394" s="7">
        <f t="shared" si="23"/>
        <v>1</v>
      </c>
      <c r="F394" s="7">
        <f t="shared" si="24"/>
        <v>1</v>
      </c>
      <c r="G394" s="7">
        <f t="shared" si="25"/>
        <v>2</v>
      </c>
      <c r="H394" s="7">
        <f t="shared" si="26"/>
        <v>3</v>
      </c>
      <c r="I394" s="7">
        <f t="shared" si="27"/>
        <v>-1</v>
      </c>
      <c r="J394" s="7">
        <f t="shared" si="28"/>
        <v>4</v>
      </c>
      <c r="K394" s="7" t="str">
        <f t="shared" si="29"/>
        <v>2022|-1</v>
      </c>
    </row>
    <row r="395" spans="1:11" ht="15" customHeight="1">
      <c r="A395" s="7">
        <v>2022</v>
      </c>
      <c r="B395" s="7" t="s">
        <v>191</v>
      </c>
      <c r="C395" s="7">
        <f t="shared" si="21"/>
        <v>3</v>
      </c>
      <c r="D395" s="7">
        <f t="shared" si="22"/>
        <v>2</v>
      </c>
      <c r="E395" s="7">
        <f t="shared" si="23"/>
        <v>1</v>
      </c>
      <c r="F395" s="7">
        <f t="shared" si="24"/>
        <v>0</v>
      </c>
      <c r="G395" s="7">
        <f t="shared" si="25"/>
        <v>4</v>
      </c>
      <c r="H395" s="7">
        <f t="shared" si="26"/>
        <v>1</v>
      </c>
      <c r="I395" s="7">
        <f t="shared" si="27"/>
        <v>3</v>
      </c>
      <c r="J395" s="7">
        <f t="shared" si="28"/>
        <v>7</v>
      </c>
      <c r="K395" s="7" t="str">
        <f t="shared" si="29"/>
        <v>2022|3</v>
      </c>
    </row>
    <row r="396" spans="1:11" ht="15" customHeight="1">
      <c r="A396" s="7">
        <v>2022</v>
      </c>
      <c r="B396" s="7" t="s">
        <v>194</v>
      </c>
      <c r="C396" s="7">
        <f t="shared" si="21"/>
        <v>3</v>
      </c>
      <c r="D396" s="7">
        <f t="shared" si="22"/>
        <v>2</v>
      </c>
      <c r="E396" s="7">
        <f t="shared" si="23"/>
        <v>1</v>
      </c>
      <c r="F396" s="7">
        <f t="shared" si="24"/>
        <v>0</v>
      </c>
      <c r="G396" s="7">
        <f t="shared" si="25"/>
        <v>5</v>
      </c>
      <c r="H396" s="7">
        <f t="shared" si="26"/>
        <v>1</v>
      </c>
      <c r="I396" s="7">
        <f t="shared" si="27"/>
        <v>4</v>
      </c>
      <c r="J396" s="7">
        <f t="shared" si="28"/>
        <v>7</v>
      </c>
      <c r="K396" s="7" t="str">
        <f t="shared" si="29"/>
        <v>2022|4</v>
      </c>
    </row>
    <row r="397" spans="1:11" ht="15" customHeight="1">
      <c r="A397" s="7">
        <v>2022</v>
      </c>
      <c r="B397" s="7" t="s">
        <v>210</v>
      </c>
      <c r="C397" s="7">
        <f t="shared" si="21"/>
        <v>3</v>
      </c>
      <c r="D397" s="7">
        <f t="shared" si="22"/>
        <v>1</v>
      </c>
      <c r="E397" s="7">
        <f t="shared" si="23"/>
        <v>1</v>
      </c>
      <c r="F397" s="7">
        <f t="shared" si="24"/>
        <v>1</v>
      </c>
      <c r="G397" s="7">
        <f t="shared" si="25"/>
        <v>2</v>
      </c>
      <c r="H397" s="7">
        <f t="shared" si="26"/>
        <v>2</v>
      </c>
      <c r="I397" s="7">
        <f t="shared" si="27"/>
        <v>0</v>
      </c>
      <c r="J397" s="7">
        <f t="shared" si="28"/>
        <v>4</v>
      </c>
      <c r="K397" s="7" t="str">
        <f t="shared" si="29"/>
        <v>2022|0</v>
      </c>
    </row>
    <row r="398" spans="1:11" ht="15" customHeight="1">
      <c r="A398" s="7">
        <v>2022</v>
      </c>
      <c r="B398" s="7" t="s">
        <v>212</v>
      </c>
      <c r="C398" s="7">
        <f t="shared" si="21"/>
        <v>3</v>
      </c>
      <c r="D398" s="7">
        <f t="shared" si="22"/>
        <v>2</v>
      </c>
      <c r="E398" s="7">
        <f t="shared" si="23"/>
        <v>0</v>
      </c>
      <c r="F398" s="7">
        <f t="shared" si="24"/>
        <v>1</v>
      </c>
      <c r="G398" s="7">
        <f t="shared" si="25"/>
        <v>6</v>
      </c>
      <c r="H398" s="7">
        <f t="shared" si="26"/>
        <v>4</v>
      </c>
      <c r="I398" s="7">
        <f t="shared" si="27"/>
        <v>2</v>
      </c>
      <c r="J398" s="7">
        <f t="shared" si="28"/>
        <v>6</v>
      </c>
      <c r="K398" s="7" t="str">
        <f t="shared" si="29"/>
        <v>2022|2</v>
      </c>
    </row>
    <row r="399" spans="1:11" ht="15" customHeight="1">
      <c r="A399" s="7">
        <v>2022</v>
      </c>
      <c r="B399" s="7" t="s">
        <v>214</v>
      </c>
      <c r="C399" s="7">
        <f t="shared" si="21"/>
        <v>3</v>
      </c>
      <c r="D399" s="7">
        <f t="shared" si="22"/>
        <v>0</v>
      </c>
      <c r="E399" s="7">
        <f t="shared" si="23"/>
        <v>0</v>
      </c>
      <c r="F399" s="7">
        <f t="shared" si="24"/>
        <v>3</v>
      </c>
      <c r="G399" s="7">
        <f t="shared" si="25"/>
        <v>1</v>
      </c>
      <c r="H399" s="7">
        <f t="shared" si="26"/>
        <v>7</v>
      </c>
      <c r="I399" s="7">
        <f t="shared" si="27"/>
        <v>-6</v>
      </c>
      <c r="J399" s="7">
        <f t="shared" si="28"/>
        <v>0</v>
      </c>
      <c r="K399" s="7" t="str">
        <f t="shared" si="29"/>
        <v>2022|-6</v>
      </c>
    </row>
    <row r="400" spans="1:11" ht="15" customHeight="1">
      <c r="A400" s="7">
        <v>2022</v>
      </c>
      <c r="B400" s="7" t="s">
        <v>76</v>
      </c>
      <c r="C400" s="7">
        <f t="shared" si="21"/>
        <v>3</v>
      </c>
      <c r="D400" s="7">
        <f t="shared" si="22"/>
        <v>1</v>
      </c>
      <c r="E400" s="7">
        <f t="shared" si="23"/>
        <v>0</v>
      </c>
      <c r="F400" s="7">
        <f t="shared" si="24"/>
        <v>2</v>
      </c>
      <c r="G400" s="7">
        <f t="shared" si="25"/>
        <v>3</v>
      </c>
      <c r="H400" s="7">
        <f t="shared" si="26"/>
        <v>5</v>
      </c>
      <c r="I400" s="7">
        <f t="shared" si="27"/>
        <v>-2</v>
      </c>
      <c r="J400" s="7">
        <f t="shared" si="28"/>
        <v>3</v>
      </c>
      <c r="K400" s="7" t="str">
        <f t="shared" si="29"/>
        <v>2022|-2</v>
      </c>
    </row>
    <row r="401" spans="1:11" ht="15" customHeight="1">
      <c r="A401" s="7">
        <v>2022</v>
      </c>
      <c r="B401" s="7" t="s">
        <v>222</v>
      </c>
      <c r="C401" s="7">
        <f t="shared" si="21"/>
        <v>3</v>
      </c>
      <c r="D401" s="7">
        <f t="shared" si="22"/>
        <v>2</v>
      </c>
      <c r="E401" s="7">
        <f t="shared" si="23"/>
        <v>0</v>
      </c>
      <c r="F401" s="7">
        <f t="shared" si="24"/>
        <v>1</v>
      </c>
      <c r="G401" s="7">
        <f t="shared" si="25"/>
        <v>5</v>
      </c>
      <c r="H401" s="7">
        <f t="shared" si="26"/>
        <v>4</v>
      </c>
      <c r="I401" s="7">
        <f t="shared" si="27"/>
        <v>1</v>
      </c>
      <c r="J401" s="7">
        <f t="shared" si="28"/>
        <v>6</v>
      </c>
      <c r="K401" s="7" t="str">
        <f t="shared" si="29"/>
        <v>2022|1</v>
      </c>
    </row>
    <row r="402" spans="1:11" ht="15" customHeight="1">
      <c r="A402" s="7">
        <v>2022</v>
      </c>
      <c r="B402" s="7" t="s">
        <v>224</v>
      </c>
      <c r="C402" s="7">
        <f t="shared" si="21"/>
        <v>3</v>
      </c>
      <c r="D402" s="7">
        <f t="shared" si="22"/>
        <v>0</v>
      </c>
      <c r="E402" s="7">
        <f t="shared" si="23"/>
        <v>1</v>
      </c>
      <c r="F402" s="7">
        <f t="shared" si="24"/>
        <v>2</v>
      </c>
      <c r="G402" s="7">
        <f t="shared" si="25"/>
        <v>5</v>
      </c>
      <c r="H402" s="7">
        <f t="shared" si="26"/>
        <v>8</v>
      </c>
      <c r="I402" s="7">
        <f t="shared" si="27"/>
        <v>-3</v>
      </c>
      <c r="J402" s="7">
        <f t="shared" si="28"/>
        <v>1</v>
      </c>
      <c r="K402" s="7" t="str">
        <f t="shared" si="29"/>
        <v>2022|-3</v>
      </c>
    </row>
    <row r="403" spans="1:11" ht="15" customHeight="1">
      <c r="A403" s="7">
        <v>2022</v>
      </c>
      <c r="B403" s="7" t="s">
        <v>229</v>
      </c>
      <c r="C403" s="7">
        <f t="shared" si="21"/>
        <v>3</v>
      </c>
      <c r="D403" s="7">
        <f t="shared" si="22"/>
        <v>1</v>
      </c>
      <c r="E403" s="7">
        <f t="shared" si="23"/>
        <v>1</v>
      </c>
      <c r="F403" s="7">
        <f t="shared" si="24"/>
        <v>1</v>
      </c>
      <c r="G403" s="7">
        <f t="shared" si="25"/>
        <v>4</v>
      </c>
      <c r="H403" s="7">
        <f t="shared" si="26"/>
        <v>4</v>
      </c>
      <c r="I403" s="7">
        <f t="shared" si="27"/>
        <v>0</v>
      </c>
      <c r="J403" s="7">
        <f t="shared" si="28"/>
        <v>4</v>
      </c>
      <c r="K403" s="7" t="str">
        <f t="shared" si="29"/>
        <v>2022|0</v>
      </c>
    </row>
    <row r="404" spans="1:11" ht="15" customHeight="1">
      <c r="A404" s="7">
        <v>2022</v>
      </c>
      <c r="B404" s="7" t="s">
        <v>234</v>
      </c>
      <c r="C404" s="7">
        <f t="shared" si="21"/>
        <v>3</v>
      </c>
      <c r="D404" s="7">
        <f t="shared" si="22"/>
        <v>1</v>
      </c>
      <c r="E404" s="7">
        <f t="shared" si="23"/>
        <v>1</v>
      </c>
      <c r="F404" s="7">
        <f t="shared" si="24"/>
        <v>1</v>
      </c>
      <c r="G404" s="7">
        <f t="shared" si="25"/>
        <v>9</v>
      </c>
      <c r="H404" s="7">
        <f t="shared" si="26"/>
        <v>3</v>
      </c>
      <c r="I404" s="7">
        <f t="shared" si="27"/>
        <v>6</v>
      </c>
      <c r="J404" s="7">
        <f t="shared" si="28"/>
        <v>4</v>
      </c>
      <c r="K404" s="7" t="str">
        <f t="shared" si="29"/>
        <v>2022|6</v>
      </c>
    </row>
    <row r="405" spans="1:11" ht="15" customHeight="1">
      <c r="A405" s="7">
        <v>2022</v>
      </c>
      <c r="B405" s="7" t="s">
        <v>239</v>
      </c>
      <c r="C405" s="7">
        <f t="shared" si="21"/>
        <v>3</v>
      </c>
      <c r="D405" s="7">
        <f t="shared" si="22"/>
        <v>2</v>
      </c>
      <c r="E405" s="7">
        <f t="shared" si="23"/>
        <v>0</v>
      </c>
      <c r="F405" s="7">
        <f t="shared" si="24"/>
        <v>1</v>
      </c>
      <c r="G405" s="7">
        <f t="shared" si="25"/>
        <v>4</v>
      </c>
      <c r="H405" s="7">
        <f t="shared" si="26"/>
        <v>3</v>
      </c>
      <c r="I405" s="7">
        <f t="shared" si="27"/>
        <v>1</v>
      </c>
      <c r="J405" s="7">
        <f t="shared" si="28"/>
        <v>6</v>
      </c>
      <c r="K405" s="7" t="str">
        <f t="shared" si="29"/>
        <v>2022|1</v>
      </c>
    </row>
    <row r="406" spans="1:11" ht="15" customHeight="1">
      <c r="A406" s="7">
        <v>2022</v>
      </c>
      <c r="B406" s="7" t="s">
        <v>241</v>
      </c>
      <c r="C406" s="7">
        <f t="shared" si="21"/>
        <v>3</v>
      </c>
      <c r="D406" s="7">
        <f t="shared" si="22"/>
        <v>1</v>
      </c>
      <c r="E406" s="7">
        <f t="shared" si="23"/>
        <v>1</v>
      </c>
      <c r="F406" s="7">
        <f t="shared" si="24"/>
        <v>1</v>
      </c>
      <c r="G406" s="7">
        <f t="shared" si="25"/>
        <v>1</v>
      </c>
      <c r="H406" s="7">
        <f t="shared" si="26"/>
        <v>1</v>
      </c>
      <c r="I406" s="7">
        <f t="shared" si="27"/>
        <v>0</v>
      </c>
      <c r="J406" s="7">
        <f t="shared" si="28"/>
        <v>4</v>
      </c>
      <c r="K406" s="7" t="str">
        <f t="shared" si="29"/>
        <v>2022|0</v>
      </c>
    </row>
    <row r="407" spans="1:11" ht="15" customHeight="1">
      <c r="A407" s="7">
        <v>2022</v>
      </c>
      <c r="B407" s="7" t="s">
        <v>248</v>
      </c>
      <c r="C407" s="7">
        <f t="shared" si="21"/>
        <v>3</v>
      </c>
      <c r="D407" s="7">
        <f t="shared" si="22"/>
        <v>1</v>
      </c>
      <c r="E407" s="7">
        <f t="shared" si="23"/>
        <v>2</v>
      </c>
      <c r="F407" s="7">
        <f t="shared" si="24"/>
        <v>0</v>
      </c>
      <c r="G407" s="7">
        <f t="shared" si="25"/>
        <v>2</v>
      </c>
      <c r="H407" s="7">
        <f t="shared" si="26"/>
        <v>1</v>
      </c>
      <c r="I407" s="7">
        <f t="shared" si="27"/>
        <v>1</v>
      </c>
      <c r="J407" s="7">
        <f t="shared" si="28"/>
        <v>5</v>
      </c>
      <c r="K407" s="7" t="str">
        <f t="shared" si="29"/>
        <v>2022|1</v>
      </c>
    </row>
    <row r="408" spans="1:11" ht="15" customHeight="1">
      <c r="A408" s="7">
        <v>2022</v>
      </c>
      <c r="B408" s="7" t="s">
        <v>252</v>
      </c>
      <c r="C408" s="7">
        <f t="shared" si="21"/>
        <v>3</v>
      </c>
      <c r="D408" s="7">
        <f t="shared" si="22"/>
        <v>1</v>
      </c>
      <c r="E408" s="7">
        <f t="shared" si="23"/>
        <v>1</v>
      </c>
      <c r="F408" s="7">
        <f t="shared" si="24"/>
        <v>1</v>
      </c>
      <c r="G408" s="7">
        <f t="shared" si="25"/>
        <v>2</v>
      </c>
      <c r="H408" s="7">
        <f t="shared" si="26"/>
        <v>2</v>
      </c>
      <c r="I408" s="7">
        <f t="shared" si="27"/>
        <v>0</v>
      </c>
      <c r="J408" s="7">
        <f t="shared" si="28"/>
        <v>4</v>
      </c>
      <c r="K408" s="7" t="str">
        <f t="shared" si="29"/>
        <v>2022|0</v>
      </c>
    </row>
    <row r="409" spans="1:11" ht="15" customHeight="1">
      <c r="A409" s="7">
        <v>2022</v>
      </c>
      <c r="B409" s="7" t="s">
        <v>255</v>
      </c>
      <c r="C409" s="7">
        <f t="shared" si="21"/>
        <v>3</v>
      </c>
      <c r="D409" s="7">
        <f t="shared" si="22"/>
        <v>0</v>
      </c>
      <c r="E409" s="7">
        <f t="shared" si="23"/>
        <v>1</v>
      </c>
      <c r="F409" s="7">
        <f t="shared" si="24"/>
        <v>2</v>
      </c>
      <c r="G409" s="7">
        <f t="shared" si="25"/>
        <v>1</v>
      </c>
      <c r="H409" s="7">
        <f t="shared" si="26"/>
        <v>6</v>
      </c>
      <c r="I409" s="7">
        <f t="shared" si="27"/>
        <v>-5</v>
      </c>
      <c r="J409" s="7">
        <f t="shared" si="28"/>
        <v>1</v>
      </c>
      <c r="K409" s="7" t="str">
        <f t="shared" si="29"/>
        <v>2022|-5</v>
      </c>
    </row>
    <row r="410" spans="1:11" ht="15" customHeight="1">
      <c r="A410" s="7">
        <v>2026</v>
      </c>
      <c r="B410" s="7" t="s">
        <v>110</v>
      </c>
      <c r="C410" s="7">
        <f t="shared" ref="C410:C441" si="30">COUNTIFS($A$6:$A$341,$A410,$B$6:$B$341,$B410)</f>
        <v>3</v>
      </c>
      <c r="D410" s="7">
        <f t="shared" ref="D410:D441" si="31">COUNTIFS($A$6:$A$341,$A410,$B$6:$B$341,$B410,$H$6:$H$341,"Gana")</f>
        <v>1</v>
      </c>
      <c r="E410" s="7">
        <f t="shared" ref="E410:E441" si="32">COUNTIFS($A$6:$A$341,$A410,$B$6:$B$341,$B410,$H$6:$H$341,"Empata")</f>
        <v>1</v>
      </c>
      <c r="F410" s="7">
        <f t="shared" ref="F410:F441" si="33">COUNTIFS($A$6:$A$341,$A410,$B$6:$B$341,$B410,$H$6:$H$341,"Pierde")</f>
        <v>1</v>
      </c>
      <c r="G410" s="7">
        <f t="shared" ref="G410:G441" si="34">SUMIFS($E$6:$E$341,$A$6:$A$341,$A410,$B$6:$B$341,$B410)</f>
        <v>5</v>
      </c>
      <c r="H410" s="7">
        <f t="shared" ref="H410:H441" si="35">SUMIFS($F$6:$F$341,$A$6:$A$341,$A410,$B$6:$B$341,$B410)</f>
        <v>7</v>
      </c>
      <c r="I410" s="7">
        <f t="shared" ref="I410:I441" si="36">G410-H410</f>
        <v>-2</v>
      </c>
      <c r="J410" s="7">
        <f t="shared" ref="J410:J441" si="37">SUMIFS($I$6:$I$341,$A$6:$A$341,$A410,$B$6:$B$341,$B410)</f>
        <v>4</v>
      </c>
      <c r="K410" s="7" t="str">
        <f t="shared" ref="K410:K441" si="38">$A410&amp;"|"&amp;$I410</f>
        <v>2026|-2</v>
      </c>
    </row>
    <row r="411" spans="1:11" ht="15" customHeight="1">
      <c r="A411" s="7">
        <v>2026</v>
      </c>
      <c r="B411" s="7" t="s">
        <v>112</v>
      </c>
      <c r="C411" s="7">
        <f t="shared" si="30"/>
        <v>3</v>
      </c>
      <c r="D411" s="7">
        <f t="shared" si="31"/>
        <v>3</v>
      </c>
      <c r="E411" s="7">
        <f t="shared" si="32"/>
        <v>0</v>
      </c>
      <c r="F411" s="7">
        <f t="shared" si="33"/>
        <v>0</v>
      </c>
      <c r="G411" s="7">
        <f t="shared" si="34"/>
        <v>8</v>
      </c>
      <c r="H411" s="7">
        <f t="shared" si="35"/>
        <v>1</v>
      </c>
      <c r="I411" s="7">
        <f t="shared" si="36"/>
        <v>7</v>
      </c>
      <c r="J411" s="7">
        <f t="shared" si="37"/>
        <v>9</v>
      </c>
      <c r="K411" s="7" t="str">
        <f t="shared" si="38"/>
        <v>2026|7</v>
      </c>
    </row>
    <row r="412" spans="1:11" ht="15" customHeight="1">
      <c r="A412" s="7">
        <v>2026</v>
      </c>
      <c r="B412" s="7" t="s">
        <v>114</v>
      </c>
      <c r="C412" s="7">
        <f t="shared" si="30"/>
        <v>3</v>
      </c>
      <c r="D412" s="7">
        <f t="shared" si="31"/>
        <v>1</v>
      </c>
      <c r="E412" s="7">
        <f t="shared" si="32"/>
        <v>1</v>
      </c>
      <c r="F412" s="7">
        <f t="shared" si="33"/>
        <v>1</v>
      </c>
      <c r="G412" s="7">
        <f t="shared" si="34"/>
        <v>2</v>
      </c>
      <c r="H412" s="7">
        <f t="shared" si="35"/>
        <v>2</v>
      </c>
      <c r="I412" s="7">
        <f t="shared" si="36"/>
        <v>0</v>
      </c>
      <c r="J412" s="7">
        <f t="shared" si="37"/>
        <v>4</v>
      </c>
      <c r="K412" s="7" t="str">
        <f t="shared" si="38"/>
        <v>2026|0</v>
      </c>
    </row>
    <row r="413" spans="1:11" ht="15" customHeight="1">
      <c r="A413" s="7">
        <v>2026</v>
      </c>
      <c r="B413" s="7" t="s">
        <v>116</v>
      </c>
      <c r="C413" s="7">
        <f t="shared" si="30"/>
        <v>3</v>
      </c>
      <c r="D413" s="7">
        <f t="shared" si="31"/>
        <v>1</v>
      </c>
      <c r="E413" s="7">
        <f t="shared" si="32"/>
        <v>1</v>
      </c>
      <c r="F413" s="7">
        <f t="shared" si="33"/>
        <v>1</v>
      </c>
      <c r="G413" s="7">
        <f t="shared" si="34"/>
        <v>6</v>
      </c>
      <c r="H413" s="7">
        <f t="shared" si="35"/>
        <v>6</v>
      </c>
      <c r="I413" s="7">
        <f t="shared" si="36"/>
        <v>0</v>
      </c>
      <c r="J413" s="7">
        <f t="shared" si="37"/>
        <v>4</v>
      </c>
      <c r="K413" s="7" t="str">
        <f t="shared" si="38"/>
        <v>2026|0</v>
      </c>
    </row>
    <row r="414" spans="1:11" ht="15" customHeight="1">
      <c r="A414" s="7">
        <v>2026</v>
      </c>
      <c r="B414" s="7" t="s">
        <v>118</v>
      </c>
      <c r="C414" s="7">
        <f t="shared" si="30"/>
        <v>3</v>
      </c>
      <c r="D414" s="7">
        <f t="shared" si="31"/>
        <v>1</v>
      </c>
      <c r="E414" s="7">
        <f t="shared" si="32"/>
        <v>2</v>
      </c>
      <c r="F414" s="7">
        <f t="shared" si="33"/>
        <v>0</v>
      </c>
      <c r="G414" s="7">
        <f t="shared" si="34"/>
        <v>6</v>
      </c>
      <c r="H414" s="7">
        <f t="shared" si="35"/>
        <v>2</v>
      </c>
      <c r="I414" s="7">
        <f t="shared" si="36"/>
        <v>4</v>
      </c>
      <c r="J414" s="7">
        <f t="shared" si="37"/>
        <v>5</v>
      </c>
      <c r="K414" s="7" t="str">
        <f t="shared" si="38"/>
        <v>2026|4</v>
      </c>
    </row>
    <row r="415" spans="1:11" ht="15" customHeight="1">
      <c r="A415" s="7">
        <v>2026</v>
      </c>
      <c r="B415" s="7" t="s">
        <v>121</v>
      </c>
      <c r="C415" s="7">
        <f t="shared" si="30"/>
        <v>3</v>
      </c>
      <c r="D415" s="7">
        <f t="shared" si="31"/>
        <v>1</v>
      </c>
      <c r="E415" s="7">
        <f t="shared" si="32"/>
        <v>1</v>
      </c>
      <c r="F415" s="7">
        <f t="shared" si="33"/>
        <v>1</v>
      </c>
      <c r="G415" s="7">
        <f t="shared" si="34"/>
        <v>5</v>
      </c>
      <c r="H415" s="7">
        <f t="shared" si="35"/>
        <v>6</v>
      </c>
      <c r="I415" s="7">
        <f t="shared" si="36"/>
        <v>-1</v>
      </c>
      <c r="J415" s="7">
        <f t="shared" si="37"/>
        <v>4</v>
      </c>
      <c r="K415" s="7" t="str">
        <f t="shared" si="38"/>
        <v>2026|-1</v>
      </c>
    </row>
    <row r="416" spans="1:11" ht="15" customHeight="1">
      <c r="A416" s="7">
        <v>2026</v>
      </c>
      <c r="B416" s="7" t="s">
        <v>126</v>
      </c>
      <c r="C416" s="7">
        <f t="shared" si="30"/>
        <v>3</v>
      </c>
      <c r="D416" s="7">
        <f t="shared" si="31"/>
        <v>2</v>
      </c>
      <c r="E416" s="7">
        <f t="shared" si="32"/>
        <v>1</v>
      </c>
      <c r="F416" s="7">
        <f t="shared" si="33"/>
        <v>0</v>
      </c>
      <c r="G416" s="7">
        <f t="shared" si="34"/>
        <v>7</v>
      </c>
      <c r="H416" s="7">
        <f t="shared" si="35"/>
        <v>1</v>
      </c>
      <c r="I416" s="7">
        <f t="shared" si="36"/>
        <v>6</v>
      </c>
      <c r="J416" s="7">
        <f t="shared" si="37"/>
        <v>7</v>
      </c>
      <c r="K416" s="7" t="str">
        <f t="shared" si="38"/>
        <v>2026|6</v>
      </c>
    </row>
    <row r="417" spans="1:11" ht="15" customHeight="1">
      <c r="A417" s="7">
        <v>2026</v>
      </c>
      <c r="B417" s="7" t="s">
        <v>130</v>
      </c>
      <c r="C417" s="7">
        <f t="shared" si="30"/>
        <v>3</v>
      </c>
      <c r="D417" s="7">
        <f t="shared" si="31"/>
        <v>1</v>
      </c>
      <c r="E417" s="7">
        <f t="shared" si="32"/>
        <v>1</v>
      </c>
      <c r="F417" s="7">
        <f t="shared" si="33"/>
        <v>1</v>
      </c>
      <c r="G417" s="7">
        <f t="shared" si="34"/>
        <v>8</v>
      </c>
      <c r="H417" s="7">
        <f t="shared" si="35"/>
        <v>3</v>
      </c>
      <c r="I417" s="7">
        <f t="shared" si="36"/>
        <v>5</v>
      </c>
      <c r="J417" s="7">
        <f t="shared" si="37"/>
        <v>4</v>
      </c>
      <c r="K417" s="7" t="str">
        <f t="shared" si="38"/>
        <v>2026|5</v>
      </c>
    </row>
    <row r="418" spans="1:11" ht="15" customHeight="1">
      <c r="A418" s="7">
        <v>2026</v>
      </c>
      <c r="B418" s="7" t="s">
        <v>133</v>
      </c>
      <c r="C418" s="7">
        <f t="shared" si="30"/>
        <v>3</v>
      </c>
      <c r="D418" s="7">
        <f t="shared" si="31"/>
        <v>0</v>
      </c>
      <c r="E418" s="7">
        <f t="shared" si="32"/>
        <v>3</v>
      </c>
      <c r="F418" s="7">
        <f t="shared" si="33"/>
        <v>0</v>
      </c>
      <c r="G418" s="7">
        <f t="shared" si="34"/>
        <v>2</v>
      </c>
      <c r="H418" s="7">
        <f t="shared" si="35"/>
        <v>2</v>
      </c>
      <c r="I418" s="7">
        <f t="shared" si="36"/>
        <v>0</v>
      </c>
      <c r="J418" s="7">
        <f t="shared" si="37"/>
        <v>3</v>
      </c>
      <c r="K418" s="7" t="str">
        <f t="shared" si="38"/>
        <v>2026|0</v>
      </c>
    </row>
    <row r="419" spans="1:11" ht="15" customHeight="1">
      <c r="A419" s="7">
        <v>2026</v>
      </c>
      <c r="B419" s="7" t="s">
        <v>136</v>
      </c>
      <c r="C419" s="7">
        <f t="shared" si="30"/>
        <v>3</v>
      </c>
      <c r="D419" s="7">
        <f t="shared" si="31"/>
        <v>2</v>
      </c>
      <c r="E419" s="7">
        <f t="shared" si="32"/>
        <v>1</v>
      </c>
      <c r="F419" s="7">
        <f t="shared" si="33"/>
        <v>0</v>
      </c>
      <c r="G419" s="7">
        <f t="shared" si="34"/>
        <v>4</v>
      </c>
      <c r="H419" s="7">
        <f t="shared" si="35"/>
        <v>1</v>
      </c>
      <c r="I419" s="7">
        <f t="shared" si="36"/>
        <v>3</v>
      </c>
      <c r="J419" s="7">
        <f t="shared" si="37"/>
        <v>7</v>
      </c>
      <c r="K419" s="7" t="str">
        <f t="shared" si="38"/>
        <v>2026|3</v>
      </c>
    </row>
    <row r="420" spans="1:11" ht="15" customHeight="1">
      <c r="A420" s="7">
        <v>2026</v>
      </c>
      <c r="B420" s="7" t="s">
        <v>140</v>
      </c>
      <c r="C420" s="7">
        <f t="shared" si="30"/>
        <v>3</v>
      </c>
      <c r="D420" s="7">
        <f t="shared" si="31"/>
        <v>2</v>
      </c>
      <c r="E420" s="7">
        <f t="shared" si="32"/>
        <v>0</v>
      </c>
      <c r="F420" s="7">
        <f t="shared" si="33"/>
        <v>1</v>
      </c>
      <c r="G420" s="7">
        <f t="shared" si="34"/>
        <v>5</v>
      </c>
      <c r="H420" s="7">
        <f t="shared" si="35"/>
        <v>5</v>
      </c>
      <c r="I420" s="7">
        <f t="shared" si="36"/>
        <v>0</v>
      </c>
      <c r="J420" s="7">
        <f t="shared" si="37"/>
        <v>6</v>
      </c>
      <c r="K420" s="7" t="str">
        <f t="shared" si="38"/>
        <v>2026|0</v>
      </c>
    </row>
    <row r="421" spans="1:11" ht="15" customHeight="1">
      <c r="A421" s="7">
        <v>2026</v>
      </c>
      <c r="B421" s="7" t="s">
        <v>143</v>
      </c>
      <c r="C421" s="7">
        <f t="shared" si="30"/>
        <v>3</v>
      </c>
      <c r="D421" s="7">
        <f t="shared" si="31"/>
        <v>0</v>
      </c>
      <c r="E421" s="7">
        <f t="shared" si="32"/>
        <v>1</v>
      </c>
      <c r="F421" s="7">
        <f t="shared" si="33"/>
        <v>2</v>
      </c>
      <c r="G421" s="7">
        <f t="shared" si="34"/>
        <v>1</v>
      </c>
      <c r="H421" s="7">
        <f t="shared" si="35"/>
        <v>9</v>
      </c>
      <c r="I421" s="7">
        <f t="shared" si="36"/>
        <v>-8</v>
      </c>
      <c r="J421" s="7">
        <f t="shared" si="37"/>
        <v>1</v>
      </c>
      <c r="K421" s="7" t="str">
        <f t="shared" si="38"/>
        <v>2026|-8</v>
      </c>
    </row>
    <row r="422" spans="1:11" ht="15" customHeight="1">
      <c r="A422" s="7">
        <v>2026</v>
      </c>
      <c r="B422" s="7" t="s">
        <v>147</v>
      </c>
      <c r="C422" s="7">
        <f t="shared" si="30"/>
        <v>3</v>
      </c>
      <c r="D422" s="7">
        <f t="shared" si="31"/>
        <v>0</v>
      </c>
      <c r="E422" s="7">
        <f t="shared" si="32"/>
        <v>1</v>
      </c>
      <c r="F422" s="7">
        <f t="shared" si="33"/>
        <v>2</v>
      </c>
      <c r="G422" s="7">
        <f t="shared" si="34"/>
        <v>2</v>
      </c>
      <c r="H422" s="7">
        <f t="shared" si="35"/>
        <v>6</v>
      </c>
      <c r="I422" s="7">
        <f t="shared" si="36"/>
        <v>-4</v>
      </c>
      <c r="J422" s="7">
        <f t="shared" si="37"/>
        <v>1</v>
      </c>
      <c r="K422" s="7" t="str">
        <f t="shared" si="38"/>
        <v>2026|-4</v>
      </c>
    </row>
    <row r="423" spans="1:11" ht="15" customHeight="1">
      <c r="A423" s="7">
        <v>2026</v>
      </c>
      <c r="B423" s="7" t="s">
        <v>151</v>
      </c>
      <c r="C423" s="7">
        <f t="shared" si="30"/>
        <v>3</v>
      </c>
      <c r="D423" s="7">
        <f t="shared" si="31"/>
        <v>1</v>
      </c>
      <c r="E423" s="7">
        <f t="shared" si="32"/>
        <v>1</v>
      </c>
      <c r="F423" s="7">
        <f t="shared" si="33"/>
        <v>1</v>
      </c>
      <c r="G423" s="7">
        <f t="shared" si="34"/>
        <v>4</v>
      </c>
      <c r="H423" s="7">
        <f t="shared" si="35"/>
        <v>3</v>
      </c>
      <c r="I423" s="7">
        <f t="shared" si="36"/>
        <v>1</v>
      </c>
      <c r="J423" s="7">
        <f t="shared" si="37"/>
        <v>4</v>
      </c>
      <c r="K423" s="7" t="str">
        <f t="shared" si="38"/>
        <v>2026|1</v>
      </c>
    </row>
    <row r="424" spans="1:11" ht="15" customHeight="1">
      <c r="A424" s="7">
        <v>2026</v>
      </c>
      <c r="B424" s="7" t="s">
        <v>157</v>
      </c>
      <c r="C424" s="7">
        <f t="shared" si="30"/>
        <v>3</v>
      </c>
      <c r="D424" s="7">
        <f t="shared" si="31"/>
        <v>1</v>
      </c>
      <c r="E424" s="7">
        <f t="shared" si="32"/>
        <v>1</v>
      </c>
      <c r="F424" s="7">
        <f t="shared" si="33"/>
        <v>1</v>
      </c>
      <c r="G424" s="7">
        <f t="shared" si="34"/>
        <v>2</v>
      </c>
      <c r="H424" s="7">
        <f t="shared" si="35"/>
        <v>2</v>
      </c>
      <c r="I424" s="7">
        <f t="shared" si="36"/>
        <v>0</v>
      </c>
      <c r="J424" s="7">
        <f t="shared" si="37"/>
        <v>4</v>
      </c>
      <c r="K424" s="7" t="str">
        <f t="shared" si="38"/>
        <v>2026|0</v>
      </c>
    </row>
    <row r="425" spans="1:11" ht="15" customHeight="1">
      <c r="A425" s="7">
        <v>2026</v>
      </c>
      <c r="B425" s="7" t="s">
        <v>159</v>
      </c>
      <c r="C425" s="7">
        <f t="shared" si="30"/>
        <v>3</v>
      </c>
      <c r="D425" s="7">
        <f t="shared" si="31"/>
        <v>1</v>
      </c>
      <c r="E425" s="7">
        <f t="shared" si="32"/>
        <v>2</v>
      </c>
      <c r="F425" s="7">
        <f t="shared" si="33"/>
        <v>0</v>
      </c>
      <c r="G425" s="7">
        <f t="shared" si="34"/>
        <v>5</v>
      </c>
      <c r="H425" s="7">
        <f t="shared" si="35"/>
        <v>3</v>
      </c>
      <c r="I425" s="7">
        <f t="shared" si="36"/>
        <v>2</v>
      </c>
      <c r="J425" s="7">
        <f t="shared" si="37"/>
        <v>5</v>
      </c>
      <c r="K425" s="7" t="str">
        <f t="shared" si="38"/>
        <v>2026|2</v>
      </c>
    </row>
    <row r="426" spans="1:11" ht="15" customHeight="1">
      <c r="A426" s="7">
        <v>2026</v>
      </c>
      <c r="B426" s="7" t="s">
        <v>161</v>
      </c>
      <c r="C426" s="7">
        <f t="shared" si="30"/>
        <v>3</v>
      </c>
      <c r="D426" s="7">
        <f t="shared" si="31"/>
        <v>2</v>
      </c>
      <c r="E426" s="7">
        <f t="shared" si="32"/>
        <v>1</v>
      </c>
      <c r="F426" s="7">
        <f t="shared" si="33"/>
        <v>0</v>
      </c>
      <c r="G426" s="7">
        <f t="shared" si="34"/>
        <v>6</v>
      </c>
      <c r="H426" s="7">
        <f t="shared" si="35"/>
        <v>2</v>
      </c>
      <c r="I426" s="7">
        <f t="shared" si="36"/>
        <v>4</v>
      </c>
      <c r="J426" s="7">
        <f t="shared" si="37"/>
        <v>7</v>
      </c>
      <c r="K426" s="7" t="str">
        <f t="shared" si="38"/>
        <v>2026|4</v>
      </c>
    </row>
    <row r="427" spans="1:11" ht="15" customHeight="1">
      <c r="A427" s="7">
        <v>2026</v>
      </c>
      <c r="B427" s="7" t="s">
        <v>163</v>
      </c>
      <c r="C427" s="7">
        <f t="shared" si="30"/>
        <v>3</v>
      </c>
      <c r="D427" s="7">
        <f t="shared" si="31"/>
        <v>3</v>
      </c>
      <c r="E427" s="7">
        <f t="shared" si="32"/>
        <v>0</v>
      </c>
      <c r="F427" s="7">
        <f t="shared" si="33"/>
        <v>0</v>
      </c>
      <c r="G427" s="7">
        <f t="shared" si="34"/>
        <v>10</v>
      </c>
      <c r="H427" s="7">
        <f t="shared" si="35"/>
        <v>2</v>
      </c>
      <c r="I427" s="7">
        <f t="shared" si="36"/>
        <v>8</v>
      </c>
      <c r="J427" s="7">
        <f t="shared" si="37"/>
        <v>9</v>
      </c>
      <c r="K427" s="7" t="str">
        <f t="shared" si="38"/>
        <v>2026|8</v>
      </c>
    </row>
    <row r="428" spans="1:11" ht="15" customHeight="1">
      <c r="A428" s="7">
        <v>2026</v>
      </c>
      <c r="B428" s="7" t="s">
        <v>166</v>
      </c>
      <c r="C428" s="7">
        <f t="shared" si="30"/>
        <v>3</v>
      </c>
      <c r="D428" s="7">
        <f t="shared" si="31"/>
        <v>2</v>
      </c>
      <c r="E428" s="7">
        <f t="shared" si="32"/>
        <v>0</v>
      </c>
      <c r="F428" s="7">
        <f t="shared" si="33"/>
        <v>1</v>
      </c>
      <c r="G428" s="7">
        <f t="shared" si="34"/>
        <v>10</v>
      </c>
      <c r="H428" s="7">
        <f t="shared" si="35"/>
        <v>4</v>
      </c>
      <c r="I428" s="7">
        <f t="shared" si="36"/>
        <v>6</v>
      </c>
      <c r="J428" s="7">
        <f t="shared" si="37"/>
        <v>6</v>
      </c>
      <c r="K428" s="7" t="str">
        <f t="shared" si="38"/>
        <v>2026|6</v>
      </c>
    </row>
    <row r="429" spans="1:11" ht="15" customHeight="1">
      <c r="A429" s="7">
        <v>2026</v>
      </c>
      <c r="B429" s="7" t="s">
        <v>168</v>
      </c>
      <c r="C429" s="7">
        <f t="shared" si="30"/>
        <v>3</v>
      </c>
      <c r="D429" s="7">
        <f t="shared" si="31"/>
        <v>1</v>
      </c>
      <c r="E429" s="7">
        <f t="shared" si="32"/>
        <v>1</v>
      </c>
      <c r="F429" s="7">
        <f t="shared" si="33"/>
        <v>1</v>
      </c>
      <c r="G429" s="7">
        <f t="shared" si="34"/>
        <v>2</v>
      </c>
      <c r="H429" s="7">
        <f t="shared" si="35"/>
        <v>2</v>
      </c>
      <c r="I429" s="7">
        <f t="shared" si="36"/>
        <v>0</v>
      </c>
      <c r="J429" s="7">
        <f t="shared" si="37"/>
        <v>4</v>
      </c>
      <c r="K429" s="7" t="str">
        <f t="shared" si="38"/>
        <v>2026|0</v>
      </c>
    </row>
    <row r="430" spans="1:11" ht="15" customHeight="1">
      <c r="A430" s="7">
        <v>2026</v>
      </c>
      <c r="B430" s="7" t="s">
        <v>170</v>
      </c>
      <c r="C430" s="7">
        <f t="shared" si="30"/>
        <v>3</v>
      </c>
      <c r="D430" s="7">
        <f t="shared" si="31"/>
        <v>0</v>
      </c>
      <c r="E430" s="7">
        <f t="shared" si="32"/>
        <v>0</v>
      </c>
      <c r="F430" s="7">
        <f t="shared" si="33"/>
        <v>3</v>
      </c>
      <c r="G430" s="7">
        <f t="shared" si="34"/>
        <v>2</v>
      </c>
      <c r="H430" s="7">
        <f t="shared" si="35"/>
        <v>8</v>
      </c>
      <c r="I430" s="7">
        <f t="shared" si="36"/>
        <v>-6</v>
      </c>
      <c r="J430" s="7">
        <f t="shared" si="37"/>
        <v>0</v>
      </c>
      <c r="K430" s="7" t="str">
        <f t="shared" si="38"/>
        <v>2026|-6</v>
      </c>
    </row>
    <row r="431" spans="1:11" ht="15" customHeight="1">
      <c r="A431" s="7">
        <v>2026</v>
      </c>
      <c r="B431" s="7" t="s">
        <v>175</v>
      </c>
      <c r="C431" s="7">
        <f t="shared" si="30"/>
        <v>3</v>
      </c>
      <c r="D431" s="7">
        <f t="shared" si="31"/>
        <v>0</v>
      </c>
      <c r="E431" s="7">
        <f t="shared" si="32"/>
        <v>3</v>
      </c>
      <c r="F431" s="7">
        <f t="shared" si="33"/>
        <v>0</v>
      </c>
      <c r="G431" s="7">
        <f t="shared" si="34"/>
        <v>3</v>
      </c>
      <c r="H431" s="7">
        <f t="shared" si="35"/>
        <v>3</v>
      </c>
      <c r="I431" s="7">
        <f t="shared" si="36"/>
        <v>0</v>
      </c>
      <c r="J431" s="7">
        <f t="shared" si="37"/>
        <v>3</v>
      </c>
      <c r="K431" s="7" t="str">
        <f t="shared" si="38"/>
        <v>2026|0</v>
      </c>
    </row>
    <row r="432" spans="1:11" ht="15" customHeight="1">
      <c r="A432" s="7">
        <v>2026</v>
      </c>
      <c r="B432" s="7" t="s">
        <v>178</v>
      </c>
      <c r="C432" s="7">
        <f t="shared" si="30"/>
        <v>3</v>
      </c>
      <c r="D432" s="7">
        <f t="shared" si="31"/>
        <v>0</v>
      </c>
      <c r="E432" s="7">
        <f t="shared" si="32"/>
        <v>0</v>
      </c>
      <c r="F432" s="7">
        <f t="shared" si="33"/>
        <v>3</v>
      </c>
      <c r="G432" s="7">
        <f t="shared" si="34"/>
        <v>1</v>
      </c>
      <c r="H432" s="7">
        <f t="shared" si="35"/>
        <v>12</v>
      </c>
      <c r="I432" s="7">
        <f t="shared" si="36"/>
        <v>-11</v>
      </c>
      <c r="J432" s="7">
        <f t="shared" si="37"/>
        <v>0</v>
      </c>
      <c r="K432" s="7" t="str">
        <f t="shared" si="38"/>
        <v>2026|-11</v>
      </c>
    </row>
    <row r="433" spans="1:11" ht="15" customHeight="1">
      <c r="A433" s="7">
        <v>2026</v>
      </c>
      <c r="B433" s="7" t="s">
        <v>181</v>
      </c>
      <c r="C433" s="7">
        <f t="shared" si="30"/>
        <v>3</v>
      </c>
      <c r="D433" s="7">
        <f t="shared" si="31"/>
        <v>2</v>
      </c>
      <c r="E433" s="7">
        <f t="shared" si="32"/>
        <v>0</v>
      </c>
      <c r="F433" s="7">
        <f t="shared" si="33"/>
        <v>1</v>
      </c>
      <c r="G433" s="7">
        <f t="shared" si="34"/>
        <v>4</v>
      </c>
      <c r="H433" s="7">
        <f t="shared" si="35"/>
        <v>2</v>
      </c>
      <c r="I433" s="7">
        <f t="shared" si="36"/>
        <v>2</v>
      </c>
      <c r="J433" s="7">
        <f t="shared" si="37"/>
        <v>6</v>
      </c>
      <c r="K433" s="7" t="str">
        <f t="shared" si="38"/>
        <v>2026|2</v>
      </c>
    </row>
    <row r="434" spans="1:11" ht="15" customHeight="1">
      <c r="A434" s="7">
        <v>2026</v>
      </c>
      <c r="B434" s="7" t="s">
        <v>185</v>
      </c>
      <c r="C434" s="7">
        <f t="shared" si="30"/>
        <v>3</v>
      </c>
      <c r="D434" s="7">
        <f t="shared" si="31"/>
        <v>1</v>
      </c>
      <c r="E434" s="7">
        <f t="shared" si="32"/>
        <v>2</v>
      </c>
      <c r="F434" s="7">
        <f t="shared" si="33"/>
        <v>0</v>
      </c>
      <c r="G434" s="7">
        <f t="shared" si="34"/>
        <v>7</v>
      </c>
      <c r="H434" s="7">
        <f t="shared" si="35"/>
        <v>3</v>
      </c>
      <c r="I434" s="7">
        <f t="shared" si="36"/>
        <v>4</v>
      </c>
      <c r="J434" s="7">
        <f t="shared" si="37"/>
        <v>5</v>
      </c>
      <c r="K434" s="7" t="str">
        <f t="shared" si="38"/>
        <v>2026|4</v>
      </c>
    </row>
    <row r="435" spans="1:11" ht="15" customHeight="1">
      <c r="A435" s="7">
        <v>2026</v>
      </c>
      <c r="B435" s="7" t="s">
        <v>187</v>
      </c>
      <c r="C435" s="7">
        <f t="shared" si="30"/>
        <v>3</v>
      </c>
      <c r="D435" s="7">
        <f t="shared" si="31"/>
        <v>0</v>
      </c>
      <c r="E435" s="7">
        <f t="shared" si="32"/>
        <v>0</v>
      </c>
      <c r="F435" s="7">
        <f t="shared" si="33"/>
        <v>3</v>
      </c>
      <c r="G435" s="7">
        <f t="shared" si="34"/>
        <v>3</v>
      </c>
      <c r="H435" s="7">
        <f t="shared" si="35"/>
        <v>8</v>
      </c>
      <c r="I435" s="7">
        <f t="shared" si="36"/>
        <v>-5</v>
      </c>
      <c r="J435" s="7">
        <f t="shared" si="37"/>
        <v>0</v>
      </c>
      <c r="K435" s="7" t="str">
        <f t="shared" si="38"/>
        <v>2026|-5</v>
      </c>
    </row>
    <row r="436" spans="1:11" ht="15" customHeight="1">
      <c r="A436" s="7">
        <v>2026</v>
      </c>
      <c r="B436" s="7" t="s">
        <v>188</v>
      </c>
      <c r="C436" s="7">
        <f t="shared" si="30"/>
        <v>3</v>
      </c>
      <c r="D436" s="7">
        <f t="shared" si="31"/>
        <v>3</v>
      </c>
      <c r="E436" s="7">
        <f t="shared" si="32"/>
        <v>0</v>
      </c>
      <c r="F436" s="7">
        <f t="shared" si="33"/>
        <v>0</v>
      </c>
      <c r="G436" s="7">
        <f t="shared" si="34"/>
        <v>6</v>
      </c>
      <c r="H436" s="7">
        <f t="shared" si="35"/>
        <v>0</v>
      </c>
      <c r="I436" s="7">
        <f t="shared" si="36"/>
        <v>6</v>
      </c>
      <c r="J436" s="7">
        <f t="shared" si="37"/>
        <v>9</v>
      </c>
      <c r="K436" s="7" t="str">
        <f t="shared" si="38"/>
        <v>2026|6</v>
      </c>
    </row>
    <row r="437" spans="1:11" ht="15" customHeight="1">
      <c r="A437" s="7">
        <v>2026</v>
      </c>
      <c r="B437" s="7" t="s">
        <v>191</v>
      </c>
      <c r="C437" s="7">
        <f t="shared" si="30"/>
        <v>3</v>
      </c>
      <c r="D437" s="7">
        <f t="shared" si="31"/>
        <v>2</v>
      </c>
      <c r="E437" s="7">
        <f t="shared" si="32"/>
        <v>1</v>
      </c>
      <c r="F437" s="7">
        <f t="shared" si="33"/>
        <v>0</v>
      </c>
      <c r="G437" s="7">
        <f t="shared" si="34"/>
        <v>6</v>
      </c>
      <c r="H437" s="7">
        <f t="shared" si="35"/>
        <v>3</v>
      </c>
      <c r="I437" s="7">
        <f t="shared" si="36"/>
        <v>3</v>
      </c>
      <c r="J437" s="7">
        <f t="shared" si="37"/>
        <v>7</v>
      </c>
      <c r="K437" s="7" t="str">
        <f t="shared" si="38"/>
        <v>2026|3</v>
      </c>
    </row>
    <row r="438" spans="1:11" ht="15" customHeight="1">
      <c r="A438" s="7">
        <v>2026</v>
      </c>
      <c r="B438" s="7" t="s">
        <v>194</v>
      </c>
      <c r="C438" s="7">
        <f t="shared" si="30"/>
        <v>3</v>
      </c>
      <c r="D438" s="7">
        <f t="shared" si="31"/>
        <v>2</v>
      </c>
      <c r="E438" s="7">
        <f t="shared" si="32"/>
        <v>1</v>
      </c>
      <c r="F438" s="7">
        <f t="shared" si="33"/>
        <v>0</v>
      </c>
      <c r="G438" s="7">
        <f t="shared" si="34"/>
        <v>10</v>
      </c>
      <c r="H438" s="7">
        <f t="shared" si="35"/>
        <v>4</v>
      </c>
      <c r="I438" s="7">
        <f t="shared" si="36"/>
        <v>6</v>
      </c>
      <c r="J438" s="7">
        <f t="shared" si="37"/>
        <v>7</v>
      </c>
      <c r="K438" s="7" t="str">
        <f t="shared" si="38"/>
        <v>2026|6</v>
      </c>
    </row>
    <row r="439" spans="1:11" ht="15" customHeight="1">
      <c r="A439" s="7">
        <v>2026</v>
      </c>
      <c r="B439" s="7" t="s">
        <v>197</v>
      </c>
      <c r="C439" s="7">
        <f t="shared" si="30"/>
        <v>3</v>
      </c>
      <c r="D439" s="7">
        <f t="shared" si="31"/>
        <v>0</v>
      </c>
      <c r="E439" s="7">
        <f t="shared" si="32"/>
        <v>1</v>
      </c>
      <c r="F439" s="7">
        <f t="shared" si="33"/>
        <v>2</v>
      </c>
      <c r="G439" s="7">
        <f t="shared" si="34"/>
        <v>4</v>
      </c>
      <c r="H439" s="7">
        <f t="shared" si="35"/>
        <v>10</v>
      </c>
      <c r="I439" s="7">
        <f t="shared" si="36"/>
        <v>-6</v>
      </c>
      <c r="J439" s="7">
        <f t="shared" si="37"/>
        <v>1</v>
      </c>
      <c r="K439" s="7" t="str">
        <f t="shared" si="38"/>
        <v>2026|-6</v>
      </c>
    </row>
    <row r="440" spans="1:11" ht="15" customHeight="1">
      <c r="A440" s="7">
        <v>2026</v>
      </c>
      <c r="B440" s="7" t="s">
        <v>202</v>
      </c>
      <c r="C440" s="7">
        <f t="shared" si="30"/>
        <v>3</v>
      </c>
      <c r="D440" s="7">
        <f t="shared" si="31"/>
        <v>2</v>
      </c>
      <c r="E440" s="7">
        <f t="shared" si="32"/>
        <v>0</v>
      </c>
      <c r="F440" s="7">
        <f t="shared" si="33"/>
        <v>1</v>
      </c>
      <c r="G440" s="7">
        <f t="shared" si="34"/>
        <v>8</v>
      </c>
      <c r="H440" s="7">
        <f t="shared" si="35"/>
        <v>7</v>
      </c>
      <c r="I440" s="7">
        <f t="shared" si="36"/>
        <v>1</v>
      </c>
      <c r="J440" s="7">
        <f t="shared" si="37"/>
        <v>6</v>
      </c>
      <c r="K440" s="7" t="str">
        <f t="shared" si="38"/>
        <v>2026|1</v>
      </c>
    </row>
    <row r="441" spans="1:11" ht="15" customHeight="1">
      <c r="A441" s="7">
        <v>2026</v>
      </c>
      <c r="B441" s="7" t="s">
        <v>204</v>
      </c>
      <c r="C441" s="7">
        <f t="shared" si="30"/>
        <v>3</v>
      </c>
      <c r="D441" s="7">
        <f t="shared" si="31"/>
        <v>0</v>
      </c>
      <c r="E441" s="7">
        <f t="shared" si="32"/>
        <v>0</v>
      </c>
      <c r="F441" s="7">
        <f t="shared" si="33"/>
        <v>3</v>
      </c>
      <c r="G441" s="7">
        <f t="shared" si="34"/>
        <v>0</v>
      </c>
      <c r="H441" s="7">
        <f t="shared" si="35"/>
        <v>4</v>
      </c>
      <c r="I441" s="7">
        <f t="shared" si="36"/>
        <v>-4</v>
      </c>
      <c r="J441" s="7">
        <f t="shared" si="37"/>
        <v>0</v>
      </c>
      <c r="K441" s="7" t="str">
        <f t="shared" si="38"/>
        <v>2026|-4</v>
      </c>
    </row>
    <row r="442" spans="1:11" ht="15" customHeight="1">
      <c r="A442" s="7">
        <v>2026</v>
      </c>
      <c r="B442" s="7" t="s">
        <v>206</v>
      </c>
      <c r="C442" s="7">
        <f t="shared" ref="C442:C457" si="39">COUNTIFS($A$6:$A$341,$A442,$B$6:$B$341,$B442)</f>
        <v>3</v>
      </c>
      <c r="D442" s="7">
        <f t="shared" ref="D442:D457" si="40">COUNTIFS($A$6:$A$341,$A442,$B$6:$B$341,$B442,$H$6:$H$341,"Gana")</f>
        <v>1</v>
      </c>
      <c r="E442" s="7">
        <f t="shared" ref="E442:E457" si="41">COUNTIFS($A$6:$A$341,$A442,$B$6:$B$341,$B442,$H$6:$H$341,"Empata")</f>
        <v>1</v>
      </c>
      <c r="F442" s="7">
        <f t="shared" ref="F442:F457" si="42">COUNTIFS($A$6:$A$341,$A442,$B$6:$B$341,$B442,$H$6:$H$341,"Pierde")</f>
        <v>1</v>
      </c>
      <c r="G442" s="7">
        <f t="shared" ref="G442:G457" si="43">SUMIFS($E$6:$E$341,$A$6:$A$341,$A442,$B$6:$B$341,$B442)</f>
        <v>2</v>
      </c>
      <c r="H442" s="7">
        <f t="shared" ref="H442:H457" si="44">SUMIFS($F$6:$F$341,$A$6:$A$341,$A442,$B$6:$B$341,$B442)</f>
        <v>4</v>
      </c>
      <c r="I442" s="7">
        <f t="shared" ref="I442:I473" si="45">G442-H442</f>
        <v>-2</v>
      </c>
      <c r="J442" s="7">
        <f t="shared" ref="J442:J457" si="46">SUMIFS($I$6:$I$341,$A$6:$A$341,$A442,$B$6:$B$341,$B442)</f>
        <v>4</v>
      </c>
      <c r="K442" s="7" t="str">
        <f t="shared" ref="K442:K457" si="47">$A442&amp;"|"&amp;$I442</f>
        <v>2026|-2</v>
      </c>
    </row>
    <row r="443" spans="1:11" ht="15" customHeight="1">
      <c r="A443" s="7">
        <v>2026</v>
      </c>
      <c r="B443" s="7" t="s">
        <v>212</v>
      </c>
      <c r="C443" s="7">
        <f t="shared" si="39"/>
        <v>3</v>
      </c>
      <c r="D443" s="7">
        <f t="shared" si="40"/>
        <v>1</v>
      </c>
      <c r="E443" s="7">
        <f t="shared" si="41"/>
        <v>2</v>
      </c>
      <c r="F443" s="7">
        <f t="shared" si="42"/>
        <v>0</v>
      </c>
      <c r="G443" s="7">
        <f t="shared" si="43"/>
        <v>6</v>
      </c>
      <c r="H443" s="7">
        <f t="shared" si="44"/>
        <v>1</v>
      </c>
      <c r="I443" s="7">
        <f t="shared" si="45"/>
        <v>5</v>
      </c>
      <c r="J443" s="7">
        <f t="shared" si="46"/>
        <v>5</v>
      </c>
      <c r="K443" s="7" t="str">
        <f t="shared" si="47"/>
        <v>2026|5</v>
      </c>
    </row>
    <row r="444" spans="1:11" ht="15" customHeight="1">
      <c r="A444" s="7">
        <v>2026</v>
      </c>
      <c r="B444" s="7" t="s">
        <v>214</v>
      </c>
      <c r="C444" s="7">
        <f t="shared" si="39"/>
        <v>3</v>
      </c>
      <c r="D444" s="7">
        <f t="shared" si="40"/>
        <v>0</v>
      </c>
      <c r="E444" s="7">
        <f t="shared" si="41"/>
        <v>1</v>
      </c>
      <c r="F444" s="7">
        <f t="shared" si="42"/>
        <v>2</v>
      </c>
      <c r="G444" s="7">
        <f t="shared" si="43"/>
        <v>2</v>
      </c>
      <c r="H444" s="7">
        <f t="shared" si="44"/>
        <v>10</v>
      </c>
      <c r="I444" s="7">
        <f t="shared" si="45"/>
        <v>-8</v>
      </c>
      <c r="J444" s="7">
        <f t="shared" si="46"/>
        <v>1</v>
      </c>
      <c r="K444" s="7" t="str">
        <f t="shared" si="47"/>
        <v>2026|-8</v>
      </c>
    </row>
    <row r="445" spans="1:11" ht="15" customHeight="1">
      <c r="A445" s="7">
        <v>2026</v>
      </c>
      <c r="B445" s="7" t="s">
        <v>76</v>
      </c>
      <c r="C445" s="7">
        <f t="shared" si="39"/>
        <v>3</v>
      </c>
      <c r="D445" s="7">
        <f t="shared" si="40"/>
        <v>0</v>
      </c>
      <c r="E445" s="7">
        <f t="shared" si="41"/>
        <v>2</v>
      </c>
      <c r="F445" s="7">
        <f t="shared" si="42"/>
        <v>1</v>
      </c>
      <c r="G445" s="7">
        <f t="shared" si="43"/>
        <v>1</v>
      </c>
      <c r="H445" s="7">
        <f t="shared" si="44"/>
        <v>5</v>
      </c>
      <c r="I445" s="7">
        <f t="shared" si="45"/>
        <v>-4</v>
      </c>
      <c r="J445" s="7">
        <f t="shared" si="46"/>
        <v>2</v>
      </c>
      <c r="K445" s="7" t="str">
        <f t="shared" si="47"/>
        <v>2026|-4</v>
      </c>
    </row>
    <row r="446" spans="1:11" ht="15" customHeight="1">
      <c r="A446" s="7">
        <v>2026</v>
      </c>
      <c r="B446" s="7" t="s">
        <v>220</v>
      </c>
      <c r="C446" s="7">
        <f t="shared" si="39"/>
        <v>3</v>
      </c>
      <c r="D446" s="7">
        <f t="shared" si="40"/>
        <v>1</v>
      </c>
      <c r="E446" s="7">
        <f t="shared" si="41"/>
        <v>0</v>
      </c>
      <c r="F446" s="7">
        <f t="shared" si="42"/>
        <v>2</v>
      </c>
      <c r="G446" s="7">
        <f t="shared" si="43"/>
        <v>1</v>
      </c>
      <c r="H446" s="7">
        <f t="shared" si="44"/>
        <v>4</v>
      </c>
      <c r="I446" s="7">
        <f t="shared" si="45"/>
        <v>-3</v>
      </c>
      <c r="J446" s="7">
        <f t="shared" si="46"/>
        <v>3</v>
      </c>
      <c r="K446" s="7" t="str">
        <f t="shared" si="47"/>
        <v>2026|-3</v>
      </c>
    </row>
    <row r="447" spans="1:11" ht="15" customHeight="1">
      <c r="A447" s="7">
        <v>2026</v>
      </c>
      <c r="B447" s="7" t="s">
        <v>222</v>
      </c>
      <c r="C447" s="7">
        <f t="shared" si="39"/>
        <v>3</v>
      </c>
      <c r="D447" s="7">
        <f t="shared" si="40"/>
        <v>1</v>
      </c>
      <c r="E447" s="7">
        <f t="shared" si="41"/>
        <v>0</v>
      </c>
      <c r="F447" s="7">
        <f t="shared" si="42"/>
        <v>2</v>
      </c>
      <c r="G447" s="7">
        <f t="shared" si="43"/>
        <v>8</v>
      </c>
      <c r="H447" s="7">
        <f t="shared" si="44"/>
        <v>6</v>
      </c>
      <c r="I447" s="7">
        <f t="shared" si="45"/>
        <v>2</v>
      </c>
      <c r="J447" s="7">
        <f t="shared" si="46"/>
        <v>3</v>
      </c>
      <c r="K447" s="7" t="str">
        <f t="shared" si="47"/>
        <v>2026|2</v>
      </c>
    </row>
    <row r="448" spans="1:11" ht="15" customHeight="1">
      <c r="A448" s="7">
        <v>2026</v>
      </c>
      <c r="B448" s="7" t="s">
        <v>226</v>
      </c>
      <c r="C448" s="7">
        <f t="shared" si="39"/>
        <v>3</v>
      </c>
      <c r="D448" s="7">
        <f t="shared" si="40"/>
        <v>1</v>
      </c>
      <c r="E448" s="7">
        <f t="shared" si="41"/>
        <v>1</v>
      </c>
      <c r="F448" s="7">
        <f t="shared" si="42"/>
        <v>1</v>
      </c>
      <c r="G448" s="7">
        <f t="shared" si="43"/>
        <v>2</v>
      </c>
      <c r="H448" s="7">
        <f t="shared" si="44"/>
        <v>3</v>
      </c>
      <c r="I448" s="7">
        <f t="shared" si="45"/>
        <v>-1</v>
      </c>
      <c r="J448" s="7">
        <f t="shared" si="46"/>
        <v>4</v>
      </c>
      <c r="K448" s="7" t="str">
        <f t="shared" si="47"/>
        <v>2026|-1</v>
      </c>
    </row>
    <row r="449" spans="1:11" ht="15" customHeight="1">
      <c r="A449" s="7">
        <v>2026</v>
      </c>
      <c r="B449" s="7" t="s">
        <v>229</v>
      </c>
      <c r="C449" s="7">
        <f t="shared" si="39"/>
        <v>3</v>
      </c>
      <c r="D449" s="7">
        <f t="shared" si="40"/>
        <v>1</v>
      </c>
      <c r="E449" s="7">
        <f t="shared" si="41"/>
        <v>0</v>
      </c>
      <c r="F449" s="7">
        <f t="shared" si="42"/>
        <v>2</v>
      </c>
      <c r="G449" s="7">
        <f t="shared" si="43"/>
        <v>2</v>
      </c>
      <c r="H449" s="7">
        <f t="shared" si="44"/>
        <v>3</v>
      </c>
      <c r="I449" s="7">
        <f t="shared" si="45"/>
        <v>-1</v>
      </c>
      <c r="J449" s="7">
        <f t="shared" si="46"/>
        <v>3</v>
      </c>
      <c r="K449" s="7" t="str">
        <f t="shared" si="47"/>
        <v>2026|-1</v>
      </c>
    </row>
    <row r="450" spans="1:11" ht="15" customHeight="1">
      <c r="A450" s="7">
        <v>2026</v>
      </c>
      <c r="B450" s="7" t="s">
        <v>234</v>
      </c>
      <c r="C450" s="7">
        <f t="shared" si="39"/>
        <v>3</v>
      </c>
      <c r="D450" s="7">
        <f t="shared" si="40"/>
        <v>2</v>
      </c>
      <c r="E450" s="7">
        <f t="shared" si="41"/>
        <v>1</v>
      </c>
      <c r="F450" s="7">
        <f t="shared" si="42"/>
        <v>0</v>
      </c>
      <c r="G450" s="7">
        <f t="shared" si="43"/>
        <v>5</v>
      </c>
      <c r="H450" s="7">
        <f t="shared" si="44"/>
        <v>0</v>
      </c>
      <c r="I450" s="7">
        <f t="shared" si="45"/>
        <v>5</v>
      </c>
      <c r="J450" s="7">
        <f t="shared" si="46"/>
        <v>7</v>
      </c>
      <c r="K450" s="7" t="str">
        <f t="shared" si="47"/>
        <v>2026|5</v>
      </c>
    </row>
    <row r="451" spans="1:11" ht="15" customHeight="1">
      <c r="A451" s="7">
        <v>2026</v>
      </c>
      <c r="B451" s="7" t="s">
        <v>236</v>
      </c>
      <c r="C451" s="7">
        <f t="shared" si="39"/>
        <v>3</v>
      </c>
      <c r="D451" s="7">
        <f t="shared" si="40"/>
        <v>1</v>
      </c>
      <c r="E451" s="7">
        <f t="shared" si="41"/>
        <v>1</v>
      </c>
      <c r="F451" s="7">
        <f t="shared" si="42"/>
        <v>1</v>
      </c>
      <c r="G451" s="7">
        <f t="shared" si="43"/>
        <v>7</v>
      </c>
      <c r="H451" s="7">
        <f t="shared" si="44"/>
        <v>7</v>
      </c>
      <c r="I451" s="7">
        <f t="shared" si="45"/>
        <v>0</v>
      </c>
      <c r="J451" s="7">
        <f t="shared" si="46"/>
        <v>4</v>
      </c>
      <c r="K451" s="7" t="str">
        <f t="shared" si="47"/>
        <v>2026|0</v>
      </c>
    </row>
    <row r="452" spans="1:11" ht="15" customHeight="1">
      <c r="A452" s="7">
        <v>2026</v>
      </c>
      <c r="B452" s="7" t="s">
        <v>239</v>
      </c>
      <c r="C452" s="7">
        <f t="shared" si="39"/>
        <v>3</v>
      </c>
      <c r="D452" s="7">
        <f t="shared" si="40"/>
        <v>2</v>
      </c>
      <c r="E452" s="7">
        <f t="shared" si="41"/>
        <v>1</v>
      </c>
      <c r="F452" s="7">
        <f t="shared" si="42"/>
        <v>0</v>
      </c>
      <c r="G452" s="7">
        <f t="shared" si="43"/>
        <v>7</v>
      </c>
      <c r="H452" s="7">
        <f t="shared" si="44"/>
        <v>3</v>
      </c>
      <c r="I452" s="7">
        <f t="shared" si="45"/>
        <v>4</v>
      </c>
      <c r="J452" s="7">
        <f t="shared" si="46"/>
        <v>7</v>
      </c>
      <c r="K452" s="7" t="str">
        <f t="shared" si="47"/>
        <v>2026|4</v>
      </c>
    </row>
    <row r="453" spans="1:11" ht="15" customHeight="1">
      <c r="A453" s="7">
        <v>2026</v>
      </c>
      <c r="B453" s="7" t="s">
        <v>241</v>
      </c>
      <c r="C453" s="7">
        <f t="shared" si="39"/>
        <v>3</v>
      </c>
      <c r="D453" s="7">
        <f t="shared" si="40"/>
        <v>0</v>
      </c>
      <c r="E453" s="7">
        <f t="shared" si="41"/>
        <v>0</v>
      </c>
      <c r="F453" s="7">
        <f t="shared" si="42"/>
        <v>3</v>
      </c>
      <c r="G453" s="7">
        <f t="shared" si="43"/>
        <v>2</v>
      </c>
      <c r="H453" s="7">
        <f t="shared" si="44"/>
        <v>12</v>
      </c>
      <c r="I453" s="7">
        <f t="shared" si="45"/>
        <v>-10</v>
      </c>
      <c r="J453" s="7">
        <f t="shared" si="46"/>
        <v>0</v>
      </c>
      <c r="K453" s="7" t="str">
        <f t="shared" si="47"/>
        <v>2026|-10</v>
      </c>
    </row>
    <row r="454" spans="1:11" ht="15" customHeight="1">
      <c r="A454" s="7">
        <v>2026</v>
      </c>
      <c r="B454" s="7" t="s">
        <v>243</v>
      </c>
      <c r="C454" s="7">
        <f t="shared" si="39"/>
        <v>3</v>
      </c>
      <c r="D454" s="7">
        <f t="shared" si="40"/>
        <v>1</v>
      </c>
      <c r="E454" s="7">
        <f t="shared" si="41"/>
        <v>0</v>
      </c>
      <c r="F454" s="7">
        <f t="shared" si="42"/>
        <v>2</v>
      </c>
      <c r="G454" s="7">
        <f t="shared" si="43"/>
        <v>3</v>
      </c>
      <c r="H454" s="7">
        <f t="shared" si="44"/>
        <v>5</v>
      </c>
      <c r="I454" s="7">
        <f t="shared" si="45"/>
        <v>-2</v>
      </c>
      <c r="J454" s="7">
        <f t="shared" si="46"/>
        <v>3</v>
      </c>
      <c r="K454" s="7" t="str">
        <f t="shared" si="47"/>
        <v>2026|-2</v>
      </c>
    </row>
    <row r="455" spans="1:11" ht="15" customHeight="1">
      <c r="A455" s="7">
        <v>2026</v>
      </c>
      <c r="B455" s="7" t="s">
        <v>248</v>
      </c>
      <c r="C455" s="7">
        <f t="shared" si="39"/>
        <v>3</v>
      </c>
      <c r="D455" s="7">
        <f t="shared" si="40"/>
        <v>2</v>
      </c>
      <c r="E455" s="7">
        <f t="shared" si="41"/>
        <v>0</v>
      </c>
      <c r="F455" s="7">
        <f t="shared" si="42"/>
        <v>1</v>
      </c>
      <c r="G455" s="7">
        <f t="shared" si="43"/>
        <v>8</v>
      </c>
      <c r="H455" s="7">
        <f t="shared" si="44"/>
        <v>4</v>
      </c>
      <c r="I455" s="7">
        <f t="shared" si="45"/>
        <v>4</v>
      </c>
      <c r="J455" s="7">
        <f t="shared" si="46"/>
        <v>6</v>
      </c>
      <c r="K455" s="7" t="str">
        <f t="shared" si="47"/>
        <v>2026|4</v>
      </c>
    </row>
    <row r="456" spans="1:11" ht="15" customHeight="1">
      <c r="A456" s="7">
        <v>2026</v>
      </c>
      <c r="B456" s="7" t="s">
        <v>252</v>
      </c>
      <c r="C456" s="7">
        <f t="shared" si="39"/>
        <v>3</v>
      </c>
      <c r="D456" s="7">
        <f t="shared" si="40"/>
        <v>0</v>
      </c>
      <c r="E456" s="7">
        <f t="shared" si="41"/>
        <v>2</v>
      </c>
      <c r="F456" s="7">
        <f t="shared" si="42"/>
        <v>1</v>
      </c>
      <c r="G456" s="7">
        <f t="shared" si="43"/>
        <v>3</v>
      </c>
      <c r="H456" s="7">
        <f t="shared" si="44"/>
        <v>4</v>
      </c>
      <c r="I456" s="7">
        <f t="shared" si="45"/>
        <v>-1</v>
      </c>
      <c r="J456" s="7">
        <f t="shared" si="46"/>
        <v>2</v>
      </c>
      <c r="K456" s="7" t="str">
        <f t="shared" si="47"/>
        <v>2026|-1</v>
      </c>
    </row>
    <row r="457" spans="1:11" ht="15" customHeight="1">
      <c r="A457" s="7">
        <v>2026</v>
      </c>
      <c r="B457" s="7" t="s">
        <v>254</v>
      </c>
      <c r="C457" s="7">
        <f t="shared" si="39"/>
        <v>3</v>
      </c>
      <c r="D457" s="7">
        <f t="shared" si="40"/>
        <v>0</v>
      </c>
      <c r="E457" s="7">
        <f t="shared" si="41"/>
        <v>0</v>
      </c>
      <c r="F457" s="7">
        <f t="shared" si="42"/>
        <v>3</v>
      </c>
      <c r="G457" s="7">
        <f t="shared" si="43"/>
        <v>2</v>
      </c>
      <c r="H457" s="7">
        <f t="shared" si="44"/>
        <v>11</v>
      </c>
      <c r="I457" s="7">
        <f t="shared" si="45"/>
        <v>-9</v>
      </c>
      <c r="J457" s="7">
        <f t="shared" si="46"/>
        <v>0</v>
      </c>
      <c r="K457" s="7" t="str">
        <f t="shared" si="47"/>
        <v>2026|-9</v>
      </c>
    </row>
    <row r="460" spans="1:11" ht="15.75" customHeight="1">
      <c r="A460" s="18" t="s">
        <v>1017</v>
      </c>
    </row>
    <row r="461" spans="1:11" ht="15" customHeight="1">
      <c r="A461" s="17" t="s">
        <v>34</v>
      </c>
      <c r="B461" s="17" t="s">
        <v>1018</v>
      </c>
      <c r="C461" s="17" t="s">
        <v>1019</v>
      </c>
    </row>
    <row r="462" spans="1:11" ht="15" customHeight="1">
      <c r="A462" s="7">
        <v>2018</v>
      </c>
      <c r="B462" s="7">
        <f>SUMPRODUCT(MAX(($A$346:$A$457=A462)*$I$346:$I$457))</f>
        <v>7</v>
      </c>
      <c r="C462" s="7" t="str">
        <f>INDEX($B$346:$B$457,MATCH($A462&amp;"|"&amp;$B462,$K$346:$K$457,0))</f>
        <v>Belgium</v>
      </c>
    </row>
    <row r="463" spans="1:11" ht="15" customHeight="1">
      <c r="A463" s="7">
        <v>2022</v>
      </c>
      <c r="B463" s="7">
        <f>SUMPRODUCT(MAX(($A$346:$A$457=A463)*$I$346:$I$457))</f>
        <v>7</v>
      </c>
      <c r="C463" s="7" t="str">
        <f>INDEX($B$346:$B$457,MATCH($A463&amp;"|"&amp;$B463,$K$346:$K$457,0))</f>
        <v>England</v>
      </c>
    </row>
    <row r="464" spans="1:11" ht="15" customHeight="1">
      <c r="A464" s="7">
        <v>2026</v>
      </c>
      <c r="B464" s="7">
        <f>SUMPRODUCT(MAX(($A$346:$A$457=A464)*$I$346:$I$457))</f>
        <v>8</v>
      </c>
      <c r="C464" s="7" t="str">
        <f>INDEX($B$346:$B$457,MATCH($A464&amp;"|"&amp;$B464,$K$346:$K$457,0))</f>
        <v>France</v>
      </c>
    </row>
  </sheetData>
  <mergeCells count="2">
    <mergeCell ref="A1:L1"/>
    <mergeCell ref="A2:L3"/>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2"/>
  <sheetViews>
    <sheetView topLeftCell="F1" zoomScale="66" zoomScaleNormal="100" workbookViewId="0">
      <selection sqref="A1:E1"/>
    </sheetView>
  </sheetViews>
  <sheetFormatPr baseColWidth="10" defaultColWidth="8.6640625" defaultRowHeight="14.4"/>
  <cols>
    <col min="1" max="1" width="48" style="7" customWidth="1"/>
    <col min="2" max="2" width="55" style="7" customWidth="1"/>
    <col min="3" max="3" width="16" style="7" customWidth="1"/>
    <col min="4" max="4" width="12" style="7" customWidth="1"/>
  </cols>
  <sheetData>
    <row r="1" spans="1:5" ht="21.75" customHeight="1">
      <c r="A1" s="2" t="s">
        <v>1020</v>
      </c>
      <c r="B1" s="2"/>
      <c r="C1" s="2"/>
      <c r="D1" s="2"/>
      <c r="E1" s="2"/>
    </row>
    <row r="2" spans="1:5" ht="15" customHeight="1">
      <c r="A2" s="1" t="s">
        <v>1021</v>
      </c>
      <c r="B2" s="1"/>
      <c r="C2" s="1"/>
      <c r="D2" s="1"/>
      <c r="E2" s="1"/>
    </row>
    <row r="3" spans="1:5" ht="15" customHeight="1">
      <c r="A3" s="1"/>
      <c r="B3" s="1"/>
      <c r="C3" s="1"/>
      <c r="D3" s="1"/>
      <c r="E3" s="1"/>
    </row>
    <row r="5" spans="1:5" ht="15" customHeight="1">
      <c r="A5" s="17" t="s">
        <v>1022</v>
      </c>
      <c r="B5" s="17" t="s">
        <v>1023</v>
      </c>
      <c r="C5" s="17" t="s">
        <v>1024</v>
      </c>
      <c r="D5" s="17" t="s">
        <v>1025</v>
      </c>
    </row>
    <row r="6" spans="1:5" ht="15" customHeight="1">
      <c r="A6" s="7" t="s">
        <v>1026</v>
      </c>
      <c r="B6" s="7">
        <f>COUNTA('07_Base_Limpia'!$A$6:$A$505)</f>
        <v>168</v>
      </c>
      <c r="C6" s="7">
        <v>168</v>
      </c>
      <c r="D6" s="19" t="str">
        <f t="shared" ref="D6:D16" si="0">IF(B6=C6,"OK","REVISAR")</f>
        <v>OK</v>
      </c>
    </row>
    <row r="7" spans="1:5" ht="15" customHeight="1">
      <c r="A7" s="7" t="s">
        <v>1027</v>
      </c>
      <c r="B7" s="7">
        <f>COUNTIF('07_Base_Limpia'!$B$6:$B$505,2018)</f>
        <v>48</v>
      </c>
      <c r="C7" s="7">
        <v>48</v>
      </c>
      <c r="D7" s="19" t="str">
        <f t="shared" si="0"/>
        <v>OK</v>
      </c>
    </row>
    <row r="8" spans="1:5" ht="15" customHeight="1">
      <c r="A8" s="7" t="s">
        <v>1028</v>
      </c>
      <c r="B8" s="7">
        <f>COUNTIF('07_Base_Limpia'!$B$6:$B$505,2022)</f>
        <v>48</v>
      </c>
      <c r="C8" s="7">
        <v>48</v>
      </c>
      <c r="D8" s="19" t="str">
        <f t="shared" si="0"/>
        <v>OK</v>
      </c>
    </row>
    <row r="9" spans="1:5" ht="15" customHeight="1">
      <c r="A9" s="7" t="s">
        <v>1029</v>
      </c>
      <c r="B9" s="7">
        <f>COUNTIF('07_Base_Limpia'!$B$6:$B$505,2026)</f>
        <v>72</v>
      </c>
      <c r="C9" s="7">
        <v>72</v>
      </c>
      <c r="D9" s="19" t="str">
        <f t="shared" si="0"/>
        <v>OK</v>
      </c>
    </row>
    <row r="10" spans="1:5" ht="15" customHeight="1">
      <c r="A10" s="7" t="s">
        <v>1030</v>
      </c>
      <c r="B10" s="7">
        <f>SUMPRODUCT((COUNTIF('07_Base_Limpia'!$A$6:$A$505,'07_Base_Limpia'!$A$6:$A$505)&gt;1)*1)</f>
        <v>0</v>
      </c>
      <c r="C10" s="7">
        <v>0</v>
      </c>
      <c r="D10" s="19" t="str">
        <f t="shared" si="0"/>
        <v>OK</v>
      </c>
    </row>
    <row r="11" spans="1:5" ht="15" customHeight="1">
      <c r="A11" s="7" t="s">
        <v>1031</v>
      </c>
      <c r="B11" s="7">
        <f>SUMPRODUCT(('07_Base_Limpia'!$I$6:$I$173&lt;0)*1)+SUMPRODUCT(('07_Base_Limpia'!$J$6:$J$173&lt;0)*1)</f>
        <v>0</v>
      </c>
      <c r="C11" s="7">
        <v>0</v>
      </c>
      <c r="D11" s="19" t="str">
        <f t="shared" si="0"/>
        <v>OK</v>
      </c>
    </row>
    <row r="12" spans="1:5" ht="15" customHeight="1">
      <c r="A12" s="7" t="s">
        <v>1032</v>
      </c>
      <c r="B12" s="7">
        <f>COUNTBLANK('07_Base_Limpia'!$G$6:$G$173)+COUNTBLANK('07_Base_Limpia'!$H$6:$H$173)+COUNTBLANK('07_Base_Limpia'!$D$6:$D$173)</f>
        <v>0</v>
      </c>
      <c r="C12" s="7">
        <v>0</v>
      </c>
      <c r="D12" s="19" t="str">
        <f t="shared" si="0"/>
        <v>OK</v>
      </c>
    </row>
    <row r="13" spans="1:5" ht="15" customHeight="1">
      <c r="A13" s="7" t="s">
        <v>1033</v>
      </c>
      <c r="B13" s="7">
        <f>COUNTBLANK('07_Base_Limpia'!$F$6:$F$173)</f>
        <v>2</v>
      </c>
      <c r="C13" s="7">
        <v>2</v>
      </c>
      <c r="D13" s="19" t="str">
        <f t="shared" si="0"/>
        <v>OK</v>
      </c>
    </row>
    <row r="14" spans="1:5" ht="15" customHeight="1">
      <c r="A14" s="7" t="s">
        <v>1034</v>
      </c>
      <c r="B14" s="7">
        <f>SUMPRODUCT((('07_Base_Limpia'!$D$6:$D$173&lt;"A")+('07_Base_Limpia'!$D$6:$D$173&gt;"L"))*('07_Base_Limpia'!$D$6:$D$173&lt;&gt;""))</f>
        <v>0</v>
      </c>
      <c r="C14" s="7">
        <v>0</v>
      </c>
      <c r="D14" s="19" t="str">
        <f t="shared" si="0"/>
        <v>OK</v>
      </c>
    </row>
    <row r="15" spans="1:5" ht="15" customHeight="1">
      <c r="A15" s="7" t="s">
        <v>1035</v>
      </c>
      <c r="B15" s="7">
        <f>COUNTIF('07_Base_Limpia'!$G$6:$G$173,"SIN MATCH")+COUNTIF('07_Base_Limpia'!$H$6:$H$173,"SIN MATCH")</f>
        <v>0</v>
      </c>
      <c r="C15" s="7">
        <v>0</v>
      </c>
      <c r="D15" s="19" t="str">
        <f t="shared" si="0"/>
        <v>OK</v>
      </c>
    </row>
    <row r="16" spans="1:5" ht="15" customHeight="1">
      <c r="A16" s="7" t="s">
        <v>1036</v>
      </c>
      <c r="B16" s="7">
        <f>SUMPRODUCT((('07_Base_Limpia'!$K$6:$K$173)&lt;&gt;('07_Base_Limpia'!$I$6:$I$173&amp;"-"&amp;'07_Base_Limpia'!$J$6:$J$173))*1)</f>
        <v>0</v>
      </c>
      <c r="C16" s="7">
        <v>0</v>
      </c>
      <c r="D16" s="19" t="str">
        <f t="shared" si="0"/>
        <v>OK</v>
      </c>
    </row>
    <row r="17" spans="1:4" ht="15" customHeight="1">
      <c r="A17" s="7" t="s">
        <v>1037</v>
      </c>
      <c r="B17" s="7">
        <f>SUMPRODUCT((COUNTIFS('07_Base_Limpia'!$B$6:$B$173,2018,'07_Base_Limpia'!$G$6:$G$173,'07_Base_Limpia'!$G$6:$G$173)&gt;0)/COUNTIFS('07_Base_Limpia'!$G$6:$G$173,'07_Base_Limpia'!$G$6:$G$173))</f>
        <v>31.999999999999996</v>
      </c>
      <c r="C17" s="7" t="s">
        <v>1038</v>
      </c>
      <c r="D17" s="19" t="str">
        <f>IF(ROUND(B17,0)=32,"OK","REVISAR")</f>
        <v>OK</v>
      </c>
    </row>
    <row r="18" spans="1:4">
      <c r="A18" s="20" t="s">
        <v>1039</v>
      </c>
      <c r="B18" s="20">
        <f>COUNTIF('07_Base_Limpia'!$M$6:$M$173,TRUE())+COUNTIF('07_Base_Limpia'!$N$6:$N$173,TRUE())</f>
        <v>15</v>
      </c>
      <c r="C18" s="20" t="s">
        <v>1040</v>
      </c>
      <c r="D18" s="21" t="str">
        <f>IF(B18&gt;0,"OK","REVISAR")</f>
        <v>OK</v>
      </c>
    </row>
    <row r="20" spans="1:4" ht="45" customHeight="1">
      <c r="A20" s="1" t="s">
        <v>1041</v>
      </c>
      <c r="B20" s="1"/>
      <c r="C20" s="1"/>
      <c r="D20" s="1"/>
    </row>
    <row r="21" spans="1:4" ht="15" customHeight="1">
      <c r="A21" s="1"/>
      <c r="B21" s="1"/>
      <c r="C21" s="1"/>
      <c r="D21" s="1"/>
    </row>
    <row r="22" spans="1:4" ht="15" customHeight="1">
      <c r="A22" s="1"/>
      <c r="B22" s="1"/>
      <c r="C22" s="1"/>
      <c r="D22" s="1"/>
    </row>
  </sheetData>
  <mergeCells count="3">
    <mergeCell ref="A1:E1"/>
    <mergeCell ref="A2:E3"/>
    <mergeCell ref="A20:D22"/>
  </mergeCells>
  <conditionalFormatting sqref="D6:D17">
    <cfRule type="cellIs" dxfId="3" priority="2" operator="equal">
      <formula>"OK"</formula>
    </cfRule>
    <cfRule type="cellIs" dxfId="2" priority="3" operator="equal">
      <formula>"REVISAR"</formula>
    </cfRule>
  </conditionalFormatting>
  <conditionalFormatting sqref="D18">
    <cfRule type="cellIs" dxfId="1" priority="4" operator="equal">
      <formula>"OK"</formula>
    </cfRule>
    <cfRule type="cellIs" dxfId="0" priority="5" operator="equal">
      <formula>"REVISAR"</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00_Leeme</vt:lpstr>
      <vt:lpstr>01_Diccionario</vt:lpstr>
      <vt:lpstr>02_Catalogo_Equipos</vt:lpstr>
      <vt:lpstr>03_Sucio_2018</vt:lpstr>
      <vt:lpstr>04_Sucio_2022</vt:lpstr>
      <vt:lpstr>05_Sucio_2026</vt:lpstr>
      <vt:lpstr>06_Control_Calidad</vt:lpstr>
      <vt:lpstr>07_Base_Limpia</vt:lpstr>
      <vt:lpstr>08_Comparacion</vt:lpstr>
      <vt:lpstr>09_Supervisado</vt:lpstr>
      <vt:lpstr>10_Tabla_Equipos</vt:lpstr>
      <vt:lpstr>11_Pruebas_QA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Regina Ramos</cp:lastModifiedBy>
  <cp:revision>5</cp:revision>
  <dcterms:created xsi:type="dcterms:W3CDTF">2026-07-02T19:55:26Z</dcterms:created>
  <dcterms:modified xsi:type="dcterms:W3CDTF">2026-07-03T00:29:14Z</dcterms:modified>
  <dc:language>en-US</dc:language>
</cp:coreProperties>
</file>