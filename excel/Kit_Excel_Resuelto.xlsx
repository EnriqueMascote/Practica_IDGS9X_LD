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9" autoFilterDateGrouping="1"/>
  </bookViews>
  <sheets>
    <sheet name="00_Leeme" sheetId="1" state="visible" r:id="rId1"/>
    <sheet name="01_Diccionario" sheetId="2" state="visible" r:id="rId2"/>
    <sheet name="02_Catalogo_Equipos" sheetId="3" state="visible" r:id="rId3"/>
    <sheet name="03_Sucio_2018" sheetId="4" state="visible" r:id="rId4"/>
    <sheet name="04_Sucio_2022" sheetId="5" state="visible" r:id="rId5"/>
    <sheet name="05_Sucio_2026" sheetId="6" state="visible" r:id="rId6"/>
    <sheet name="06_Control_Calidad" sheetId="7" state="visible" r:id="rId7"/>
    <sheet name="07_Base_Limpia" sheetId="8" state="visible" r:id="rId8"/>
    <sheet name="08_Comparacion" sheetId="9" state="visible" r:id="rId9"/>
    <sheet name="09_Supervisado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0"/>
    <numFmt numFmtId="166" formatCode="0.0%"/>
    <numFmt numFmtId="167" formatCode="yyyy-mm-dd"/>
  </numFmts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color rgb="FF1F2937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6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4" fillId="6" borderId="0" applyAlignment="1" pivotButton="0" quotePrefix="0" xfId="0">
      <alignment vertical="top" wrapText="1"/>
    </xf>
    <xf numFmtId="167" fontId="4" fillId="0" borderId="0" applyAlignment="1" pivotButton="0" quotePrefix="0" xfId="0">
      <alignment vertical="top"/>
    </xf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Goles por partido</v>
          </tx>
          <spPr>
            <a:ln>
              <a:prstDash val="solid"/>
            </a:ln>
          </spPr>
          <invertIfNegative val="1"/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'08_Comparacion'!$D$6:$D$8</f>
              <numCache>
                <formatCode>0.000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% empates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'08_Comparacion'!$F$6:$F$8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1"/>
          <order val="1"/>
          <tx>
            <v>% victoria anfitrión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'08_Comparacion'!$I$6:$I$8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2"/>
          <order val="2"/>
          <tx>
            <v>% &gt; 2.5 goles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'08_Comparacion'!$A$6:$A$8</f>
              <numCache>
                <formatCode>General</formatCode>
                <ptCount val="3"/>
                <pt idx="0">
                  <v>2018</v>
                </pt>
                <pt idx="1">
                  <v>2022</v>
                </pt>
                <pt idx="2">
                  <v>2026</v>
                </pt>
              </numCache>
            </numRef>
          </cat>
          <val>
            <numRef>
              <f>'08_Comparacion'!$J$6:$J$8</f>
              <numCache>
                <formatCode>0.0%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%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4</row>
      <rowOff>0</rowOff>
    </from>
    <to>
      <col>20</col>
      <colOff>0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11</col>
      <colOff>0</colOff>
      <row>21</row>
      <rowOff>0</rowOff>
    </from>
    <to>
      <col>20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RutaTrabajo" displayName="RutaTrabajo" ref="A6:D13" headerRowCount="1">
  <tableColumns count="4">
    <tableColumn id="1" name="Paso"/>
    <tableColumn id="2" name="Actividad"/>
    <tableColumn id="3" name="Qué debe ocurrir"/>
    <tableColumn id="4" name="Herramien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adosControl" displayName="ResultadosControl" ref="A17:F20" headerRowCount="1">
  <tableColumns count="6">
    <tableColumn id="1" name="Mundial"/>
    <tableColumn id="2" name="Partidos"/>
    <tableColumn id="3" name="Goles"/>
    <tableColumn id="4" name="Goles/partido"/>
    <tableColumn id="5" name="Empates"/>
    <tableColumn id="6" name="Cober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ccionarioCampos" displayName="DiccionarioCampos" ref="A5:E24" headerRowCount="1">
  <tableColumns count="5">
    <tableColumn id="1" name="Campo"/>
    <tableColumn id="2" name="Tipo esperado"/>
    <tableColumn id="3" name="Descripción"/>
    <tableColumn id="4" name="Ejemplo"/>
    <tableColumn id="5" name="Deriv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alogoEquipos" displayName="CatalogoEquipos" ref="A5:D100" headerRowCount="1">
  <tableColumns count="4">
    <tableColumn id="1" name="Variante"/>
    <tableColumn id="2" name="Nombre canónico"/>
    <tableColumn id="3" name="Código"/>
    <tableColumn id="4" name="Observación del equip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cio2018" displayName="Sucio2018" ref="A5:P55" headerRowCount="1">
  <tableColumns count="16">
    <tableColumn id="1" name="ID Partido"/>
    <tableColumn id="2" name="Año"/>
    <tableColumn id="3" name="Fase"/>
    <tableColumn id="4" name="Grupo"/>
    <tableColumn id="5" name="Jornada"/>
    <tableColumn id="6" name="Fecha"/>
    <tableColumn id="7" name="Hora"/>
    <tableColumn id="8" name="Equipo Local"/>
    <tableColumn id="9" name="Equipo Visitante"/>
    <tableColumn id="10" name="Goles Local"/>
    <tableColumn id="11" name="Goles Visitante"/>
    <tableColumn id="12" name="Marcador"/>
    <tableColumn id="13" name="Anfitrión Local"/>
    <tableColumn id="14" name="Estadio"/>
    <tableColumn id="15" name="Ciudad"/>
    <tableColumn id="16" name="Fue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cio2022" displayName="Sucio2022" ref="A5:P56" headerRowCount="1">
  <tableColumns count="16">
    <tableColumn id="1" name="match_id"/>
    <tableColumn id="2" name="WorldCup"/>
    <tableColumn id="3" name="stage"/>
    <tableColumn id="4" name="group_name"/>
    <tableColumn id="5" name="match_day"/>
    <tableColumn id="6" name="date"/>
    <tableColumn id="7" name="local"/>
    <tableColumn id="8" name="visitor"/>
    <tableColumn id="9" name="home_score"/>
    <tableColumn id="10" name="away_score"/>
    <tableColumn id="11" name="score_text"/>
    <tableColumn id="12" name="home_host"/>
    <tableColumn id="13" name="venue"/>
    <tableColumn id="14" name="city_name"/>
    <tableColumn id="15" name="comentario"/>
    <tableColumn id="16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cio2026" displayName="Sucio2026" ref="A5:N80" headerRowCount="1">
  <tableColumns count="14">
    <tableColumn id="1" name="match"/>
    <tableColumn id="2" name="wc"/>
    <tableColumn id="3" name="round"/>
    <tableColumn id="4" name="grp"/>
    <tableColumn id="5" name="md"/>
    <tableColumn id="6" name="played_on"/>
    <tableColumn id="7" name="home"/>
    <tableColumn id="8" name="away"/>
    <tableColumn id="9" name="HG"/>
    <tableColumn id="10" name="AG"/>
    <tableColumn id="11" name="result_raw"/>
    <tableColumn id="12" name="host_h"/>
    <tableColumn id="13" name="host_a"/>
    <tableColumn id="14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trolCalidad" displayName="ControlCalidad" ref="A5:G15" headerRowCount="1">
  <tableColumns count="7">
    <tableColumn id="1" name="Dimensión"/>
    <tableColumn id="2" name="Problema"/>
    <tableColumn id="3" name="Cómo detectarlo"/>
    <tableColumn id="4" name="Criterio de aceptación"/>
    <tableColumn id="5" name="Resultado"/>
    <tableColumn id="6" name="Decisión aplicada"/>
    <tableColumn id="7" name="Evidencia / fórmul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aseLimpiaAlumno" displayName="BaseLimpiaAlumno" ref="A5:S505" headerRowCount="1">
  <tableColumns count="19">
    <tableColumn id="1" name="partido_id"/>
    <tableColumn id="2" name="mundial"/>
    <tableColumn id="3" name="fase"/>
    <tableColumn id="4" name="grupo"/>
    <tableColumn id="5" name="jornada"/>
    <tableColumn id="6" name="fecha"/>
    <tableColumn id="7" name="equipo_local"/>
    <tableColumn id="8" name="equipo_visitante"/>
    <tableColumn id="9" name="goles_local"/>
    <tableColumn id="10" name="goles_visitante"/>
    <tableColumn id="11" name="marcador"/>
    <tableColumn id="12" name="resultado_local"/>
    <tableColumn id="13" name="local_es_anfitrion"/>
    <tableColumn id="14" name="visitante_es_anfitrion"/>
    <tableColumn id="15" name="goles_totales"/>
    <tableColumn id="16" name="diferencia_goles"/>
    <tableColumn id="17" name="puntos_local"/>
    <tableColumn id="18" name="puntos_visitante"/>
    <tableColumn id="19" name="fuen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racionAlumno" displayName="ComparacionAlumno" ref="A5:J8" headerRowCount="1">
  <tableColumns count="10">
    <tableColumn id="1" name="Mundial"/>
    <tableColumn id="2" name="Partidos"/>
    <tableColumn id="3" name="Goles"/>
    <tableColumn id="4" name="Goles/partido"/>
    <tableColumn id="5" name="Empates"/>
    <tableColumn id="6" name="% empates"/>
    <tableColumn id="7" name="Partidos anfitrión"/>
    <tableColumn id="8" name="Victorias anfitrión"/>
    <tableColumn id="9" name="% victoria anfitrión"/>
    <tableColumn id="10" name="% partidos &gt; 2.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VariablesSupervisadas" displayName="VariablesSupervisadas" ref="A5:D12" headerRowCount="1">
  <tableColumns count="4">
    <tableColumn id="1" name="Tipo"/>
    <tableColumn id="2" name="Variable"/>
    <tableColumn id="3" name="Ejemplo"/>
    <tableColumn id="4" name="Por qué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lujoSupervisado" displayName="FlujoSupervisado" ref="A16:B23" headerRowCount="1">
  <tableColumns count="2">
    <tableColumn id="1" name="Paso"/>
    <tableColumn id="2" name="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0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:H1"/>
    </sheetView>
  </sheetViews>
  <sheetFormatPr baseColWidth="10" defaultColWidth="9" defaultRowHeight="14.25"/>
  <cols>
    <col width="10" customWidth="1" min="1" max="1"/>
    <col width="19" customWidth="1" min="2" max="2"/>
    <col width="48" customWidth="1" min="3" max="3"/>
    <col width="18" customWidth="1" min="4" max="4"/>
    <col width="14" customWidth="1" min="5" max="5"/>
    <col width="26" customWidth="1" min="6" max="6"/>
    <col width="14" customWidth="1" min="7" max="8"/>
  </cols>
  <sheetData>
    <row r="1" ht="30" customHeight="1">
      <c r="A1" s="10" t="inlineStr">
        <is>
          <t>Laboratorio: Mundiales 2018, 2022 y 2026</t>
        </is>
      </c>
    </row>
    <row r="2" ht="21.95" customHeight="1">
      <c r="A2" s="11" t="inlineStr">
        <is>
          <t>Preparación de datos con Excel y Python; transición al análisis supervisado. Se utiliza exclusivamente la fase de grupos para mantener comparable la etapa deportiva.</t>
        </is>
      </c>
    </row>
    <row r="3" ht="21.95" customHeight="1"/>
    <row r="5" ht="15" customHeight="1">
      <c r="A5" s="12" t="inlineStr">
        <is>
          <t>Ruta de trabajo</t>
        </is>
      </c>
    </row>
    <row r="6" ht="15" customHeight="1">
      <c r="A6" s="1" t="inlineStr">
        <is>
          <t>Paso</t>
        </is>
      </c>
      <c r="B6" s="1" t="inlineStr">
        <is>
          <t>Actividad</t>
        </is>
      </c>
      <c r="C6" s="1" t="inlineStr">
        <is>
          <t>Qué debe ocurrir</t>
        </is>
      </c>
      <c r="D6" s="1" t="inlineStr">
        <is>
          <t>Herramienta</t>
        </is>
      </c>
    </row>
    <row r="7">
      <c r="A7" s="4" t="inlineStr">
        <is>
          <t>1</t>
        </is>
      </c>
      <c r="B7" s="4" t="inlineStr">
        <is>
          <t>Perfilar</t>
        </is>
      </c>
      <c r="C7" s="4" t="inlineStr">
        <is>
          <t>Revisar estructura, tipos, vacíos, valores extraños y duplicados.</t>
        </is>
      </c>
      <c r="D7" s="4" t="inlineStr">
        <is>
          <t>Excel</t>
        </is>
      </c>
    </row>
    <row r="8">
      <c r="A8" s="4" t="inlineStr">
        <is>
          <t>2</t>
        </is>
      </c>
      <c r="B8" s="4" t="inlineStr">
        <is>
          <t>Definir reglas</t>
        </is>
      </c>
      <c r="C8" s="4" t="inlineStr">
        <is>
          <t>Documentar qué se corregirá y con qué evidencia.</t>
        </is>
      </c>
      <c r="D8" s="4" t="inlineStr">
        <is>
          <t>Bitácora</t>
        </is>
      </c>
    </row>
    <row r="9">
      <c r="A9" s="4" t="inlineStr">
        <is>
          <t>3</t>
        </is>
      </c>
      <c r="B9" s="4" t="inlineStr">
        <is>
          <t>Limpiar</t>
        </is>
      </c>
      <c r="C9" s="4" t="inlineStr">
        <is>
          <t>Normalizar columnas, equipos, fechas, grupos, goles y booleanos.</t>
        </is>
      </c>
      <c r="D9" s="4" t="inlineStr">
        <is>
          <t>Excel / Python</t>
        </is>
      </c>
    </row>
    <row r="10">
      <c r="A10" s="4" t="inlineStr">
        <is>
          <t>4</t>
        </is>
      </c>
      <c r="B10" s="4" t="inlineStr">
        <is>
          <t>Validar</t>
        </is>
      </c>
      <c r="C10" s="4" t="inlineStr">
        <is>
          <t>Comprobar conteos, unicidad, rangos y consistencia.</t>
        </is>
      </c>
      <c r="D10" s="4" t="inlineStr">
        <is>
          <t>Pruebas</t>
        </is>
      </c>
    </row>
    <row r="11">
      <c r="A11" s="4" t="inlineStr">
        <is>
          <t>5</t>
        </is>
      </c>
      <c r="B11" s="4" t="inlineStr">
        <is>
          <t>Comparar</t>
        </is>
      </c>
      <c r="C11" s="4" t="inlineStr">
        <is>
          <t>Usar tasas y promedios; no solo totales.</t>
        </is>
      </c>
      <c r="D11" s="4" t="inlineStr">
        <is>
          <t>Excel</t>
        </is>
      </c>
    </row>
    <row r="12">
      <c r="A12" s="4" t="inlineStr">
        <is>
          <t>6</t>
        </is>
      </c>
      <c r="B12" s="4" t="inlineStr">
        <is>
          <t>Modelar</t>
        </is>
      </c>
      <c r="C12" s="4" t="inlineStr">
        <is>
          <t>Construir variables conocidas antes del partido.</t>
        </is>
      </c>
      <c r="D12" s="4" t="inlineStr">
        <is>
          <t>Python</t>
        </is>
      </c>
    </row>
    <row r="13">
      <c r="A13" s="4" t="inlineStr">
        <is>
          <t>7</t>
        </is>
      </c>
      <c r="B13" s="4" t="inlineStr">
        <is>
          <t>Evaluar</t>
        </is>
      </c>
      <c r="C13" s="4" t="inlineStr">
        <is>
          <t>Comparar árbol, línea base y experimento con fuga.</t>
        </is>
      </c>
      <c r="D13" s="4" t="inlineStr">
        <is>
          <t>Python</t>
        </is>
      </c>
    </row>
    <row r="16" ht="15" customHeight="1">
      <c r="A16" s="12" t="inlineStr">
        <is>
          <t>Resultados de control después de limpiar</t>
        </is>
      </c>
    </row>
    <row r="17" ht="15" customHeight="1">
      <c r="A17" s="1" t="inlineStr">
        <is>
          <t>Mundial</t>
        </is>
      </c>
      <c r="B17" s="1" t="inlineStr">
        <is>
          <t>Partidos</t>
        </is>
      </c>
      <c r="C17" s="1" t="inlineStr">
        <is>
          <t>Goles</t>
        </is>
      </c>
      <c r="D17" s="1" t="inlineStr">
        <is>
          <t>Goles/partido</t>
        </is>
      </c>
      <c r="E17" s="1" t="inlineStr">
        <is>
          <t>Empates</t>
        </is>
      </c>
      <c r="F17" s="1" t="inlineStr">
        <is>
          <t>Cobertura</t>
        </is>
      </c>
    </row>
    <row r="18">
      <c r="A18" s="4" t="n">
        <v>2018</v>
      </c>
      <c r="B18" s="4" t="n">
        <v>48</v>
      </c>
      <c r="C18" s="4" t="n">
        <v>122</v>
      </c>
      <c r="D18" s="4" t="n">
        <v>2.5417</v>
      </c>
      <c r="E18" s="4" t="n">
        <v>9</v>
      </c>
      <c r="F18" s="4" t="inlineStr">
        <is>
          <t>32 equipos / 8 grupos</t>
        </is>
      </c>
    </row>
    <row r="19">
      <c r="A19" s="4" t="n">
        <v>2022</v>
      </c>
      <c r="B19" s="4" t="n">
        <v>48</v>
      </c>
      <c r="C19" s="4" t="n">
        <v>120</v>
      </c>
      <c r="D19" s="4" t="n">
        <v>2.5</v>
      </c>
      <c r="E19" s="4" t="n">
        <v>10</v>
      </c>
      <c r="F19" s="4" t="inlineStr">
        <is>
          <t>32 equipos / 8 grupos</t>
        </is>
      </c>
    </row>
    <row r="20">
      <c r="A20" s="4" t="n">
        <v>2026</v>
      </c>
      <c r="B20" s="4" t="n">
        <v>72</v>
      </c>
      <c r="C20" s="4" t="n">
        <v>215</v>
      </c>
      <c r="D20" s="4" t="n">
        <v>2.9861</v>
      </c>
      <c r="E20" s="4" t="n">
        <v>20</v>
      </c>
      <c r="F20" s="4" t="inlineStr">
        <is>
          <t>48 equipos / 12 grupos</t>
        </is>
      </c>
    </row>
    <row r="23">
      <c r="A23" s="13" t="inlineStr">
        <is>
          <t>Advertencia: los datos sucios contienen errores deliberados. No elimines registros ni imputes valores sin justificar la decisión. El objetivo no es únicamente obtener una tabla limpia, sino construir un proceso reproducible y explicar por qué cada transformación es necesaria.</t>
        </is>
      </c>
    </row>
    <row r="24"/>
    <row r="25"/>
  </sheetData>
  <mergeCells count="5">
    <mergeCell ref="A1:H1"/>
    <mergeCell ref="A16:H16"/>
    <mergeCell ref="A2:H3"/>
    <mergeCell ref="A23:H25"/>
    <mergeCell ref="A5:H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:F1"/>
    </sheetView>
  </sheetViews>
  <sheetFormatPr baseColWidth="10" defaultColWidth="9" defaultRowHeight="14.25"/>
  <cols>
    <col width="24" customWidth="1" min="1" max="1"/>
    <col width="16" customWidth="1" min="2" max="2"/>
    <col width="54" customWidth="1" min="3" max="3"/>
    <col width="27" customWidth="1" min="4" max="4"/>
    <col width="13" customWidth="1" min="5" max="5"/>
  </cols>
  <sheetData>
    <row r="1" ht="30" customHeight="1">
      <c r="A1" s="10" t="inlineStr">
        <is>
          <t>Diccionario de la base integrada</t>
        </is>
      </c>
    </row>
    <row r="2" ht="21.95" customHeight="1">
      <c r="A2" s="11" t="inlineStr">
        <is>
          <t>Campos mínimos esperados después de unificar los tres archivos.</t>
        </is>
      </c>
    </row>
    <row r="3" ht="21.95" customHeight="1"/>
    <row r="5" ht="15" customHeight="1">
      <c r="A5" s="1" t="inlineStr">
        <is>
          <t>Campo</t>
        </is>
      </c>
      <c r="B5" s="1" t="inlineStr">
        <is>
          <t>Tipo esperado</t>
        </is>
      </c>
      <c r="C5" s="1" t="inlineStr">
        <is>
          <t>Descripción</t>
        </is>
      </c>
      <c r="D5" s="1" t="inlineStr">
        <is>
          <t>Ejemplo</t>
        </is>
      </c>
      <c r="E5" s="1" t="inlineStr">
        <is>
          <t>Derivado</t>
        </is>
      </c>
    </row>
    <row r="6">
      <c r="A6" s="4" t="inlineStr">
        <is>
          <t>partido_id</t>
        </is>
      </c>
      <c r="B6" s="4" t="inlineStr">
        <is>
          <t>Texto</t>
        </is>
      </c>
      <c r="C6" s="4" t="inlineStr">
        <is>
          <t>Identificador único del encuentro.</t>
        </is>
      </c>
      <c r="D6" s="4" t="inlineStr">
        <is>
          <t>M-2018-001</t>
        </is>
      </c>
      <c r="E6" s="4" t="inlineStr">
        <is>
          <t>No</t>
        </is>
      </c>
    </row>
    <row r="7">
      <c r="A7" s="4" t="inlineStr">
        <is>
          <t>mundial</t>
        </is>
      </c>
      <c r="B7" s="4" t="inlineStr">
        <is>
          <t>Entero</t>
        </is>
      </c>
      <c r="C7" s="4" t="inlineStr">
        <is>
          <t>Año del torneo.</t>
        </is>
      </c>
      <c r="D7" s="4" t="n">
        <v>2018</v>
      </c>
      <c r="E7" s="4" t="inlineStr">
        <is>
          <t>No</t>
        </is>
      </c>
    </row>
    <row r="8">
      <c r="A8" s="4" t="inlineStr">
        <is>
          <t>fase</t>
        </is>
      </c>
      <c r="B8" s="4" t="inlineStr">
        <is>
          <t>Categoría</t>
        </is>
      </c>
      <c r="C8" s="4" t="inlineStr">
        <is>
          <t>Etapa del torneo; en el kit siempre será Fase de grupos.</t>
        </is>
      </c>
      <c r="D8" s="4" t="inlineStr">
        <is>
          <t>Fase de grupos</t>
        </is>
      </c>
      <c r="E8" s="4" t="inlineStr">
        <is>
          <t>No</t>
        </is>
      </c>
    </row>
    <row r="9">
      <c r="A9" s="4" t="inlineStr">
        <is>
          <t>grupo</t>
        </is>
      </c>
      <c r="B9" s="4" t="inlineStr">
        <is>
          <t>Categoría</t>
        </is>
      </c>
      <c r="C9" s="4" t="inlineStr">
        <is>
          <t>Grupo A-L.</t>
        </is>
      </c>
      <c r="D9" s="4" t="inlineStr">
        <is>
          <t>A</t>
        </is>
      </c>
      <c r="E9" s="4" t="inlineStr">
        <is>
          <t>No</t>
        </is>
      </c>
    </row>
    <row r="10">
      <c r="A10" s="4" t="inlineStr">
        <is>
          <t>jornada</t>
        </is>
      </c>
      <c r="B10" s="4" t="inlineStr">
        <is>
          <t>Entero</t>
        </is>
      </c>
      <c r="C10" s="4" t="inlineStr">
        <is>
          <t>Jornada 1, 2 o 3.</t>
        </is>
      </c>
      <c r="D10" s="4" t="n">
        <v>1</v>
      </c>
      <c r="E10" s="4" t="inlineStr">
        <is>
          <t>No</t>
        </is>
      </c>
    </row>
    <row r="11">
      <c r="A11" s="4" t="inlineStr">
        <is>
          <t>fecha</t>
        </is>
      </c>
      <c r="B11" s="4" t="inlineStr">
        <is>
          <t>Fecha</t>
        </is>
      </c>
      <c r="C11" s="4" t="inlineStr">
        <is>
          <t>Fecha real del partido.</t>
        </is>
      </c>
      <c r="D11" s="4" t="inlineStr">
        <is>
          <t>2018-06-14</t>
        </is>
      </c>
      <c r="E11" s="4" t="inlineStr">
        <is>
          <t>No</t>
        </is>
      </c>
    </row>
    <row r="12">
      <c r="A12" s="4" t="inlineStr">
        <is>
          <t>equipo_local</t>
        </is>
      </c>
      <c r="B12" s="4" t="inlineStr">
        <is>
          <t>Texto</t>
        </is>
      </c>
      <c r="C12" s="4" t="inlineStr">
        <is>
          <t>Nombre canónico del equipo local.</t>
        </is>
      </c>
      <c r="D12" s="4" t="inlineStr">
        <is>
          <t>Russia</t>
        </is>
      </c>
      <c r="E12" s="4" t="inlineStr">
        <is>
          <t>No</t>
        </is>
      </c>
    </row>
    <row r="13">
      <c r="A13" s="4" t="inlineStr">
        <is>
          <t>equipo_visitante</t>
        </is>
      </c>
      <c r="B13" s="4" t="inlineStr">
        <is>
          <t>Texto</t>
        </is>
      </c>
      <c r="C13" s="4" t="inlineStr">
        <is>
          <t>Nombre canónico del equipo visitante.</t>
        </is>
      </c>
      <c r="D13" s="4" t="inlineStr">
        <is>
          <t>Saudi Arabia</t>
        </is>
      </c>
      <c r="E13" s="4" t="inlineStr">
        <is>
          <t>No</t>
        </is>
      </c>
    </row>
    <row r="14">
      <c r="A14" s="4" t="inlineStr">
        <is>
          <t>goles_local</t>
        </is>
      </c>
      <c r="B14" s="4" t="inlineStr">
        <is>
          <t>Entero</t>
        </is>
      </c>
      <c r="C14" s="4" t="inlineStr">
        <is>
          <t>Goles del equipo local; debe ser mayor o igual que cero.</t>
        </is>
      </c>
      <c r="D14" s="4" t="n">
        <v>5</v>
      </c>
      <c r="E14" s="4" t="inlineStr">
        <is>
          <t>No</t>
        </is>
      </c>
    </row>
    <row r="15">
      <c r="A15" s="4" t="inlineStr">
        <is>
          <t>goles_visitante</t>
        </is>
      </c>
      <c r="B15" s="4" t="inlineStr">
        <is>
          <t>Entero</t>
        </is>
      </c>
      <c r="C15" s="4" t="inlineStr">
        <is>
          <t>Goles del visitante; debe ser mayor o igual que cero.</t>
        </is>
      </c>
      <c r="D15" s="4" t="n">
        <v>0</v>
      </c>
      <c r="E15" s="4" t="inlineStr">
        <is>
          <t>No</t>
        </is>
      </c>
    </row>
    <row r="16">
      <c r="A16" s="4" t="inlineStr">
        <is>
          <t>marcador</t>
        </is>
      </c>
      <c r="B16" s="4" t="inlineStr">
        <is>
          <t>Derivado</t>
        </is>
      </c>
      <c r="C16" s="4" t="inlineStr">
        <is>
          <t>Texto goles_local-goles_visitante.</t>
        </is>
      </c>
      <c r="D16" s="4" t="inlineStr">
        <is>
          <t>5-0</t>
        </is>
      </c>
      <c r="E16" s="4" t="inlineStr">
        <is>
          <t>Sí</t>
        </is>
      </c>
    </row>
    <row r="17">
      <c r="A17" s="4" t="inlineStr">
        <is>
          <t>resultado_local</t>
        </is>
      </c>
      <c r="B17" s="4" t="inlineStr">
        <is>
          <t>Derivado</t>
        </is>
      </c>
      <c r="C17" s="4" t="inlineStr">
        <is>
          <t>Gana, Empata o Pierde desde la perspectiva local.</t>
        </is>
      </c>
      <c r="D17" s="4" t="inlineStr">
        <is>
          <t>Gana</t>
        </is>
      </c>
      <c r="E17" s="4" t="inlineStr">
        <is>
          <t>Sí</t>
        </is>
      </c>
    </row>
    <row r="18">
      <c r="A18" s="4" t="inlineStr">
        <is>
          <t>local_es_anfitrion</t>
        </is>
      </c>
      <c r="B18" s="4" t="inlineStr">
        <is>
          <t>Booleano</t>
        </is>
      </c>
      <c r="C18" s="4" t="inlineStr">
        <is>
          <t>Indica si el local pertenece a un país anfitrión.</t>
        </is>
      </c>
      <c r="D18" s="4" t="b">
        <v>1</v>
      </c>
      <c r="E18" s="4" t="inlineStr">
        <is>
          <t>No</t>
        </is>
      </c>
    </row>
    <row r="19">
      <c r="A19" s="4" t="inlineStr">
        <is>
          <t>visitante_es_anfitrion</t>
        </is>
      </c>
      <c r="B19" s="4" t="inlineStr">
        <is>
          <t>Booleano</t>
        </is>
      </c>
      <c r="C19" s="4" t="inlineStr">
        <is>
          <t>Indica si el visitante pertenece a un país anfitrión.</t>
        </is>
      </c>
      <c r="D19" s="4" t="b">
        <v>0</v>
      </c>
      <c r="E19" s="4" t="inlineStr">
        <is>
          <t>No</t>
        </is>
      </c>
    </row>
    <row r="20">
      <c r="A20" s="4" t="inlineStr">
        <is>
          <t>goles_totales</t>
        </is>
      </c>
      <c r="B20" s="4" t="inlineStr">
        <is>
          <t>Derivado</t>
        </is>
      </c>
      <c r="C20" s="4" t="inlineStr">
        <is>
          <t>Suma de los goles del partido.</t>
        </is>
      </c>
      <c r="D20" s="4" t="n">
        <v>5</v>
      </c>
      <c r="E20" s="4" t="inlineStr">
        <is>
          <t>Sí</t>
        </is>
      </c>
    </row>
    <row r="21">
      <c r="A21" s="4" t="inlineStr">
        <is>
          <t>diferencia_goles</t>
        </is>
      </c>
      <c r="B21" s="4" t="inlineStr">
        <is>
          <t>Derivado</t>
        </is>
      </c>
      <c r="C21" s="4" t="inlineStr">
        <is>
          <t>Goles local menos goles visitante.</t>
        </is>
      </c>
      <c r="D21" s="4" t="n">
        <v>5</v>
      </c>
      <c r="E21" s="4" t="inlineStr">
        <is>
          <t>Sí</t>
        </is>
      </c>
    </row>
    <row r="22">
      <c r="A22" s="4" t="inlineStr">
        <is>
          <t>puntos_local</t>
        </is>
      </c>
      <c r="B22" s="4" t="inlineStr">
        <is>
          <t>Derivado</t>
        </is>
      </c>
      <c r="C22" s="4" t="inlineStr">
        <is>
          <t>3 por victoria, 1 por empate y 0 por derrota.</t>
        </is>
      </c>
      <c r="D22" s="4" t="n">
        <v>3</v>
      </c>
      <c r="E22" s="4" t="inlineStr">
        <is>
          <t>Sí</t>
        </is>
      </c>
    </row>
    <row r="23">
      <c r="A23" s="4" t="inlineStr">
        <is>
          <t>puntos_visitante</t>
        </is>
      </c>
      <c r="B23" s="4" t="inlineStr">
        <is>
          <t>Derivado</t>
        </is>
      </c>
      <c r="C23" s="4" t="inlineStr">
        <is>
          <t>3 por victoria, 1 por empate y 0 por derrota.</t>
        </is>
      </c>
      <c r="D23" s="4" t="n">
        <v>0</v>
      </c>
      <c r="E23" s="4" t="inlineStr">
        <is>
          <t>Sí</t>
        </is>
      </c>
    </row>
    <row r="24">
      <c r="A24" s="4" t="inlineStr">
        <is>
          <t>fuente</t>
        </is>
      </c>
      <c r="B24" s="4" t="inlineStr">
        <is>
          <t>URL</t>
        </is>
      </c>
      <c r="C24" s="4" t="inlineStr">
        <is>
          <t>Origen del dato limpio.</t>
        </is>
      </c>
      <c r="D24" s="4" t="inlineStr">
        <is>
          <t>https://...</t>
        </is>
      </c>
      <c r="E24" s="4" t="inlineStr">
        <is>
          <t>No</t>
        </is>
      </c>
    </row>
  </sheetData>
  <mergeCells count="2">
    <mergeCell ref="A1:F1"/>
    <mergeCell ref="A2:F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topLeftCell="A70" workbookViewId="0">
      <selection activeCell="A1" sqref="A1:D1"/>
    </sheetView>
  </sheetViews>
  <sheetFormatPr baseColWidth="10" defaultColWidth="9" defaultRowHeight="14.25"/>
  <cols>
    <col width="34" customWidth="1" min="1" max="2"/>
    <col width="12" customWidth="1" min="3" max="3"/>
    <col width="38" customWidth="1" min="4" max="4"/>
  </cols>
  <sheetData>
    <row r="1" ht="30" customHeight="1">
      <c r="A1" s="10" t="inlineStr">
        <is>
          <t>Catálogo de equipos</t>
        </is>
      </c>
    </row>
    <row r="2" ht="21.95" customHeight="1">
      <c r="A2" s="11" t="inlineStr">
        <is>
          <t>Utiliza la variante para buscar y devolver el nombre canónico. Conserva los acentos en el nombre que se mostrará.</t>
        </is>
      </c>
    </row>
    <row r="3" ht="21.95" customHeight="1"/>
    <row r="5" ht="15" customHeight="1">
      <c r="A5" s="1" t="inlineStr">
        <is>
          <t>Variante</t>
        </is>
      </c>
      <c r="B5" s="1" t="inlineStr">
        <is>
          <t>Nombre canónico</t>
        </is>
      </c>
      <c r="C5" s="1" t="inlineStr">
        <is>
          <t>Código</t>
        </is>
      </c>
      <c r="D5" s="1" t="inlineStr">
        <is>
          <t>Observación del equipo</t>
        </is>
      </c>
    </row>
    <row r="6">
      <c r="A6" s="4" t="inlineStr">
        <is>
          <t>Algeria</t>
        </is>
      </c>
      <c r="B6" s="4" t="inlineStr">
        <is>
          <t>Algeria</t>
        </is>
      </c>
      <c r="C6" s="4" t="inlineStr">
        <is>
          <t>DZA</t>
        </is>
      </c>
      <c r="D6" s="5" t="n"/>
    </row>
    <row r="7">
      <c r="A7" s="4" t="inlineStr">
        <is>
          <t>Argentina</t>
        </is>
      </c>
      <c r="B7" s="4" t="inlineStr">
        <is>
          <t>Argentina</t>
        </is>
      </c>
      <c r="C7" s="4" t="inlineStr">
        <is>
          <t>ARG</t>
        </is>
      </c>
      <c r="D7" s="5" t="n"/>
    </row>
    <row r="8">
      <c r="A8" s="4" t="inlineStr">
        <is>
          <t>Australia</t>
        </is>
      </c>
      <c r="B8" s="4" t="inlineStr">
        <is>
          <t>Australia</t>
        </is>
      </c>
      <c r="C8" s="4" t="inlineStr">
        <is>
          <t>AUS</t>
        </is>
      </c>
      <c r="D8" s="5" t="n"/>
    </row>
    <row r="9">
      <c r="A9" s="4" t="inlineStr">
        <is>
          <t>Austria</t>
        </is>
      </c>
      <c r="B9" s="4" t="inlineStr">
        <is>
          <t>Austria</t>
        </is>
      </c>
      <c r="C9" s="4" t="inlineStr">
        <is>
          <t>AUT</t>
        </is>
      </c>
      <c r="D9" s="5" t="n"/>
    </row>
    <row r="10">
      <c r="A10" s="4" t="inlineStr">
        <is>
          <t>Belgium</t>
        </is>
      </c>
      <c r="B10" s="4" t="inlineStr">
        <is>
          <t>Belgium</t>
        </is>
      </c>
      <c r="C10" s="4" t="inlineStr">
        <is>
          <t>BEL</t>
        </is>
      </c>
      <c r="D10" s="5" t="n"/>
    </row>
    <row r="11">
      <c r="A11" s="4" t="inlineStr">
        <is>
          <t>Bosnia</t>
        </is>
      </c>
      <c r="B11" s="4" t="inlineStr">
        <is>
          <t>Bosnia and Herzegovina</t>
        </is>
      </c>
      <c r="C11" s="4" t="inlineStr">
        <is>
          <t>BIH</t>
        </is>
      </c>
      <c r="D11" s="5" t="n"/>
    </row>
    <row r="12">
      <c r="A12" s="4" t="inlineStr">
        <is>
          <t>Bosnia &amp; Herzegovina</t>
        </is>
      </c>
      <c r="B12" s="4" t="inlineStr">
        <is>
          <t>Bosnia and Herzegovina</t>
        </is>
      </c>
      <c r="C12" s="4" t="inlineStr">
        <is>
          <t>BIH</t>
        </is>
      </c>
      <c r="D12" s="5" t="n"/>
    </row>
    <row r="13">
      <c r="A13" s="4" t="inlineStr">
        <is>
          <t>Bosnia and Herzegovina</t>
        </is>
      </c>
      <c r="B13" s="4" t="inlineStr">
        <is>
          <t>Bosnia and Herzegovina</t>
        </is>
      </c>
      <c r="C13" s="4" t="inlineStr">
        <is>
          <t>BIH</t>
        </is>
      </c>
      <c r="D13" s="5" t="n"/>
    </row>
    <row r="14">
      <c r="A14" s="4" t="inlineStr">
        <is>
          <t>Bosnia-Herzegovina</t>
        </is>
      </c>
      <c r="B14" s="4" t="inlineStr">
        <is>
          <t>Bosnia and Herzegovina</t>
        </is>
      </c>
      <c r="C14" s="4" t="inlineStr">
        <is>
          <t>BIH</t>
        </is>
      </c>
      <c r="D14" s="5" t="n"/>
    </row>
    <row r="15">
      <c r="A15" s="4" t="inlineStr">
        <is>
          <t>Brasil</t>
        </is>
      </c>
      <c r="B15" s="4" t="inlineStr">
        <is>
          <t>Brazil</t>
        </is>
      </c>
      <c r="C15" s="4" t="inlineStr">
        <is>
          <t>BRA</t>
        </is>
      </c>
      <c r="D15" s="5" t="n"/>
    </row>
    <row r="16">
      <c r="A16" s="4" t="inlineStr">
        <is>
          <t>Brazil</t>
        </is>
      </c>
      <c r="B16" s="4" t="inlineStr">
        <is>
          <t>Brazil</t>
        </is>
      </c>
      <c r="C16" s="4" t="inlineStr">
        <is>
          <t>BRA</t>
        </is>
      </c>
      <c r="D16" s="5" t="n"/>
    </row>
    <row r="17">
      <c r="A17" s="4" t="inlineStr">
        <is>
          <t>Cameroon</t>
        </is>
      </c>
      <c r="B17" s="4" t="inlineStr">
        <is>
          <t>Cameroon</t>
        </is>
      </c>
      <c r="C17" s="4" t="inlineStr">
        <is>
          <t>CMR</t>
        </is>
      </c>
      <c r="D17" s="5" t="n"/>
    </row>
    <row r="18">
      <c r="A18" s="4" t="inlineStr">
        <is>
          <t>Canada</t>
        </is>
      </c>
      <c r="B18" s="4" t="inlineStr">
        <is>
          <t>Canada</t>
        </is>
      </c>
      <c r="C18" s="4" t="inlineStr">
        <is>
          <t>CAN</t>
        </is>
      </c>
      <c r="D18" s="5" t="n"/>
    </row>
    <row r="19">
      <c r="A19" s="4" t="inlineStr">
        <is>
          <t>Cabo Verde</t>
        </is>
      </c>
      <c r="B19" s="4" t="inlineStr">
        <is>
          <t>Cape Verde</t>
        </is>
      </c>
      <c r="C19" s="4" t="inlineStr">
        <is>
          <t>CPV</t>
        </is>
      </c>
      <c r="D19" s="5" t="n"/>
    </row>
    <row r="20">
      <c r="A20" s="4" t="inlineStr">
        <is>
          <t>Cape Verde</t>
        </is>
      </c>
      <c r="B20" s="4" t="inlineStr">
        <is>
          <t>Cape Verde</t>
        </is>
      </c>
      <c r="C20" s="4" t="inlineStr">
        <is>
          <t>CPV</t>
        </is>
      </c>
      <c r="D20" s="5" t="n"/>
    </row>
    <row r="21">
      <c r="A21" s="4" t="inlineStr">
        <is>
          <t>Cape-Verde</t>
        </is>
      </c>
      <c r="B21" s="4" t="inlineStr">
        <is>
          <t>Cape Verde</t>
        </is>
      </c>
      <c r="C21" s="4" t="inlineStr">
        <is>
          <t>CPV</t>
        </is>
      </c>
      <c r="D21" s="5" t="n"/>
    </row>
    <row r="22">
      <c r="A22" s="4" t="inlineStr">
        <is>
          <t>Colombia</t>
        </is>
      </c>
      <c r="B22" s="4" t="inlineStr">
        <is>
          <t>Colombia</t>
        </is>
      </c>
      <c r="C22" s="4" t="inlineStr">
        <is>
          <t>COL</t>
        </is>
      </c>
      <c r="D22" s="5" t="n"/>
    </row>
    <row r="23">
      <c r="A23" s="4" t="inlineStr">
        <is>
          <t>Costa Rica</t>
        </is>
      </c>
      <c r="B23" s="4" t="inlineStr">
        <is>
          <t>Costa Rica</t>
        </is>
      </c>
      <c r="C23" s="4" t="inlineStr">
        <is>
          <t>CRI</t>
        </is>
      </c>
      <c r="D23" s="5" t="n"/>
    </row>
    <row r="24">
      <c r="A24" s="4" t="inlineStr">
        <is>
          <t>Croatia</t>
        </is>
      </c>
      <c r="B24" s="4" t="inlineStr">
        <is>
          <t>Croatia</t>
        </is>
      </c>
      <c r="C24" s="4" t="inlineStr">
        <is>
          <t>HRV</t>
        </is>
      </c>
      <c r="D24" s="5" t="n"/>
    </row>
    <row r="25">
      <c r="A25" s="4" t="inlineStr">
        <is>
          <t>CURACAO</t>
        </is>
      </c>
      <c r="B25" s="4" t="inlineStr">
        <is>
          <t>Curacao</t>
        </is>
      </c>
      <c r="C25" s="4" t="inlineStr">
        <is>
          <t>CUW</t>
        </is>
      </c>
      <c r="D25" s="5" t="n"/>
    </row>
    <row r="26">
      <c r="A26" s="4" t="inlineStr">
        <is>
          <t>Curacao</t>
        </is>
      </c>
      <c r="B26" s="4" t="inlineStr">
        <is>
          <t>Curacao</t>
        </is>
      </c>
      <c r="C26" s="4" t="inlineStr">
        <is>
          <t>CUW</t>
        </is>
      </c>
      <c r="D26" s="5" t="n"/>
    </row>
    <row r="27">
      <c r="A27" s="4" t="inlineStr">
        <is>
          <t>Curacao</t>
        </is>
      </c>
      <c r="B27" s="4" t="inlineStr">
        <is>
          <t>Curacao</t>
        </is>
      </c>
      <c r="C27" s="4" t="inlineStr">
        <is>
          <t>CUW</t>
        </is>
      </c>
      <c r="D27" s="5" t="n"/>
    </row>
    <row r="28">
      <c r="A28" s="4" t="inlineStr">
        <is>
          <t>Curaçao</t>
        </is>
      </c>
      <c r="B28" s="4" t="inlineStr">
        <is>
          <t>Curacao</t>
        </is>
      </c>
      <c r="C28" s="4" t="inlineStr">
        <is>
          <t>CUW</t>
        </is>
      </c>
      <c r="D28" s="5" t="n"/>
    </row>
    <row r="29">
      <c r="A29" s="4" t="inlineStr">
        <is>
          <t>Czech Rep.</t>
        </is>
      </c>
      <c r="B29" s="4" t="inlineStr">
        <is>
          <t>Czechia</t>
        </is>
      </c>
      <c r="C29" s="4" t="inlineStr">
        <is>
          <t>CZE</t>
        </is>
      </c>
      <c r="D29" s="5" t="n"/>
    </row>
    <row r="30">
      <c r="A30" s="4" t="inlineStr">
        <is>
          <t>Czech Republic</t>
        </is>
      </c>
      <c r="B30" s="4" t="inlineStr">
        <is>
          <t>Czechia</t>
        </is>
      </c>
      <c r="C30" s="4" t="inlineStr">
        <is>
          <t>CZE</t>
        </is>
      </c>
      <c r="D30" s="5" t="n"/>
    </row>
    <row r="31">
      <c r="A31" s="4" t="inlineStr">
        <is>
          <t>Czechia</t>
        </is>
      </c>
      <c r="B31" s="4" t="inlineStr">
        <is>
          <t>Czechia</t>
        </is>
      </c>
      <c r="C31" s="4" t="inlineStr">
        <is>
          <t>CZE</t>
        </is>
      </c>
      <c r="D31" s="5" t="n"/>
    </row>
    <row r="32">
      <c r="A32" s="4" t="inlineStr">
        <is>
          <t>Congo DR</t>
        </is>
      </c>
      <c r="B32" s="4" t="inlineStr">
        <is>
          <t>DR Congo</t>
        </is>
      </c>
      <c r="C32" s="4" t="inlineStr">
        <is>
          <t>COD</t>
        </is>
      </c>
      <c r="D32" s="5" t="n"/>
    </row>
    <row r="33">
      <c r="A33" s="4" t="inlineStr">
        <is>
          <t>D.R. Congo</t>
        </is>
      </c>
      <c r="B33" s="4" t="inlineStr">
        <is>
          <t>DR Congo</t>
        </is>
      </c>
      <c r="C33" s="4" t="inlineStr">
        <is>
          <t>COD</t>
        </is>
      </c>
      <c r="D33" s="5" t="n"/>
    </row>
    <row r="34">
      <c r="A34" s="4" t="inlineStr">
        <is>
          <t>DR Congo</t>
        </is>
      </c>
      <c r="B34" s="4" t="inlineStr">
        <is>
          <t>DR Congo</t>
        </is>
      </c>
      <c r="C34" s="4" t="inlineStr">
        <is>
          <t>COD</t>
        </is>
      </c>
      <c r="D34" s="5" t="n"/>
    </row>
    <row r="35">
      <c r="A35" s="4" t="inlineStr">
        <is>
          <t>Democratic Republic of the Congo</t>
        </is>
      </c>
      <c r="B35" s="4" t="inlineStr">
        <is>
          <t>DR Congo</t>
        </is>
      </c>
      <c r="C35" s="4" t="inlineStr">
        <is>
          <t>COD</t>
        </is>
      </c>
      <c r="D35" s="5" t="n"/>
    </row>
    <row r="36">
      <c r="A36" s="4" t="inlineStr">
        <is>
          <t>Denmark</t>
        </is>
      </c>
      <c r="B36" s="4" t="inlineStr">
        <is>
          <t>Denmark</t>
        </is>
      </c>
      <c r="C36" s="4" t="inlineStr">
        <is>
          <t>DNK</t>
        </is>
      </c>
      <c r="D36" s="5" t="n"/>
    </row>
    <row r="37">
      <c r="A37" s="4" t="inlineStr">
        <is>
          <t>Ecuador</t>
        </is>
      </c>
      <c r="B37" s="4" t="inlineStr">
        <is>
          <t>Ecuador</t>
        </is>
      </c>
      <c r="C37" s="4" t="inlineStr">
        <is>
          <t>ECU</t>
        </is>
      </c>
      <c r="D37" s="5" t="n"/>
    </row>
    <row r="38">
      <c r="A38" s="4" t="inlineStr">
        <is>
          <t>Egypt</t>
        </is>
      </c>
      <c r="B38" s="4" t="inlineStr">
        <is>
          <t>Egypt</t>
        </is>
      </c>
      <c r="C38" s="4" t="inlineStr">
        <is>
          <t>EGY</t>
        </is>
      </c>
      <c r="D38" s="5" t="n"/>
    </row>
    <row r="39">
      <c r="A39" s="4" t="inlineStr">
        <is>
          <t>England</t>
        </is>
      </c>
      <c r="B39" s="4" t="inlineStr">
        <is>
          <t>England</t>
        </is>
      </c>
      <c r="C39" s="4" t="inlineStr">
        <is>
          <t>ENG</t>
        </is>
      </c>
      <c r="D39" s="5" t="n"/>
    </row>
    <row r="40">
      <c r="A40" s="4" t="inlineStr">
        <is>
          <t>France</t>
        </is>
      </c>
      <c r="B40" s="4" t="inlineStr">
        <is>
          <t>France</t>
        </is>
      </c>
      <c r="C40" s="4" t="inlineStr">
        <is>
          <t>FRA</t>
        </is>
      </c>
      <c r="D40" s="5" t="n"/>
    </row>
    <row r="41">
      <c r="A41" s="4" t="inlineStr">
        <is>
          <t>Deutschland</t>
        </is>
      </c>
      <c r="B41" s="4" t="inlineStr">
        <is>
          <t>Germany</t>
        </is>
      </c>
      <c r="C41" s="4" t="inlineStr">
        <is>
          <t>DEU</t>
        </is>
      </c>
      <c r="D41" s="5" t="n"/>
    </row>
    <row r="42">
      <c r="A42" s="4" t="inlineStr">
        <is>
          <t>Germany</t>
        </is>
      </c>
      <c r="B42" s="4" t="inlineStr">
        <is>
          <t>Germany</t>
        </is>
      </c>
      <c r="C42" s="4" t="inlineStr">
        <is>
          <t>DEU</t>
        </is>
      </c>
      <c r="D42" s="5" t="n"/>
    </row>
    <row r="43">
      <c r="A43" s="4" t="inlineStr">
        <is>
          <t>Ghana</t>
        </is>
      </c>
      <c r="B43" s="4" t="inlineStr">
        <is>
          <t>Ghana</t>
        </is>
      </c>
      <c r="C43" s="4" t="inlineStr">
        <is>
          <t>GHA</t>
        </is>
      </c>
      <c r="D43" s="5" t="n"/>
    </row>
    <row r="44">
      <c r="A44" s="4" t="inlineStr">
        <is>
          <t>Haiti</t>
        </is>
      </c>
      <c r="B44" s="4" t="inlineStr">
        <is>
          <t>Haiti</t>
        </is>
      </c>
      <c r="C44" s="4" t="inlineStr">
        <is>
          <t>HTI</t>
        </is>
      </c>
      <c r="D44" s="5" t="n"/>
    </row>
    <row r="45">
      <c r="A45" s="4" t="inlineStr">
        <is>
          <t>Iceland</t>
        </is>
      </c>
      <c r="B45" s="4" t="inlineStr">
        <is>
          <t>Iceland</t>
        </is>
      </c>
      <c r="C45" s="4" t="inlineStr">
        <is>
          <t>ISL</t>
        </is>
      </c>
      <c r="D45" s="5" t="n"/>
    </row>
    <row r="46">
      <c r="A46" s="4" t="inlineStr">
        <is>
          <t>IR Iran</t>
        </is>
      </c>
      <c r="B46" s="4" t="inlineStr">
        <is>
          <t>Iran</t>
        </is>
      </c>
      <c r="C46" s="4" t="inlineStr">
        <is>
          <t>IRN</t>
        </is>
      </c>
      <c r="D46" s="5" t="n"/>
    </row>
    <row r="47">
      <c r="A47" s="4" t="inlineStr">
        <is>
          <t>Iran</t>
        </is>
      </c>
      <c r="B47" s="4" t="inlineStr">
        <is>
          <t>Iran</t>
        </is>
      </c>
      <c r="C47" s="4" t="inlineStr">
        <is>
          <t>IRN</t>
        </is>
      </c>
      <c r="D47" s="5" t="n"/>
    </row>
    <row r="48">
      <c r="A48" s="4" t="inlineStr">
        <is>
          <t>Iran, I.R.</t>
        </is>
      </c>
      <c r="B48" s="4" t="inlineStr">
        <is>
          <t>Iran</t>
        </is>
      </c>
      <c r="C48" s="4" t="inlineStr">
        <is>
          <t>IRN</t>
        </is>
      </c>
      <c r="D48" s="5" t="n"/>
    </row>
    <row r="49">
      <c r="A49" s="4" t="inlineStr">
        <is>
          <t>Iraq</t>
        </is>
      </c>
      <c r="B49" s="4" t="inlineStr">
        <is>
          <t>Iraq</t>
        </is>
      </c>
      <c r="C49" s="4" t="inlineStr">
        <is>
          <t>IRQ</t>
        </is>
      </c>
      <c r="D49" s="5" t="n"/>
    </row>
    <row r="50">
      <c r="A50" s="4" t="inlineStr">
        <is>
          <t>Cote d Ivoire</t>
        </is>
      </c>
      <c r="B50" s="4" t="inlineStr">
        <is>
          <t>Ivory Coast</t>
        </is>
      </c>
      <c r="C50" s="4" t="inlineStr">
        <is>
          <t>CIV</t>
        </is>
      </c>
      <c r="D50" s="5" t="n"/>
    </row>
    <row r="51">
      <c r="A51" s="4" t="inlineStr">
        <is>
          <t>Côte d'Ivoire</t>
        </is>
      </c>
      <c r="B51" s="4" t="inlineStr">
        <is>
          <t>Ivory Coast</t>
        </is>
      </c>
      <c r="C51" s="4" t="inlineStr">
        <is>
          <t>CIV</t>
        </is>
      </c>
      <c r="D51" s="5" t="n"/>
    </row>
    <row r="52">
      <c r="A52" s="4" t="inlineStr">
        <is>
          <t>Côte d’Ivoire</t>
        </is>
      </c>
      <c r="B52" s="4" t="inlineStr">
        <is>
          <t>Ivory Coast</t>
        </is>
      </c>
      <c r="C52" s="4" t="inlineStr">
        <is>
          <t>CIV</t>
        </is>
      </c>
      <c r="D52" s="5" t="n"/>
    </row>
    <row r="53">
      <c r="A53" s="4" t="inlineStr">
        <is>
          <t>Ivory Coast</t>
        </is>
      </c>
      <c r="B53" s="4" t="inlineStr">
        <is>
          <t>Ivory Coast</t>
        </is>
      </c>
      <c r="C53" s="4" t="inlineStr">
        <is>
          <t>CIV</t>
        </is>
      </c>
      <c r="D53" s="5" t="n"/>
    </row>
    <row r="54">
      <c r="A54" s="4" t="inlineStr">
        <is>
          <t>Japan</t>
        </is>
      </c>
      <c r="B54" s="4" t="inlineStr">
        <is>
          <t>Japan</t>
        </is>
      </c>
      <c r="C54" s="4" t="inlineStr">
        <is>
          <t>JPN</t>
        </is>
      </c>
      <c r="D54" s="5" t="n"/>
    </row>
    <row r="55">
      <c r="A55" s="4" t="inlineStr">
        <is>
          <t>Jordan</t>
        </is>
      </c>
      <c r="B55" s="4" t="inlineStr">
        <is>
          <t>Jordan</t>
        </is>
      </c>
      <c r="C55" s="4" t="n"/>
      <c r="D55" s="5" t="n"/>
    </row>
    <row r="56">
      <c r="A56" s="4" t="inlineStr">
        <is>
          <t>Mexico</t>
        </is>
      </c>
      <c r="B56" s="4" t="inlineStr">
        <is>
          <t>Mexico</t>
        </is>
      </c>
      <c r="C56" s="4" t="inlineStr">
        <is>
          <t>MEX</t>
        </is>
      </c>
      <c r="D56" s="5" t="n"/>
    </row>
    <row r="57">
      <c r="A57" s="4" t="inlineStr">
        <is>
          <t>México</t>
        </is>
      </c>
      <c r="B57" s="4" t="inlineStr">
        <is>
          <t>Mexico</t>
        </is>
      </c>
      <c r="C57" s="4" t="inlineStr">
        <is>
          <t>MEX</t>
        </is>
      </c>
      <c r="D57" s="5" t="n"/>
    </row>
    <row r="58">
      <c r="A58" s="4" t="inlineStr">
        <is>
          <t>Morocco</t>
        </is>
      </c>
      <c r="B58" s="4" t="inlineStr">
        <is>
          <t>Morocco</t>
        </is>
      </c>
      <c r="C58" s="4" t="inlineStr">
        <is>
          <t>MAR</t>
        </is>
      </c>
      <c r="D58" s="5" t="n"/>
    </row>
    <row r="59">
      <c r="A59" s="4" t="inlineStr">
        <is>
          <t>Holland</t>
        </is>
      </c>
      <c r="B59" s="4" t="inlineStr">
        <is>
          <t>Netherlands</t>
        </is>
      </c>
      <c r="C59" s="4" t="inlineStr">
        <is>
          <t>NLD</t>
        </is>
      </c>
      <c r="D59" s="5" t="n"/>
    </row>
    <row r="60">
      <c r="A60" s="4" t="inlineStr">
        <is>
          <t>Netherlands</t>
        </is>
      </c>
      <c r="B60" s="4" t="inlineStr">
        <is>
          <t>Netherlands</t>
        </is>
      </c>
      <c r="C60" s="4" t="inlineStr">
        <is>
          <t>NLD</t>
        </is>
      </c>
      <c r="D60" s="5" t="n"/>
    </row>
    <row r="61">
      <c r="A61" s="4" t="inlineStr">
        <is>
          <t>The Netherlands</t>
        </is>
      </c>
      <c r="B61" s="4" t="inlineStr">
        <is>
          <t>Netherlands</t>
        </is>
      </c>
      <c r="C61" s="4" t="inlineStr">
        <is>
          <t>NLD</t>
        </is>
      </c>
      <c r="D61" s="5" t="n"/>
    </row>
    <row r="62">
      <c r="A62" s="4" t="inlineStr">
        <is>
          <t>New Zealand</t>
        </is>
      </c>
      <c r="B62" s="4" t="inlineStr">
        <is>
          <t>New Zealand</t>
        </is>
      </c>
      <c r="C62" s="4" t="inlineStr">
        <is>
          <t>NZL</t>
        </is>
      </c>
      <c r="D62" s="5" t="n"/>
    </row>
    <row r="63">
      <c r="A63" s="4" t="inlineStr">
        <is>
          <t>New-Zealand</t>
        </is>
      </c>
      <c r="B63" s="4" t="inlineStr">
        <is>
          <t>New Zealand</t>
        </is>
      </c>
      <c r="C63" s="4" t="inlineStr">
        <is>
          <t>NZL</t>
        </is>
      </c>
      <c r="D63" s="5" t="n"/>
    </row>
    <row r="64">
      <c r="A64" s="4" t="inlineStr">
        <is>
          <t>Nigeria</t>
        </is>
      </c>
      <c r="B64" s="4" t="inlineStr">
        <is>
          <t>Nigeria</t>
        </is>
      </c>
      <c r="C64" s="4" t="inlineStr">
        <is>
          <t>NGA</t>
        </is>
      </c>
      <c r="D64" s="5" t="n"/>
    </row>
    <row r="65">
      <c r="A65" s="4" t="inlineStr">
        <is>
          <t>Norway</t>
        </is>
      </c>
      <c r="B65" s="4" t="inlineStr">
        <is>
          <t>Norway</t>
        </is>
      </c>
      <c r="C65" s="4" t="inlineStr">
        <is>
          <t>NOR</t>
        </is>
      </c>
      <c r="D65" s="5" t="n"/>
    </row>
    <row r="66">
      <c r="A66" s="4" t="inlineStr">
        <is>
          <t>Panama</t>
        </is>
      </c>
      <c r="B66" s="4" t="inlineStr">
        <is>
          <t>Panama</t>
        </is>
      </c>
      <c r="C66" s="4" t="inlineStr">
        <is>
          <t>PAN</t>
        </is>
      </c>
      <c r="D66" s="5" t="n"/>
    </row>
    <row r="67">
      <c r="A67" s="4" t="inlineStr">
        <is>
          <t>Paraguay</t>
        </is>
      </c>
      <c r="B67" s="4" t="inlineStr">
        <is>
          <t>Paraguay</t>
        </is>
      </c>
      <c r="C67" s="4" t="inlineStr">
        <is>
          <t>PRY</t>
        </is>
      </c>
      <c r="D67" s="5" t="n"/>
    </row>
    <row r="68">
      <c r="A68" s="4" t="inlineStr">
        <is>
          <t>Peru</t>
        </is>
      </c>
      <c r="B68" s="4" t="inlineStr">
        <is>
          <t>Peru</t>
        </is>
      </c>
      <c r="C68" s="4" t="inlineStr">
        <is>
          <t>PER</t>
        </is>
      </c>
      <c r="D68" s="5" t="n"/>
    </row>
    <row r="69">
      <c r="A69" s="4" t="inlineStr">
        <is>
          <t>Poland</t>
        </is>
      </c>
      <c r="B69" s="4" t="inlineStr">
        <is>
          <t>Poland</t>
        </is>
      </c>
      <c r="C69" s="4" t="inlineStr">
        <is>
          <t>POL</t>
        </is>
      </c>
      <c r="D69" s="5" t="n"/>
    </row>
    <row r="70">
      <c r="A70" s="4" t="inlineStr">
        <is>
          <t>Portugal</t>
        </is>
      </c>
      <c r="B70" s="4" t="inlineStr">
        <is>
          <t>Portugal</t>
        </is>
      </c>
      <c r="C70" s="4" t="inlineStr">
        <is>
          <t>PRT</t>
        </is>
      </c>
      <c r="D70" s="5" t="n"/>
    </row>
    <row r="71">
      <c r="A71" s="4" t="inlineStr">
        <is>
          <t>Qatar</t>
        </is>
      </c>
      <c r="B71" s="4" t="inlineStr">
        <is>
          <t>Qatar</t>
        </is>
      </c>
      <c r="C71" s="4" t="inlineStr">
        <is>
          <t>QAT</t>
        </is>
      </c>
      <c r="D71" s="5" t="n"/>
    </row>
    <row r="72">
      <c r="A72" s="4" t="inlineStr">
        <is>
          <t>Russia</t>
        </is>
      </c>
      <c r="B72" s="4" t="inlineStr">
        <is>
          <t>Russia</t>
        </is>
      </c>
      <c r="C72" s="4" t="inlineStr">
        <is>
          <t>RUS</t>
        </is>
      </c>
      <c r="D72" s="5" t="n"/>
    </row>
    <row r="73">
      <c r="A73" s="4" t="inlineStr">
        <is>
          <t>KSA</t>
        </is>
      </c>
      <c r="B73" s="4" t="inlineStr">
        <is>
          <t>Saudi Arabia</t>
        </is>
      </c>
      <c r="C73" s="4" t="inlineStr">
        <is>
          <t>SAU</t>
        </is>
      </c>
      <c r="D73" s="5" t="n"/>
    </row>
    <row r="74">
      <c r="A74" s="4" t="inlineStr">
        <is>
          <t>Saudi Arabia</t>
        </is>
      </c>
      <c r="B74" s="4" t="inlineStr">
        <is>
          <t>Saudi Arabia</t>
        </is>
      </c>
      <c r="C74" s="4" t="inlineStr">
        <is>
          <t>SAU</t>
        </is>
      </c>
      <c r="D74" s="5" t="n"/>
    </row>
    <row r="75">
      <c r="A75" s="4" t="inlineStr">
        <is>
          <t>Saudi-Arabia</t>
        </is>
      </c>
      <c r="B75" s="4" t="inlineStr">
        <is>
          <t>Saudi Arabia</t>
        </is>
      </c>
      <c r="C75" s="4" t="inlineStr">
        <is>
          <t>SAU</t>
        </is>
      </c>
      <c r="D75" s="5" t="n"/>
    </row>
    <row r="76">
      <c r="A76" s="4" t="inlineStr">
        <is>
          <t>Scotland</t>
        </is>
      </c>
      <c r="B76" s="4" t="inlineStr">
        <is>
          <t>Scotland</t>
        </is>
      </c>
      <c r="C76" s="4" t="inlineStr">
        <is>
          <t>SCO</t>
        </is>
      </c>
      <c r="D76" s="5" t="n"/>
    </row>
    <row r="77">
      <c r="A77" s="4" t="inlineStr">
        <is>
          <t>Senegal</t>
        </is>
      </c>
      <c r="B77" s="4" t="inlineStr">
        <is>
          <t>Senegal</t>
        </is>
      </c>
      <c r="C77" s="4" t="inlineStr">
        <is>
          <t>SEN</t>
        </is>
      </c>
      <c r="D77" s="5" t="n"/>
    </row>
    <row r="78">
      <c r="A78" s="4" t="inlineStr">
        <is>
          <t>Serbia</t>
        </is>
      </c>
      <c r="B78" s="4" t="inlineStr">
        <is>
          <t>Serbia</t>
        </is>
      </c>
      <c r="C78" s="4" t="inlineStr">
        <is>
          <t>SRB</t>
        </is>
      </c>
      <c r="D78" s="5" t="n"/>
    </row>
    <row r="79">
      <c r="A79" s="4" t="inlineStr">
        <is>
          <t>South Africa</t>
        </is>
      </c>
      <c r="B79" s="4" t="inlineStr">
        <is>
          <t>South Africa</t>
        </is>
      </c>
      <c r="C79" s="4" t="inlineStr">
        <is>
          <t>ZAF</t>
        </is>
      </c>
      <c r="D79" s="5" t="n"/>
    </row>
    <row r="80">
      <c r="A80" s="4" t="inlineStr">
        <is>
          <t>Korea Rep.</t>
        </is>
      </c>
      <c r="B80" s="4" t="inlineStr">
        <is>
          <t>South Korea</t>
        </is>
      </c>
      <c r="C80" s="4" t="inlineStr">
        <is>
          <t>KOR</t>
        </is>
      </c>
      <c r="D80" s="5" t="n"/>
    </row>
    <row r="81">
      <c r="A81" s="4" t="inlineStr">
        <is>
          <t>Korea Republic</t>
        </is>
      </c>
      <c r="B81" s="4" t="inlineStr">
        <is>
          <t>South Korea</t>
        </is>
      </c>
      <c r="C81" s="4" t="inlineStr">
        <is>
          <t>KOR</t>
        </is>
      </c>
      <c r="D81" s="5" t="n"/>
    </row>
    <row r="82">
      <c r="A82" s="4" t="inlineStr">
        <is>
          <t>Rep. of Korea</t>
        </is>
      </c>
      <c r="B82" s="4" t="inlineStr">
        <is>
          <t>South Korea</t>
        </is>
      </c>
      <c r="C82" s="4" t="inlineStr">
        <is>
          <t>KOR</t>
        </is>
      </c>
      <c r="D82" s="5" t="n"/>
    </row>
    <row r="83">
      <c r="A83" s="4" t="inlineStr">
        <is>
          <t>South Korea</t>
        </is>
      </c>
      <c r="B83" s="4" t="inlineStr">
        <is>
          <t>South Korea</t>
        </is>
      </c>
      <c r="C83" s="4" t="inlineStr">
        <is>
          <t>KOR</t>
        </is>
      </c>
      <c r="D83" s="5" t="n"/>
    </row>
    <row r="84">
      <c r="A84" s="4" t="inlineStr">
        <is>
          <t>España</t>
        </is>
      </c>
      <c r="B84" s="4" t="inlineStr">
        <is>
          <t>Spain</t>
        </is>
      </c>
      <c r="C84" s="4" t="inlineStr">
        <is>
          <t>ESP</t>
        </is>
      </c>
      <c r="D84" s="5" t="n"/>
    </row>
    <row r="85">
      <c r="A85" s="4" t="inlineStr">
        <is>
          <t>Spain</t>
        </is>
      </c>
      <c r="B85" s="4" t="inlineStr">
        <is>
          <t>Spain</t>
        </is>
      </c>
      <c r="C85" s="4" t="inlineStr">
        <is>
          <t>ESP</t>
        </is>
      </c>
      <c r="D85" s="5" t="n"/>
    </row>
    <row r="86">
      <c r="A86" s="4" t="inlineStr">
        <is>
          <t>Sweden</t>
        </is>
      </c>
      <c r="B86" s="4" t="inlineStr">
        <is>
          <t>Sweden</t>
        </is>
      </c>
      <c r="C86" s="4" t="inlineStr">
        <is>
          <t>SWE</t>
        </is>
      </c>
      <c r="D86" s="5" t="n"/>
    </row>
    <row r="87">
      <c r="A87" s="4" t="inlineStr">
        <is>
          <t>Suisse</t>
        </is>
      </c>
      <c r="B87" s="4" t="inlineStr">
        <is>
          <t>Switzerland</t>
        </is>
      </c>
      <c r="C87" s="4" t="inlineStr">
        <is>
          <t>CHE</t>
        </is>
      </c>
      <c r="D87" s="5" t="n"/>
    </row>
    <row r="88">
      <c r="A88" s="4" t="inlineStr">
        <is>
          <t>Switzerland</t>
        </is>
      </c>
      <c r="B88" s="4" t="inlineStr">
        <is>
          <t>Switzerland</t>
        </is>
      </c>
      <c r="C88" s="4" t="inlineStr">
        <is>
          <t>CHE</t>
        </is>
      </c>
      <c r="D88" s="5" t="n"/>
    </row>
    <row r="89">
      <c r="A89" s="4" t="inlineStr">
        <is>
          <t>Tunisia</t>
        </is>
      </c>
      <c r="B89" s="4" t="inlineStr">
        <is>
          <t>Tunisia</t>
        </is>
      </c>
      <c r="C89" s="4" t="inlineStr">
        <is>
          <t>TUN</t>
        </is>
      </c>
      <c r="D89" s="5" t="n"/>
    </row>
    <row r="90">
      <c r="A90" s="4" t="inlineStr">
        <is>
          <t>Turkey</t>
        </is>
      </c>
      <c r="B90" s="4" t="inlineStr">
        <is>
          <t>Turkey</t>
        </is>
      </c>
      <c r="C90" s="4" t="inlineStr">
        <is>
          <t>TUR</t>
        </is>
      </c>
      <c r="D90" s="5" t="n"/>
    </row>
    <row r="91">
      <c r="A91" s="4" t="inlineStr">
        <is>
          <t>Turkiye</t>
        </is>
      </c>
      <c r="B91" s="4" t="inlineStr">
        <is>
          <t>Turkey</t>
        </is>
      </c>
      <c r="C91" s="4" t="inlineStr">
        <is>
          <t>TUR</t>
        </is>
      </c>
      <c r="D91" s="5" t="n"/>
    </row>
    <row r="92">
      <c r="A92" s="4" t="inlineStr">
        <is>
          <t>Türkiye</t>
        </is>
      </c>
      <c r="B92" s="4" t="inlineStr">
        <is>
          <t>Turkey</t>
        </is>
      </c>
      <c r="C92" s="4" t="inlineStr">
        <is>
          <t>TUR</t>
        </is>
      </c>
      <c r="D92" s="5" t="n"/>
    </row>
    <row r="93">
      <c r="A93" s="4" t="inlineStr">
        <is>
          <t>U.S.A.</t>
        </is>
      </c>
      <c r="B93" s="4" t="inlineStr">
        <is>
          <t>United States</t>
        </is>
      </c>
      <c r="C93" s="4" t="inlineStr">
        <is>
          <t>USA</t>
        </is>
      </c>
      <c r="D93" s="5" t="n"/>
    </row>
    <row r="94">
      <c r="A94" s="4" t="inlineStr">
        <is>
          <t>US</t>
        </is>
      </c>
      <c r="B94" s="4" t="inlineStr">
        <is>
          <t>United States</t>
        </is>
      </c>
      <c r="C94" s="4" t="inlineStr">
        <is>
          <t>USA</t>
        </is>
      </c>
      <c r="D94" s="5" t="n"/>
    </row>
    <row r="95">
      <c r="A95" s="4" t="inlineStr">
        <is>
          <t>USA</t>
        </is>
      </c>
      <c r="B95" s="4" t="inlineStr">
        <is>
          <t>United States</t>
        </is>
      </c>
      <c r="C95" s="4" t="inlineStr">
        <is>
          <t>USA</t>
        </is>
      </c>
      <c r="D95" s="5" t="n"/>
    </row>
    <row r="96">
      <c r="A96" s="4" t="inlineStr">
        <is>
          <t>United States</t>
        </is>
      </c>
      <c r="B96" s="4" t="inlineStr">
        <is>
          <t>United States</t>
        </is>
      </c>
      <c r="C96" s="4" t="inlineStr">
        <is>
          <t>USA</t>
        </is>
      </c>
      <c r="D96" s="5" t="n"/>
    </row>
    <row r="97">
      <c r="A97" s="4" t="inlineStr">
        <is>
          <t>United States of America</t>
        </is>
      </c>
      <c r="B97" s="4" t="inlineStr">
        <is>
          <t>United States</t>
        </is>
      </c>
      <c r="C97" s="4" t="inlineStr">
        <is>
          <t>USA</t>
        </is>
      </c>
      <c r="D97" s="5" t="n"/>
    </row>
    <row r="98">
      <c r="A98" s="4" t="inlineStr">
        <is>
          <t>Uruguay</t>
        </is>
      </c>
      <c r="B98" s="4" t="inlineStr">
        <is>
          <t>Uruguay</t>
        </is>
      </c>
      <c r="C98" s="4" t="inlineStr">
        <is>
          <t>URY</t>
        </is>
      </c>
      <c r="D98" s="5" t="n"/>
    </row>
    <row r="99">
      <c r="A99" s="4" t="inlineStr">
        <is>
          <t>Uzbekistan</t>
        </is>
      </c>
      <c r="B99" s="4" t="inlineStr">
        <is>
          <t>Uzbekistan</t>
        </is>
      </c>
      <c r="C99" s="4" t="n"/>
      <c r="D99" s="5" t="n"/>
    </row>
    <row r="100">
      <c r="A100" s="4" t="inlineStr">
        <is>
          <t>Wales</t>
        </is>
      </c>
      <c r="B100" s="4" t="inlineStr">
        <is>
          <t>Wales</t>
        </is>
      </c>
      <c r="C100" s="4" t="inlineStr">
        <is>
          <t>WAL</t>
        </is>
      </c>
      <c r="D100" s="5" t="n"/>
    </row>
  </sheetData>
  <mergeCells count="2">
    <mergeCell ref="A1:D1"/>
    <mergeCell ref="A2:D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topLeftCell="A27"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03 Sucio 2018</t>
        </is>
      </c>
    </row>
    <row r="2" ht="21.95" customHeight="1">
      <c r="A2" s="11" t="inlineStr">
        <is>
          <t>Datos deliberadamente alterados: revisa formatos, nulos, conflictos y duplicados.</t>
        </is>
      </c>
    </row>
    <row r="3" ht="21.95" customHeight="1"/>
    <row r="5" ht="15" customHeight="1">
      <c r="A5" s="1" t="inlineStr">
        <is>
          <t>ID Partido</t>
        </is>
      </c>
      <c r="B5" s="1" t="inlineStr">
        <is>
          <t>Año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Hora</t>
        </is>
      </c>
      <c r="H5" s="1" t="inlineStr">
        <is>
          <t>Equipo Local</t>
        </is>
      </c>
      <c r="I5" s="1" t="inlineStr">
        <is>
          <t>Equipo Visitante</t>
        </is>
      </c>
      <c r="J5" s="1" t="inlineStr">
        <is>
          <t>Goles Local</t>
        </is>
      </c>
      <c r="K5" s="1" t="inlineStr">
        <is>
          <t>Goles Visitante</t>
        </is>
      </c>
      <c r="L5" s="1" t="inlineStr">
        <is>
          <t>Marcador</t>
        </is>
      </c>
      <c r="M5" s="1" t="inlineStr">
        <is>
          <t>Anfitrión Local</t>
        </is>
      </c>
      <c r="N5" s="1" t="inlineStr">
        <is>
          <t>Estadio</t>
        </is>
      </c>
      <c r="O5" s="1" t="inlineStr">
        <is>
          <t>Ciudad</t>
        </is>
      </c>
      <c r="P5" s="1" t="inlineStr">
        <is>
          <t>Fuente</t>
        </is>
      </c>
    </row>
    <row r="6">
      <c r="A6" s="4" t="inlineStr">
        <is>
          <t>M-2018-01</t>
        </is>
      </c>
      <c r="B6" s="4" t="inlineStr">
        <is>
          <t>2018</t>
        </is>
      </c>
      <c r="C6" s="4" t="inlineStr">
        <is>
          <t>Fase de grupos</t>
        </is>
      </c>
      <c r="D6" s="4" t="inlineStr">
        <is>
          <t>Grupo A</t>
        </is>
      </c>
      <c r="E6" s="4" t="inlineStr">
        <is>
          <t>1</t>
        </is>
      </c>
      <c r="F6" s="4" t="inlineStr">
        <is>
          <t>2018-06-14</t>
        </is>
      </c>
      <c r="G6" s="4" t="inlineStr">
        <is>
          <t>18:00</t>
        </is>
      </c>
      <c r="H6" s="4" t="inlineStr">
        <is>
          <t>russia</t>
        </is>
      </c>
      <c r="I6" s="4" t="inlineStr">
        <is>
          <t>KSA</t>
        </is>
      </c>
      <c r="J6" s="4" t="inlineStr">
        <is>
          <t>5 goles</t>
        </is>
      </c>
      <c r="K6" s="4" t="n"/>
      <c r="L6" s="4" t="inlineStr">
        <is>
          <t>5-0</t>
        </is>
      </c>
      <c r="M6" s="4" t="inlineStr">
        <is>
          <t>Sí</t>
        </is>
      </c>
      <c r="N6" s="4" t="inlineStr">
        <is>
          <t>Luzhniki Stadium</t>
        </is>
      </c>
      <c r="O6" s="4" t="inlineStr">
        <is>
          <t>Moscow</t>
        </is>
      </c>
      <c r="P6" s="4" t="inlineStr">
        <is>
          <t>https://github.com/jfjelstul/worldcup</t>
        </is>
      </c>
    </row>
    <row r="7">
      <c r="A7" s="4" t="inlineStr">
        <is>
          <t>M-2018-02</t>
        </is>
      </c>
      <c r="B7" s="4" t="inlineStr">
        <is>
          <t>2018</t>
        </is>
      </c>
      <c r="C7" s="4" t="inlineStr">
        <is>
          <t>GROUP STAGE</t>
        </is>
      </c>
      <c r="D7" s="4" t="inlineStr">
        <is>
          <t>A</t>
        </is>
      </c>
      <c r="E7" s="4" t="inlineStr">
        <is>
          <t>1</t>
        </is>
      </c>
      <c r="F7" s="4" t="inlineStr">
        <is>
          <t>15/06/2018</t>
        </is>
      </c>
      <c r="G7" s="4" t="inlineStr">
        <is>
          <t>17:00</t>
        </is>
      </c>
      <c r="H7" s="4" t="inlineStr">
        <is>
          <t>Egypt</t>
        </is>
      </c>
      <c r="I7" s="4" t="inlineStr">
        <is>
          <t>Uruguay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0–1</t>
        </is>
      </c>
      <c r="M7" s="4" t="inlineStr">
        <is>
          <t>0</t>
        </is>
      </c>
      <c r="N7" s="4" t="inlineStr">
        <is>
          <t>Central Stadium</t>
        </is>
      </c>
      <c r="O7" s="4" t="inlineStr">
        <is>
          <t>Yekaterinburg</t>
        </is>
      </c>
      <c r="P7" s="4" t="inlineStr">
        <is>
          <t>https://github.com/jfjelstul/worldcup</t>
        </is>
      </c>
    </row>
    <row r="8">
      <c r="A8" s="4" t="inlineStr">
        <is>
          <t>M-2018-03</t>
        </is>
      </c>
      <c r="B8" s="4" t="inlineStr">
        <is>
          <t>2018</t>
        </is>
      </c>
      <c r="C8" s="4" t="inlineStr">
        <is>
          <t>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06/15/2018</t>
        </is>
      </c>
      <c r="G8" s="4" t="inlineStr">
        <is>
          <t>18:00</t>
        </is>
      </c>
      <c r="H8" s="4" t="inlineStr">
        <is>
          <t>Morocco</t>
        </is>
      </c>
      <c r="I8" s="4" t="inlineStr">
        <is>
          <t>Iran, I.R.</t>
        </is>
      </c>
      <c r="J8" s="4" t="inlineStr">
        <is>
          <t>0</t>
        </is>
      </c>
      <c r="K8" s="4" t="inlineStr">
        <is>
          <t>1</t>
        </is>
      </c>
      <c r="L8" s="4" t="inlineStr">
        <is>
          <t>0 : 1</t>
        </is>
      </c>
      <c r="M8" s="4" t="inlineStr">
        <is>
          <t>FALSE</t>
        </is>
      </c>
      <c r="N8" s="4" t="inlineStr">
        <is>
          <t>Krestovsky Stadium</t>
        </is>
      </c>
      <c r="O8" s="4" t="inlineStr">
        <is>
          <t>Saint Petersburg</t>
        </is>
      </c>
      <c r="P8" s="4" t="inlineStr">
        <is>
          <t>https://github.com/jfjelstul/worldcup</t>
        </is>
      </c>
    </row>
    <row r="9">
      <c r="A9" s="4" t="inlineStr">
        <is>
          <t>M-2018-04</t>
        </is>
      </c>
      <c r="B9" s="4" t="inlineStr">
        <is>
          <t>2018</t>
        </is>
      </c>
      <c r="C9" s="4" t="inlineStr">
        <is>
          <t>1ra fase</t>
        </is>
      </c>
      <c r="D9" s="4" t="inlineStr">
        <is>
          <t>Grupo B</t>
        </is>
      </c>
      <c r="E9" s="4" t="inlineStr">
        <is>
          <t>1</t>
        </is>
      </c>
      <c r="F9" s="4" t="inlineStr">
        <is>
          <t>15-06-18</t>
        </is>
      </c>
      <c r="G9" s="4" t="inlineStr">
        <is>
          <t>21:00</t>
        </is>
      </c>
      <c r="H9" s="4" t="inlineStr">
        <is>
          <t>Portugal</t>
        </is>
      </c>
      <c r="I9" s="4" t="inlineStr">
        <is>
          <t>España</t>
        </is>
      </c>
      <c r="J9" s="4" t="inlineStr">
        <is>
          <t>3</t>
        </is>
      </c>
      <c r="K9" s="4" t="inlineStr">
        <is>
          <t>3</t>
        </is>
      </c>
      <c r="L9" s="4" t="inlineStr">
        <is>
          <t>3 x 3</t>
        </is>
      </c>
      <c r="M9" s="4" t="inlineStr">
        <is>
          <t>no</t>
        </is>
      </c>
      <c r="N9" s="4" t="inlineStr">
        <is>
          <t>Fisht Olympic Stadium</t>
        </is>
      </c>
      <c r="O9" s="4" t="inlineStr">
        <is>
          <t>Sochi</t>
        </is>
      </c>
      <c r="P9" s="4" t="inlineStr">
        <is>
          <t>https://github.com/jfjelstul/worldcup</t>
        </is>
      </c>
    </row>
    <row r="10">
      <c r="A10" s="4" t="inlineStr">
        <is>
          <t>M-2018-05</t>
        </is>
      </c>
      <c r="B10" s="4" t="inlineStr">
        <is>
          <t>2018</t>
        </is>
      </c>
      <c r="C10" s="4" t="inlineStr">
        <is>
          <t>Fase de grupos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16, 2018</t>
        </is>
      </c>
      <c r="G10" s="4" t="inlineStr">
        <is>
          <t>13:00</t>
        </is>
      </c>
      <c r="H10" s="4" t="inlineStr">
        <is>
          <t>France</t>
        </is>
      </c>
      <c r="I10" s="4" t="inlineStr">
        <is>
          <t>Australia</t>
        </is>
      </c>
      <c r="J10" s="4" t="inlineStr">
        <is>
          <t>2</t>
        </is>
      </c>
      <c r="K10" s="4" t="inlineStr">
        <is>
          <t>1</t>
        </is>
      </c>
      <c r="L10" s="4" t="inlineStr">
        <is>
          <t>2—1</t>
        </is>
      </c>
      <c r="M10" s="4" t="inlineStr">
        <is>
          <t>No</t>
        </is>
      </c>
      <c r="N10" s="4" t="inlineStr">
        <is>
          <t>Kazan Arena</t>
        </is>
      </c>
      <c r="O10" s="4" t="inlineStr">
        <is>
          <t>Kazan</t>
        </is>
      </c>
      <c r="P10" s="4" t="inlineStr">
        <is>
          <t>https://github.com/jfjelstul/worldcup</t>
        </is>
      </c>
    </row>
    <row r="11">
      <c r="A11" s="4" t="inlineStr">
        <is>
          <t>M-2018-06</t>
        </is>
      </c>
      <c r="B11" s="4" t="inlineStr">
        <is>
          <t>2018</t>
        </is>
      </c>
      <c r="C11" s="4" t="inlineStr">
        <is>
          <t>GROUP STAGE</t>
        </is>
      </c>
      <c r="D11" s="4" t="inlineStr">
        <is>
          <t>group-d</t>
        </is>
      </c>
      <c r="E11" s="4" t="inlineStr">
        <is>
          <t>1</t>
        </is>
      </c>
      <c r="F11" s="4" t="inlineStr">
        <is>
          <t>2018-06-16</t>
        </is>
      </c>
      <c r="G11" s="4" t="inlineStr">
        <is>
          <t>16:00</t>
        </is>
      </c>
      <c r="H11" s="4" t="inlineStr">
        <is>
          <t>Argentina</t>
        </is>
      </c>
      <c r="I11" s="4" t="inlineStr">
        <is>
          <t>Iceland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1-1</t>
        </is>
      </c>
      <c r="M11" s="4" t="inlineStr">
        <is>
          <t>0</t>
        </is>
      </c>
      <c r="N11" s="4" t="inlineStr">
        <is>
          <t>Otkritie Arena</t>
        </is>
      </c>
      <c r="O11" s="4" t="inlineStr">
        <is>
          <t>Moscow</t>
        </is>
      </c>
      <c r="P11" s="4" t="inlineStr">
        <is>
          <t>https://github.com/jfjelstul/worldcup</t>
        </is>
      </c>
    </row>
    <row r="12">
      <c r="A12" s="4" t="inlineStr">
        <is>
          <t>M-2018-07</t>
        </is>
      </c>
      <c r="B12" s="4" t="inlineStr">
        <is>
          <t>2018</t>
        </is>
      </c>
      <c r="C12" s="4" t="inlineStr">
        <is>
          <t>grupos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16/06/2018</t>
        </is>
      </c>
      <c r="G12" s="4" t="inlineStr">
        <is>
          <t>19:00</t>
        </is>
      </c>
      <c r="H12" s="4" t="inlineStr">
        <is>
          <t>Peru</t>
        </is>
      </c>
      <c r="I12" s="4" t="inlineStr">
        <is>
          <t>Denmark</t>
        </is>
      </c>
      <c r="J12" s="4" t="inlineStr">
        <is>
          <t>0</t>
        </is>
      </c>
      <c r="K12" s="4" t="inlineStr">
        <is>
          <t>1</t>
        </is>
      </c>
      <c r="L12" s="4" t="inlineStr">
        <is>
          <t>0–1</t>
        </is>
      </c>
      <c r="M12" s="4" t="inlineStr">
        <is>
          <t>FALSE</t>
        </is>
      </c>
      <c r="N12" s="4" t="inlineStr">
        <is>
          <t>Mordovia Arena</t>
        </is>
      </c>
      <c r="O12" s="4" t="inlineStr">
        <is>
          <t>Saransk</t>
        </is>
      </c>
      <c r="P12" s="4" t="inlineStr">
        <is>
          <t>https://github.com/jfjelstul/worldcup</t>
        </is>
      </c>
    </row>
    <row r="13">
      <c r="A13" s="4" t="inlineStr">
        <is>
          <t>M-2018-08</t>
        </is>
      </c>
      <c r="B13" s="4" t="inlineStr">
        <is>
          <t>2018</t>
        </is>
      </c>
      <c r="C13" s="4" t="inlineStr">
        <is>
          <t>1ra fase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06/16/2018</t>
        </is>
      </c>
      <c r="G13" s="4" t="inlineStr">
        <is>
          <t>21:00</t>
        </is>
      </c>
      <c r="H13" s="4" t="inlineStr">
        <is>
          <t>Croatia</t>
        </is>
      </c>
      <c r="I13" s="4" t="inlineStr">
        <is>
          <t>Nigeria</t>
        </is>
      </c>
      <c r="J13" s="4" t="inlineStr">
        <is>
          <t>2</t>
        </is>
      </c>
      <c r="K13" s="4" t="inlineStr">
        <is>
          <t>0</t>
        </is>
      </c>
      <c r="L13" s="4" t="inlineStr">
        <is>
          <t>2 : 0</t>
        </is>
      </c>
      <c r="M13" s="4" t="inlineStr">
        <is>
          <t>no</t>
        </is>
      </c>
      <c r="N13" s="4" t="inlineStr">
        <is>
          <t>Kaliningrad Stadium</t>
        </is>
      </c>
      <c r="O13" s="4" t="inlineStr">
        <is>
          <t>Kaliningrad</t>
        </is>
      </c>
      <c r="P13" s="4" t="inlineStr">
        <is>
          <t>https://github.com/jfjelstul/worldcup</t>
        </is>
      </c>
    </row>
    <row r="14">
      <c r="A14" s="4" t="inlineStr">
        <is>
          <t>M-2018-09</t>
        </is>
      </c>
      <c r="B14" s="4" t="inlineStr">
        <is>
          <t>2018</t>
        </is>
      </c>
      <c r="C14" s="4" t="inlineStr">
        <is>
          <t>Fase de grupos</t>
        </is>
      </c>
      <c r="D14" s="4" t="inlineStr">
        <is>
          <t>group-e</t>
        </is>
      </c>
      <c r="E14" s="4" t="inlineStr">
        <is>
          <t>1</t>
        </is>
      </c>
      <c r="F14" s="4" t="inlineStr">
        <is>
          <t>17-06-18</t>
        </is>
      </c>
      <c r="G14" s="4" t="inlineStr">
        <is>
          <t>16:00</t>
        </is>
      </c>
      <c r="H14" s="4" t="inlineStr">
        <is>
          <t>Costa Rica</t>
        </is>
      </c>
      <c r="I14" s="4" t="inlineStr">
        <is>
          <t>Serbia</t>
        </is>
      </c>
      <c r="J14" s="4" t="inlineStr">
        <is>
          <t>0</t>
        </is>
      </c>
      <c r="K14" s="4" t="inlineStr">
        <is>
          <t>1</t>
        </is>
      </c>
      <c r="L14" s="4" t="inlineStr">
        <is>
          <t>0 x 1</t>
        </is>
      </c>
      <c r="M14" s="4" t="inlineStr">
        <is>
          <t>No</t>
        </is>
      </c>
      <c r="N14" s="4" t="inlineStr">
        <is>
          <t>Samara Arena</t>
        </is>
      </c>
      <c r="O14" s="4" t="inlineStr">
        <is>
          <t>Samara</t>
        </is>
      </c>
      <c r="P14" s="4" t="inlineStr">
        <is>
          <t>https://github.com/jfjelstul/worldcup</t>
        </is>
      </c>
    </row>
    <row r="15">
      <c r="A15" s="4" t="inlineStr">
        <is>
          <t>M-2018-10</t>
        </is>
      </c>
      <c r="B15" s="4" t="inlineStr">
        <is>
          <t>2018</t>
        </is>
      </c>
      <c r="C15" s="4" t="inlineStr">
        <is>
          <t>GROUP STAGE</t>
        </is>
      </c>
      <c r="D15" s="4" t="n"/>
      <c r="E15" s="4" t="inlineStr">
        <is>
          <t>1</t>
        </is>
      </c>
      <c r="F15" s="4" t="inlineStr">
        <is>
          <t>Jun 17, 2018</t>
        </is>
      </c>
      <c r="G15" s="4" t="inlineStr">
        <is>
          <t>18:00</t>
        </is>
      </c>
      <c r="H15" s="4" t="inlineStr">
        <is>
          <t>Germany</t>
        </is>
      </c>
      <c r="I15" s="4" t="inlineStr">
        <is>
          <t>Mexico</t>
        </is>
      </c>
      <c r="J15" s="4" t="inlineStr">
        <is>
          <t>0</t>
        </is>
      </c>
      <c r="K15" s="4" t="inlineStr">
        <is>
          <t>1</t>
        </is>
      </c>
      <c r="L15" s="4" t="inlineStr">
        <is>
          <t>0—1</t>
        </is>
      </c>
      <c r="M15" s="4" t="inlineStr">
        <is>
          <t>0</t>
        </is>
      </c>
      <c r="N15" s="4" t="inlineStr">
        <is>
          <t>Luzhniki Stadium</t>
        </is>
      </c>
      <c r="O15" s="4" t="inlineStr">
        <is>
          <t>Moscow</t>
        </is>
      </c>
      <c r="P15" s="4" t="inlineStr">
        <is>
          <t>https://github.com/jfjelstul/worldcup</t>
        </is>
      </c>
    </row>
    <row r="16">
      <c r="A16" s="4" t="inlineStr">
        <is>
          <t>M-2018-11</t>
        </is>
      </c>
      <c r="B16" s="4" t="inlineStr">
        <is>
          <t>2018</t>
        </is>
      </c>
      <c r="C16" s="4" t="inlineStr">
        <is>
          <t>grupos</t>
        </is>
      </c>
      <c r="D16" s="4" t="inlineStr">
        <is>
          <t>E</t>
        </is>
      </c>
      <c r="E16" s="4" t="inlineStr">
        <is>
          <t>1</t>
        </is>
      </c>
      <c r="F16" s="4" t="inlineStr">
        <is>
          <t>2018-06-17</t>
        </is>
      </c>
      <c r="G16" s="4" t="inlineStr">
        <is>
          <t>21:00</t>
        </is>
      </c>
      <c r="H16" s="4" t="inlineStr">
        <is>
          <t>Brasil</t>
        </is>
      </c>
      <c r="I16" s="4" t="inlineStr">
        <is>
          <t>Switzerland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1-1</t>
        </is>
      </c>
      <c r="M16" s="4" t="inlineStr">
        <is>
          <t>FALSE</t>
        </is>
      </c>
      <c r="N16" s="4" t="inlineStr">
        <is>
          <t>Rostov Arena</t>
        </is>
      </c>
      <c r="O16" s="4" t="inlineStr">
        <is>
          <t>Rostov-on-Don</t>
        </is>
      </c>
      <c r="P16" s="4" t="inlineStr">
        <is>
          <t>https://github.com/jfjelstul/worldcup</t>
        </is>
      </c>
    </row>
    <row r="17">
      <c r="A17" s="4" t="inlineStr">
        <is>
          <t>M-2018-12</t>
        </is>
      </c>
      <c r="B17" s="4" t="inlineStr">
        <is>
          <t>2018</t>
        </is>
      </c>
      <c r="C17" s="4" t="inlineStr">
        <is>
          <t>1ra fase</t>
        </is>
      </c>
      <c r="D17" s="4" t="inlineStr">
        <is>
          <t>group-f</t>
        </is>
      </c>
      <c r="E17" s="4" t="inlineStr">
        <is>
          <t>1</t>
        </is>
      </c>
      <c r="F17" s="4" t="inlineStr">
        <is>
          <t>18/06/2018</t>
        </is>
      </c>
      <c r="G17" s="4" t="inlineStr">
        <is>
          <t>15:00</t>
        </is>
      </c>
      <c r="H17" s="4" t="inlineStr">
        <is>
          <t>Sweden</t>
        </is>
      </c>
      <c r="I17" s="4" t="inlineStr">
        <is>
          <t>Rep. of Korea</t>
        </is>
      </c>
      <c r="J17" s="4" t="inlineStr">
        <is>
          <t>1</t>
        </is>
      </c>
      <c r="K17" s="4" t="inlineStr">
        <is>
          <t>0</t>
        </is>
      </c>
      <c r="L17" s="4" t="inlineStr">
        <is>
          <t>1–0</t>
        </is>
      </c>
      <c r="M17" s="4" t="inlineStr">
        <is>
          <t>no</t>
        </is>
      </c>
      <c r="N17" s="4" t="inlineStr">
        <is>
          <t>Nizhny Novgorod Stadium</t>
        </is>
      </c>
      <c r="O17" s="4" t="inlineStr">
        <is>
          <t>Nizhny Novgorod</t>
        </is>
      </c>
      <c r="P17" s="4" t="inlineStr">
        <is>
          <t>https://github.com/jfjelstul/worldcup</t>
        </is>
      </c>
    </row>
    <row r="18">
      <c r="A18" s="4" t="inlineStr">
        <is>
          <t>M-2018-13</t>
        </is>
      </c>
      <c r="B18" s="4" t="inlineStr">
        <is>
          <t>2018</t>
        </is>
      </c>
      <c r="C18" s="4" t="inlineStr">
        <is>
          <t>Fase de grupos</t>
        </is>
      </c>
      <c r="D18" s="4" t="inlineStr">
        <is>
          <t>Grupo G</t>
        </is>
      </c>
      <c r="E18" s="4" t="inlineStr">
        <is>
          <t>1</t>
        </is>
      </c>
      <c r="F18" s="4" t="inlineStr">
        <is>
          <t>06/18/2018</t>
        </is>
      </c>
      <c r="G18" s="4" t="inlineStr">
        <is>
          <t>18:00</t>
        </is>
      </c>
      <c r="H18" s="4" t="inlineStr">
        <is>
          <t>Belgium</t>
        </is>
      </c>
      <c r="I18" s="4" t="inlineStr">
        <is>
          <t>Panama</t>
        </is>
      </c>
      <c r="J18" s="4" t="inlineStr">
        <is>
          <t>3</t>
        </is>
      </c>
      <c r="K18" s="4" t="inlineStr">
        <is>
          <t>0</t>
        </is>
      </c>
      <c r="L18" s="4" t="inlineStr">
        <is>
          <t>3 : 0</t>
        </is>
      </c>
      <c r="M18" s="4" t="inlineStr">
        <is>
          <t>No</t>
        </is>
      </c>
      <c r="N18" s="4" t="inlineStr">
        <is>
          <t>Fisht Olympic Stadium</t>
        </is>
      </c>
      <c r="O18" s="4" t="inlineStr">
        <is>
          <t>Sochi</t>
        </is>
      </c>
      <c r="P18" s="4" t="inlineStr">
        <is>
          <t>https://github.com/jfjelstul/worldcup</t>
        </is>
      </c>
    </row>
    <row r="19">
      <c r="A19" s="4" t="inlineStr">
        <is>
          <t>M-2018-14</t>
        </is>
      </c>
      <c r="B19" s="4" t="inlineStr">
        <is>
          <t>2018</t>
        </is>
      </c>
      <c r="C19" s="4" t="inlineStr">
        <is>
          <t>GROUP STAGE</t>
        </is>
      </c>
      <c r="D19" s="4" t="inlineStr">
        <is>
          <t>G</t>
        </is>
      </c>
      <c r="E19" s="4" t="inlineStr">
        <is>
          <t>1</t>
        </is>
      </c>
      <c r="F19" s="4" t="inlineStr">
        <is>
          <t>18-06-18</t>
        </is>
      </c>
      <c r="G19" s="4" t="inlineStr">
        <is>
          <t>21:00</t>
        </is>
      </c>
      <c r="H19" s="4" t="inlineStr">
        <is>
          <t>Tunisia</t>
        </is>
      </c>
      <c r="I19" s="4" t="inlineStr">
        <is>
          <t>England</t>
        </is>
      </c>
      <c r="J19" s="4" t="inlineStr">
        <is>
          <t>1 goles</t>
        </is>
      </c>
      <c r="K19" s="4" t="inlineStr">
        <is>
          <t>2</t>
        </is>
      </c>
      <c r="L19" s="4" t="inlineStr">
        <is>
          <t>1 x 2</t>
        </is>
      </c>
      <c r="M19" s="4" t="inlineStr">
        <is>
          <t>0</t>
        </is>
      </c>
      <c r="N19" s="4" t="inlineStr">
        <is>
          <t>Volgograd Arena</t>
        </is>
      </c>
      <c r="O19" s="4" t="inlineStr">
        <is>
          <t>Volgograd</t>
        </is>
      </c>
      <c r="P19" s="4" t="inlineStr">
        <is>
          <t>https://github.com/jfjelstul/worldcup</t>
        </is>
      </c>
    </row>
    <row r="20">
      <c r="A20" s="4" t="inlineStr">
        <is>
          <t>M-2018-15</t>
        </is>
      </c>
      <c r="B20" s="4" t="inlineStr">
        <is>
          <t>2018</t>
        </is>
      </c>
      <c r="C20" s="4" t="inlineStr">
        <is>
          <t>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19, 2018</t>
        </is>
      </c>
      <c r="G20" s="4" t="inlineStr">
        <is>
          <t>15:00</t>
        </is>
      </c>
      <c r="H20" s="4" t="inlineStr">
        <is>
          <t>Colombia</t>
        </is>
      </c>
      <c r="I20" s="4" t="inlineStr">
        <is>
          <t>JAPAN</t>
        </is>
      </c>
      <c r="J20" s="4" t="inlineStr">
        <is>
          <t>1</t>
        </is>
      </c>
      <c r="K20" s="4" t="inlineStr">
        <is>
          <t>2</t>
        </is>
      </c>
      <c r="L20" s="4" t="inlineStr">
        <is>
          <t>1—2</t>
        </is>
      </c>
      <c r="M20" s="4" t="inlineStr">
        <is>
          <t>FALSE</t>
        </is>
      </c>
      <c r="N20" s="4" t="inlineStr">
        <is>
          <t>Mordovia Arena</t>
        </is>
      </c>
      <c r="O20" s="4" t="inlineStr">
        <is>
          <t>Saransk</t>
        </is>
      </c>
      <c r="P20" s="4" t="inlineStr">
        <is>
          <t>https://github.com/jfjelstul/worldcup</t>
        </is>
      </c>
    </row>
    <row r="21">
      <c r="A21" s="4" t="inlineStr">
        <is>
          <t>M-2018-16</t>
        </is>
      </c>
      <c r="B21" s="4" t="inlineStr">
        <is>
          <t>2018</t>
        </is>
      </c>
      <c r="C21" s="4" t="inlineStr">
        <is>
          <t>1ra fase</t>
        </is>
      </c>
      <c r="D21" s="4" t="inlineStr">
        <is>
          <t>Grupo H</t>
        </is>
      </c>
      <c r="E21" s="4" t="inlineStr">
        <is>
          <t>1</t>
        </is>
      </c>
      <c r="F21" s="4" t="inlineStr">
        <is>
          <t>2018-06-19</t>
        </is>
      </c>
      <c r="G21" s="4" t="inlineStr">
        <is>
          <t>18:00</t>
        </is>
      </c>
      <c r="H21" s="4" t="inlineStr">
        <is>
          <t>Poland</t>
        </is>
      </c>
      <c r="I21" s="4" t="inlineStr">
        <is>
          <t>Senegal</t>
        </is>
      </c>
      <c r="J21" s="4" t="inlineStr">
        <is>
          <t>1</t>
        </is>
      </c>
      <c r="K21" s="4" t="inlineStr">
        <is>
          <t>2</t>
        </is>
      </c>
      <c r="L21" s="4" t="n"/>
      <c r="M21" s="4" t="inlineStr">
        <is>
          <t>no</t>
        </is>
      </c>
      <c r="N21" s="4" t="inlineStr">
        <is>
          <t>Otkritie Arena</t>
        </is>
      </c>
      <c r="O21" s="4" t="inlineStr">
        <is>
          <t>Moscow</t>
        </is>
      </c>
      <c r="P21" s="4" t="inlineStr">
        <is>
          <t>https://github.com/jfjelstul/worldcup</t>
        </is>
      </c>
    </row>
    <row r="22">
      <c r="A22" s="4" t="inlineStr">
        <is>
          <t>M-2018-17</t>
        </is>
      </c>
      <c r="B22" s="4" t="inlineStr">
        <is>
          <t>2018</t>
        </is>
      </c>
      <c r="C22" s="4" t="inlineStr">
        <is>
          <t>Fase de grupos</t>
        </is>
      </c>
      <c r="D22" s="4" t="inlineStr">
        <is>
          <t>A</t>
        </is>
      </c>
      <c r="E22" s="4" t="inlineStr">
        <is>
          <t>2</t>
        </is>
      </c>
      <c r="F22" s="4" t="inlineStr">
        <is>
          <t>19/06/2018</t>
        </is>
      </c>
      <c r="G22" s="4" t="inlineStr">
        <is>
          <t>21:00</t>
        </is>
      </c>
      <c r="H22" s="4" t="inlineStr">
        <is>
          <t>Russia</t>
        </is>
      </c>
      <c r="I22" s="4" t="inlineStr">
        <is>
          <t>Egypt</t>
        </is>
      </c>
      <c r="J22" s="4" t="inlineStr">
        <is>
          <t>3</t>
        </is>
      </c>
      <c r="K22" s="4" t="inlineStr">
        <is>
          <t>1</t>
        </is>
      </c>
      <c r="L22" s="4" t="inlineStr">
        <is>
          <t>3–1</t>
        </is>
      </c>
      <c r="M22" s="4" t="inlineStr">
        <is>
          <t>Sí</t>
        </is>
      </c>
      <c r="N22" s="4" t="inlineStr">
        <is>
          <t>Krestovsky Stadium</t>
        </is>
      </c>
      <c r="O22" s="4" t="inlineStr">
        <is>
          <t>Saint Petersburg</t>
        </is>
      </c>
      <c r="P22" s="4" t="inlineStr">
        <is>
          <t>https://github.com/jfjelstul/worldcup</t>
        </is>
      </c>
    </row>
    <row r="23">
      <c r="A23" s="4" t="inlineStr">
        <is>
          <t>M-2018-18</t>
        </is>
      </c>
      <c r="B23" s="4" t="inlineStr">
        <is>
          <t>2018</t>
        </is>
      </c>
      <c r="C23" s="4" t="inlineStr">
        <is>
          <t>GROUP STAGE</t>
        </is>
      </c>
      <c r="D23" s="4" t="inlineStr">
        <is>
          <t>group-b</t>
        </is>
      </c>
      <c r="E23" s="4" t="inlineStr">
        <is>
          <t>2</t>
        </is>
      </c>
      <c r="F23" s="4" t="inlineStr">
        <is>
          <t>06/20/2018</t>
        </is>
      </c>
      <c r="G23" s="4" t="inlineStr">
        <is>
          <t>15:00</t>
        </is>
      </c>
      <c r="H23" s="4" t="inlineStr">
        <is>
          <t>PORTUGAL</t>
        </is>
      </c>
      <c r="I23" s="4" t="inlineStr">
        <is>
          <t>Morocco</t>
        </is>
      </c>
      <c r="J23" s="4" t="inlineStr">
        <is>
          <t>1</t>
        </is>
      </c>
      <c r="K23" s="4" t="inlineStr">
        <is>
          <t>0</t>
        </is>
      </c>
      <c r="L23" s="4" t="inlineStr">
        <is>
          <t>1 : 0</t>
        </is>
      </c>
      <c r="M23" s="4" t="inlineStr">
        <is>
          <t>0</t>
        </is>
      </c>
      <c r="N23" s="4" t="inlineStr">
        <is>
          <t>Luzhniki Stadium</t>
        </is>
      </c>
      <c r="O23" s="4" t="inlineStr">
        <is>
          <t>Moscow</t>
        </is>
      </c>
      <c r="P23" s="4" t="inlineStr">
        <is>
          <t>https://github.com/jfjelstul/worldcup</t>
        </is>
      </c>
    </row>
    <row r="24">
      <c r="A24" s="4" t="inlineStr">
        <is>
          <t>M-2018-19</t>
        </is>
      </c>
      <c r="B24" s="4" t="inlineStr">
        <is>
          <t>2018</t>
        </is>
      </c>
      <c r="C24" s="4" t="inlineStr">
        <is>
          <t>grupos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20-06-18</t>
        </is>
      </c>
      <c r="G24" s="4" t="inlineStr">
        <is>
          <t>18:00</t>
        </is>
      </c>
      <c r="H24" s="4" t="inlineStr">
        <is>
          <t>Uruguay</t>
        </is>
      </c>
      <c r="I24" s="4" t="inlineStr">
        <is>
          <t>KSA</t>
        </is>
      </c>
      <c r="J24" s="4" t="inlineStr">
        <is>
          <t>1</t>
        </is>
      </c>
      <c r="K24" s="4" t="inlineStr">
        <is>
          <t>0</t>
        </is>
      </c>
      <c r="L24" s="4" t="inlineStr">
        <is>
          <t>1 x 0</t>
        </is>
      </c>
      <c r="M24" s="4" t="inlineStr">
        <is>
          <t>FALSE</t>
        </is>
      </c>
      <c r="N24" s="4" t="inlineStr">
        <is>
          <t>Rostov Arena</t>
        </is>
      </c>
      <c r="O24" s="4" t="inlineStr">
        <is>
          <t>Rostov-on-Don</t>
        </is>
      </c>
      <c r="P24" s="4" t="inlineStr">
        <is>
          <t>https://github.com/jfjelstul/worldcup</t>
        </is>
      </c>
    </row>
    <row r="25">
      <c r="A25" s="4" t="inlineStr">
        <is>
          <t>M-2018-20</t>
        </is>
      </c>
      <c r="B25" s="4" t="inlineStr">
        <is>
          <t>2018</t>
        </is>
      </c>
      <c r="C25" s="4" t="inlineStr">
        <is>
          <t>1ra fase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Jun 20, 2018</t>
        </is>
      </c>
      <c r="G25" s="4" t="inlineStr">
        <is>
          <t>21:00</t>
        </is>
      </c>
      <c r="H25" s="4" t="inlineStr">
        <is>
          <t>Iran</t>
        </is>
      </c>
      <c r="I25" s="4" t="inlineStr">
        <is>
          <t>España</t>
        </is>
      </c>
      <c r="J25" s="4" t="inlineStr">
        <is>
          <t>0</t>
        </is>
      </c>
      <c r="K25" s="4" t="n"/>
      <c r="L25" s="4" t="inlineStr">
        <is>
          <t>0—1</t>
        </is>
      </c>
      <c r="M25" s="4" t="inlineStr">
        <is>
          <t>no</t>
        </is>
      </c>
      <c r="N25" s="4" t="inlineStr">
        <is>
          <t>Kazan Arena</t>
        </is>
      </c>
      <c r="O25" s="4" t="inlineStr">
        <is>
          <t>Kazan</t>
        </is>
      </c>
      <c r="P25" s="4" t="inlineStr">
        <is>
          <t>https://github.com/jfjelstul/worldcup</t>
        </is>
      </c>
    </row>
    <row r="26">
      <c r="A26" s="4" t="inlineStr">
        <is>
          <t>M-2018-21</t>
        </is>
      </c>
      <c r="B26" s="4" t="inlineStr">
        <is>
          <t>2018</t>
        </is>
      </c>
      <c r="C26" s="4" t="inlineStr">
        <is>
          <t>Fase de grupos</t>
        </is>
      </c>
      <c r="D26" s="4" t="inlineStr">
        <is>
          <t>group-c</t>
        </is>
      </c>
      <c r="E26" s="4" t="inlineStr">
        <is>
          <t>2</t>
        </is>
      </c>
      <c r="F26" s="4" t="inlineStr">
        <is>
          <t>2018-06-21</t>
        </is>
      </c>
      <c r="G26" s="4" t="inlineStr">
        <is>
          <t>16:00</t>
        </is>
      </c>
      <c r="H26" s="4" t="inlineStr">
        <is>
          <t>Denmark</t>
        </is>
      </c>
      <c r="I26" s="4" t="inlineStr">
        <is>
          <t>australia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1-1</t>
        </is>
      </c>
      <c r="M26" s="4" t="inlineStr">
        <is>
          <t>No</t>
        </is>
      </c>
      <c r="N26" s="4" t="inlineStr">
        <is>
          <t>Samara Arena</t>
        </is>
      </c>
      <c r="O26" s="4" t="inlineStr">
        <is>
          <t>Samara</t>
        </is>
      </c>
      <c r="P26" s="4" t="inlineStr">
        <is>
          <t>https://github.com/jfjelstul/worldcup</t>
        </is>
      </c>
    </row>
    <row r="27">
      <c r="A27" s="4" t="inlineStr">
        <is>
          <t>M-2018-22</t>
        </is>
      </c>
      <c r="B27" s="4" t="inlineStr">
        <is>
          <t>2018</t>
        </is>
      </c>
      <c r="C27" s="4" t="inlineStr">
        <is>
          <t>GROUP STAGE</t>
        </is>
      </c>
      <c r="D27" s="4" t="inlineStr">
        <is>
          <t>Grupo C</t>
        </is>
      </c>
      <c r="E27" s="4" t="inlineStr">
        <is>
          <t>2</t>
        </is>
      </c>
      <c r="F27" s="4" t="inlineStr">
        <is>
          <t>21/06/2018</t>
        </is>
      </c>
      <c r="G27" s="4" t="inlineStr">
        <is>
          <t>20:00</t>
        </is>
      </c>
      <c r="H27" s="4" t="inlineStr">
        <is>
          <t>France</t>
        </is>
      </c>
      <c r="I27" s="4" t="inlineStr">
        <is>
          <t>Peru</t>
        </is>
      </c>
      <c r="J27" s="4" t="inlineStr">
        <is>
          <t>1</t>
        </is>
      </c>
      <c r="K27" s="4" t="inlineStr">
        <is>
          <t>0</t>
        </is>
      </c>
      <c r="L27" s="4" t="inlineStr">
        <is>
          <t>1–0</t>
        </is>
      </c>
      <c r="M27" s="4" t="inlineStr">
        <is>
          <t>0</t>
        </is>
      </c>
      <c r="N27" s="4" t="inlineStr">
        <is>
          <t>Central Stadium</t>
        </is>
      </c>
      <c r="O27" s="4" t="inlineStr">
        <is>
          <t>Yekaterinburg</t>
        </is>
      </c>
      <c r="P27" s="4" t="inlineStr">
        <is>
          <t>https://github.com/jfjelstul/worldcup</t>
        </is>
      </c>
    </row>
    <row r="28">
      <c r="A28" s="4" t="inlineStr">
        <is>
          <t>M-2018-23</t>
        </is>
      </c>
      <c r="B28" s="4" t="inlineStr">
        <is>
          <t>2018</t>
        </is>
      </c>
      <c r="C28" s="4" t="inlineStr">
        <is>
          <t>grupos</t>
        </is>
      </c>
      <c r="D28" s="4" t="inlineStr">
        <is>
          <t>D</t>
        </is>
      </c>
      <c r="E28" s="4" t="inlineStr">
        <is>
          <t>2</t>
        </is>
      </c>
      <c r="F28" s="4" t="inlineStr">
        <is>
          <t>06/21/2018</t>
        </is>
      </c>
      <c r="G28" s="4" t="inlineStr">
        <is>
          <t>21:00</t>
        </is>
      </c>
      <c r="H28" s="4" t="inlineStr">
        <is>
          <t>Argentina</t>
        </is>
      </c>
      <c r="I28" s="4" t="inlineStr">
        <is>
          <t>Croatia</t>
        </is>
      </c>
      <c r="J28" s="4" t="inlineStr">
        <is>
          <t>-1</t>
        </is>
      </c>
      <c r="K28" s="4" t="inlineStr">
        <is>
          <t>3</t>
        </is>
      </c>
      <c r="L28" s="4" t="inlineStr">
        <is>
          <t>0 : 3</t>
        </is>
      </c>
      <c r="M28" s="4" t="inlineStr">
        <is>
          <t>FALSE</t>
        </is>
      </c>
      <c r="N28" s="4" t="inlineStr">
        <is>
          <t>Nizhny Novgorod Stadium</t>
        </is>
      </c>
      <c r="O28" s="4" t="inlineStr">
        <is>
          <t>Nizhny Novgorod</t>
        </is>
      </c>
      <c r="P28" s="4" t="inlineStr">
        <is>
          <t>https://github.com/jfjelstul/worldcup</t>
        </is>
      </c>
    </row>
    <row r="29">
      <c r="A29" s="4" t="inlineStr">
        <is>
          <t>M-2018-24</t>
        </is>
      </c>
      <c r="B29" s="4" t="inlineStr">
        <is>
          <t>2018</t>
        </is>
      </c>
      <c r="C29" s="4" t="inlineStr">
        <is>
          <t>1ra fase</t>
        </is>
      </c>
      <c r="D29" s="4" t="inlineStr">
        <is>
          <t>group-e</t>
        </is>
      </c>
      <c r="E29" s="4" t="inlineStr">
        <is>
          <t>2</t>
        </is>
      </c>
      <c r="F29" s="4" t="inlineStr">
        <is>
          <t>22-06-18</t>
        </is>
      </c>
      <c r="G29" s="4" t="inlineStr">
        <is>
          <t>15:00</t>
        </is>
      </c>
      <c r="H29" s="4" t="inlineStr">
        <is>
          <t>brazil</t>
        </is>
      </c>
      <c r="I29" s="4" t="inlineStr">
        <is>
          <t>Costa Rica</t>
        </is>
      </c>
      <c r="J29" s="4" t="inlineStr">
        <is>
          <t>2</t>
        </is>
      </c>
      <c r="K29" s="4" t="inlineStr">
        <is>
          <t>0</t>
        </is>
      </c>
      <c r="L29" s="4" t="inlineStr">
        <is>
          <t>2 x 0</t>
        </is>
      </c>
      <c r="M29" s="4" t="inlineStr">
        <is>
          <t>no</t>
        </is>
      </c>
      <c r="N29" s="4" t="inlineStr">
        <is>
          <t>Krestovsky Stadium</t>
        </is>
      </c>
      <c r="O29" s="4" t="inlineStr">
        <is>
          <t>Saint Petersburg</t>
        </is>
      </c>
      <c r="P29" s="4" t="inlineStr">
        <is>
          <t>https://github.com/jfjelstul/worldcup</t>
        </is>
      </c>
    </row>
    <row r="30">
      <c r="A30" s="4" t="inlineStr">
        <is>
          <t>M-2018-25</t>
        </is>
      </c>
      <c r="B30" s="4" t="inlineStr">
        <is>
          <t>2018</t>
        </is>
      </c>
      <c r="C30" s="4" t="inlineStr">
        <is>
          <t>Fase de grupos</t>
        </is>
      </c>
      <c r="D30" s="4" t="inlineStr">
        <is>
          <t>Grupo D</t>
        </is>
      </c>
      <c r="E30" s="4" t="inlineStr">
        <is>
          <t>2</t>
        </is>
      </c>
      <c r="F30" s="4" t="inlineStr">
        <is>
          <t>Jun 22, 2018</t>
        </is>
      </c>
      <c r="G30" s="4" t="inlineStr">
        <is>
          <t>18:00</t>
        </is>
      </c>
      <c r="H30" s="4" t="inlineStr">
        <is>
          <t>Nigeria</t>
        </is>
      </c>
      <c r="I30" s="4" t="inlineStr">
        <is>
          <t>Iceland</t>
        </is>
      </c>
      <c r="J30" s="4" t="inlineStr">
        <is>
          <t>2</t>
        </is>
      </c>
      <c r="K30" s="4" t="inlineStr">
        <is>
          <t>0</t>
        </is>
      </c>
      <c r="L30" s="4" t="inlineStr">
        <is>
          <t>2—0</t>
        </is>
      </c>
      <c r="M30" s="4" t="inlineStr">
        <is>
          <t>No</t>
        </is>
      </c>
      <c r="N30" s="4" t="inlineStr">
        <is>
          <t>Volgograd Arena</t>
        </is>
      </c>
      <c r="O30" s="4" t="inlineStr">
        <is>
          <t>Volgograd</t>
        </is>
      </c>
      <c r="P30" s="4" t="inlineStr">
        <is>
          <t>https://github.com/jfjelstul/worldcup</t>
        </is>
      </c>
    </row>
    <row r="31">
      <c r="A31" s="4" t="inlineStr">
        <is>
          <t>M-2018-26</t>
        </is>
      </c>
      <c r="B31" s="4" t="inlineStr">
        <is>
          <t>2018</t>
        </is>
      </c>
      <c r="C31" s="4" t="inlineStr">
        <is>
          <t>GROUP STAGE</t>
        </is>
      </c>
      <c r="D31" s="4" t="inlineStr">
        <is>
          <t>E</t>
        </is>
      </c>
      <c r="E31" s="4" t="inlineStr">
        <is>
          <t>2</t>
        </is>
      </c>
      <c r="F31" s="4" t="inlineStr">
        <is>
          <t>2018-06-22</t>
        </is>
      </c>
      <c r="G31" s="4" t="inlineStr">
        <is>
          <t>20:00</t>
        </is>
      </c>
      <c r="H31" s="4" t="inlineStr">
        <is>
          <t>Serbia</t>
        </is>
      </c>
      <c r="I31" s="4" t="inlineStr">
        <is>
          <t>Suisse</t>
        </is>
      </c>
      <c r="J31" s="4" t="inlineStr">
        <is>
          <t>1</t>
        </is>
      </c>
      <c r="K31" s="4" t="inlineStr">
        <is>
          <t>2</t>
        </is>
      </c>
      <c r="L31" s="4" t="inlineStr">
        <is>
          <t>1-2</t>
        </is>
      </c>
      <c r="M31" s="4" t="inlineStr">
        <is>
          <t>0</t>
        </is>
      </c>
      <c r="N31" s="4" t="inlineStr">
        <is>
          <t>Kaliningrad Stadium</t>
        </is>
      </c>
      <c r="O31" s="4" t="inlineStr">
        <is>
          <t>Kaliningrad</t>
        </is>
      </c>
      <c r="P31" s="4" t="inlineStr">
        <is>
          <t>https://github.com/jfjelstul/worldcup</t>
        </is>
      </c>
    </row>
    <row r="32">
      <c r="A32" s="4" t="inlineStr">
        <is>
          <t>M-2018-27</t>
        </is>
      </c>
      <c r="B32" s="4" t="inlineStr">
        <is>
          <t>2018</t>
        </is>
      </c>
      <c r="C32" s="4" t="inlineStr">
        <is>
          <t>grupos</t>
        </is>
      </c>
      <c r="D32" s="4" t="inlineStr">
        <is>
          <t>group-g</t>
        </is>
      </c>
      <c r="E32" s="4" t="inlineStr">
        <is>
          <t>2</t>
        </is>
      </c>
      <c r="F32" s="4" t="inlineStr">
        <is>
          <t>23/06/2018</t>
        </is>
      </c>
      <c r="G32" s="4" t="inlineStr">
        <is>
          <t>15:00</t>
        </is>
      </c>
      <c r="H32" s="4" t="inlineStr">
        <is>
          <t>Belgium</t>
        </is>
      </c>
      <c r="I32" s="4" t="inlineStr">
        <is>
          <t>Tunisia</t>
        </is>
      </c>
      <c r="J32" s="4" t="inlineStr">
        <is>
          <t>5 goles</t>
        </is>
      </c>
      <c r="K32" s="4" t="inlineStr">
        <is>
          <t>2</t>
        </is>
      </c>
      <c r="L32" s="4" t="inlineStr">
        <is>
          <t>5–2</t>
        </is>
      </c>
      <c r="M32" s="4" t="inlineStr">
        <is>
          <t>FALSE</t>
        </is>
      </c>
      <c r="N32" s="4" t="inlineStr">
        <is>
          <t>Otkritie Arena</t>
        </is>
      </c>
      <c r="O32" s="4" t="inlineStr">
        <is>
          <t>Moscow</t>
        </is>
      </c>
      <c r="P32" s="4" t="inlineStr">
        <is>
          <t>https://github.com/jfjelstul/worldcup</t>
        </is>
      </c>
    </row>
    <row r="33">
      <c r="A33" s="4" t="inlineStr">
        <is>
          <t>M-2018-28</t>
        </is>
      </c>
      <c r="B33" s="4" t="inlineStr">
        <is>
          <t>2018</t>
        </is>
      </c>
      <c r="C33" s="4" t="inlineStr">
        <is>
          <t>1ra fase</t>
        </is>
      </c>
      <c r="D33" s="4" t="inlineStr">
        <is>
          <t>Grupo F</t>
        </is>
      </c>
      <c r="E33" s="4" t="inlineStr">
        <is>
          <t>2</t>
        </is>
      </c>
      <c r="F33" s="4" t="inlineStr">
        <is>
          <t>06/23/2018</t>
        </is>
      </c>
      <c r="G33" s="4" t="inlineStr">
        <is>
          <t>18:00</t>
        </is>
      </c>
      <c r="H33" s="4" t="inlineStr">
        <is>
          <t>South Korea</t>
        </is>
      </c>
      <c r="I33" s="4" t="inlineStr">
        <is>
          <t>Mexico</t>
        </is>
      </c>
      <c r="J33" s="4" t="inlineStr">
        <is>
          <t>1</t>
        </is>
      </c>
      <c r="K33" s="4" t="inlineStr">
        <is>
          <t>2</t>
        </is>
      </c>
      <c r="L33" s="4" t="inlineStr">
        <is>
          <t>1 : 2</t>
        </is>
      </c>
      <c r="M33" s="4" t="inlineStr">
        <is>
          <t>no</t>
        </is>
      </c>
      <c r="N33" s="4" t="inlineStr">
        <is>
          <t>Rostov Arena</t>
        </is>
      </c>
      <c r="O33" s="4" t="inlineStr">
        <is>
          <t>Rostov-on-Don</t>
        </is>
      </c>
      <c r="P33" s="4" t="inlineStr">
        <is>
          <t>https://github.com/jfjelstul/worldcup</t>
        </is>
      </c>
    </row>
    <row r="34">
      <c r="A34" s="4" t="inlineStr">
        <is>
          <t>M-2018-29</t>
        </is>
      </c>
      <c r="B34" s="4" t="inlineStr">
        <is>
          <t>2018</t>
        </is>
      </c>
      <c r="C34" s="4" t="inlineStr">
        <is>
          <t>Fase de grupos</t>
        </is>
      </c>
      <c r="D34" s="4" t="inlineStr">
        <is>
          <t>F</t>
        </is>
      </c>
      <c r="E34" s="4" t="inlineStr">
        <is>
          <t>2</t>
        </is>
      </c>
      <c r="F34" s="4" t="inlineStr">
        <is>
          <t>23-06-18</t>
        </is>
      </c>
      <c r="G34" s="4" t="inlineStr">
        <is>
          <t>21:00</t>
        </is>
      </c>
      <c r="H34" s="4" t="inlineStr">
        <is>
          <t>Deutschland</t>
        </is>
      </c>
      <c r="I34" s="4" t="inlineStr">
        <is>
          <t>Sweden</t>
        </is>
      </c>
      <c r="J34" s="4" t="inlineStr">
        <is>
          <t>2</t>
        </is>
      </c>
      <c r="K34" s="4" t="inlineStr">
        <is>
          <t>1</t>
        </is>
      </c>
      <c r="L34" s="4" t="inlineStr">
        <is>
          <t>2 x 1</t>
        </is>
      </c>
      <c r="M34" s="4" t="inlineStr">
        <is>
          <t>No</t>
        </is>
      </c>
      <c r="N34" s="4" t="inlineStr">
        <is>
          <t>Fisht Olympic Stadium</t>
        </is>
      </c>
      <c r="O34" s="4" t="inlineStr">
        <is>
          <t>Sochi</t>
        </is>
      </c>
      <c r="P34" s="4" t="inlineStr">
        <is>
          <t>https://github.com/jfjelstul/worldcup</t>
        </is>
      </c>
    </row>
    <row r="35">
      <c r="A35" s="4" t="inlineStr">
        <is>
          <t>M-2018-30</t>
        </is>
      </c>
      <c r="B35" s="4" t="inlineStr">
        <is>
          <t>2018</t>
        </is>
      </c>
      <c r="C35" s="4" t="inlineStr">
        <is>
          <t>GROUP STAGE</t>
        </is>
      </c>
      <c r="D35" s="4" t="inlineStr">
        <is>
          <t>group-g</t>
        </is>
      </c>
      <c r="E35" s="4" t="inlineStr">
        <is>
          <t>2</t>
        </is>
      </c>
      <c r="F35" s="4" t="inlineStr">
        <is>
          <t>Jun 24, 2018</t>
        </is>
      </c>
      <c r="G35" s="4" t="inlineStr">
        <is>
          <t>15:00</t>
        </is>
      </c>
      <c r="H35" s="4" t="inlineStr">
        <is>
          <t>England</t>
        </is>
      </c>
      <c r="I35" s="4" t="inlineStr">
        <is>
          <t>Panama</t>
        </is>
      </c>
      <c r="J35" s="4" t="inlineStr">
        <is>
          <t>6</t>
        </is>
      </c>
      <c r="K35" s="4" t="inlineStr">
        <is>
          <t>1</t>
        </is>
      </c>
      <c r="L35" s="4" t="inlineStr">
        <is>
          <t>6—1</t>
        </is>
      </c>
      <c r="M35" s="4" t="inlineStr">
        <is>
          <t>0</t>
        </is>
      </c>
      <c r="N35" s="4" t="inlineStr">
        <is>
          <t>Nizhny Novgorod Stadium</t>
        </is>
      </c>
      <c r="O35" s="4" t="inlineStr">
        <is>
          <t>Nizhny Novgorod</t>
        </is>
      </c>
      <c r="P35" s="4" t="inlineStr">
        <is>
          <t>https://github.com/jfjelstul/worldcup</t>
        </is>
      </c>
    </row>
    <row r="36">
      <c r="A36" s="4" t="inlineStr">
        <is>
          <t>M-2018-31</t>
        </is>
      </c>
      <c r="B36" s="4" t="inlineStr">
        <is>
          <t>2018</t>
        </is>
      </c>
      <c r="C36" s="4" t="inlineStr">
        <is>
          <t>grupos</t>
        </is>
      </c>
      <c r="D36" s="4" t="inlineStr">
        <is>
          <t>Grupo H</t>
        </is>
      </c>
      <c r="E36" s="4" t="inlineStr">
        <is>
          <t>2</t>
        </is>
      </c>
      <c r="F36" s="4" t="inlineStr">
        <is>
          <t>2018-06-24</t>
        </is>
      </c>
      <c r="G36" s="4" t="inlineStr">
        <is>
          <t>20:00</t>
        </is>
      </c>
      <c r="H36" s="4" t="inlineStr">
        <is>
          <t>Japan</t>
        </is>
      </c>
      <c r="I36" s="4" t="inlineStr">
        <is>
          <t>Senegal</t>
        </is>
      </c>
      <c r="J36" s="4" t="inlineStr">
        <is>
          <t>2</t>
        </is>
      </c>
      <c r="K36" s="4" t="inlineStr">
        <is>
          <t>2</t>
        </is>
      </c>
      <c r="L36" s="4" t="inlineStr">
        <is>
          <t>2-2</t>
        </is>
      </c>
      <c r="M36" s="4" t="inlineStr">
        <is>
          <t>FALSE</t>
        </is>
      </c>
      <c r="N36" s="4" t="inlineStr">
        <is>
          <t>Central Stadium</t>
        </is>
      </c>
      <c r="O36" s="4" t="inlineStr">
        <is>
          <t>Yekaterinburg</t>
        </is>
      </c>
      <c r="P36" s="4" t="inlineStr">
        <is>
          <t>https://github.com/jfjelstul/worldcup</t>
        </is>
      </c>
    </row>
    <row r="37">
      <c r="A37" s="4" t="inlineStr">
        <is>
          <t>M-2018-32</t>
        </is>
      </c>
      <c r="B37" s="4" t="inlineStr">
        <is>
          <t>2018</t>
        </is>
      </c>
      <c r="C37" s="4" t="inlineStr">
        <is>
          <t>1ra fase</t>
        </is>
      </c>
      <c r="D37" s="4" t="inlineStr">
        <is>
          <t>s/d</t>
        </is>
      </c>
      <c r="E37" s="4" t="inlineStr">
        <is>
          <t>2</t>
        </is>
      </c>
      <c r="F37" s="4" t="inlineStr">
        <is>
          <t>24/06/2018</t>
        </is>
      </c>
      <c r="G37" s="4" t="inlineStr">
        <is>
          <t>21:00</t>
        </is>
      </c>
      <c r="H37" s="4" t="inlineStr">
        <is>
          <t>Poland</t>
        </is>
      </c>
      <c r="I37" s="4" t="inlineStr">
        <is>
          <t>COLOMBIA</t>
        </is>
      </c>
      <c r="J37" s="4" t="inlineStr">
        <is>
          <t>0</t>
        </is>
      </c>
      <c r="K37" s="4" t="inlineStr">
        <is>
          <t>3</t>
        </is>
      </c>
      <c r="L37" s="4" t="inlineStr">
        <is>
          <t>0–3</t>
        </is>
      </c>
      <c r="M37" s="4" t="inlineStr">
        <is>
          <t>no</t>
        </is>
      </c>
      <c r="N37" s="4" t="inlineStr">
        <is>
          <t>Kazan Arena</t>
        </is>
      </c>
      <c r="O37" s="4" t="inlineStr">
        <is>
          <t>Kazan</t>
        </is>
      </c>
      <c r="P37" s="4" t="inlineStr">
        <is>
          <t>https://github.com/jfjelstul/worldcup</t>
        </is>
      </c>
    </row>
    <row r="38">
      <c r="A38" s="4" t="inlineStr">
        <is>
          <t>M-2018-33</t>
        </is>
      </c>
      <c r="B38" s="4" t="inlineStr">
        <is>
          <t>2018</t>
        </is>
      </c>
      <c r="C38" s="4" t="inlineStr">
        <is>
          <t>Fase de grupos</t>
        </is>
      </c>
      <c r="D38" s="4" t="inlineStr">
        <is>
          <t>group-a</t>
        </is>
      </c>
      <c r="E38" s="4" t="inlineStr">
        <is>
          <t>3</t>
        </is>
      </c>
      <c r="F38" s="4" t="inlineStr">
        <is>
          <t>06/25/2018</t>
        </is>
      </c>
      <c r="G38" s="4" t="inlineStr">
        <is>
          <t>17:00</t>
        </is>
      </c>
      <c r="H38" s="4" t="inlineStr">
        <is>
          <t>Saudi-Arabia</t>
        </is>
      </c>
      <c r="I38" s="4" t="inlineStr">
        <is>
          <t>Egypt</t>
        </is>
      </c>
      <c r="J38" s="4" t="inlineStr">
        <is>
          <t>2</t>
        </is>
      </c>
      <c r="K38" s="4" t="inlineStr">
        <is>
          <t>1</t>
        </is>
      </c>
      <c r="L38" s="4" t="inlineStr">
        <is>
          <t>2 : 1</t>
        </is>
      </c>
      <c r="M38" s="4" t="inlineStr">
        <is>
          <t>No</t>
        </is>
      </c>
      <c r="N38" s="4" t="inlineStr">
        <is>
          <t>Volgograd Arena</t>
        </is>
      </c>
      <c r="O38" s="4" t="inlineStr">
        <is>
          <t>Volgograd</t>
        </is>
      </c>
      <c r="P38" s="4" t="inlineStr">
        <is>
          <t>https://github.com/jfjelstul/worldcup</t>
        </is>
      </c>
    </row>
    <row r="39">
      <c r="A39" s="4" t="inlineStr">
        <is>
          <t>M-2018-34</t>
        </is>
      </c>
      <c r="B39" s="4" t="inlineStr">
        <is>
          <t>2018</t>
        </is>
      </c>
      <c r="C39" s="4" t="inlineStr">
        <is>
          <t>GROUP STAGE</t>
        </is>
      </c>
      <c r="D39" s="4" t="inlineStr">
        <is>
          <t>Grupo A</t>
        </is>
      </c>
      <c r="E39" s="4" t="inlineStr">
        <is>
          <t>3</t>
        </is>
      </c>
      <c r="F39" s="4" t="inlineStr">
        <is>
          <t>25-06-18</t>
        </is>
      </c>
      <c r="G39" s="4" t="inlineStr">
        <is>
          <t>18:00</t>
        </is>
      </c>
      <c r="H39" s="4" t="inlineStr">
        <is>
          <t>Uruguay</t>
        </is>
      </c>
      <c r="I39" s="4" t="inlineStr">
        <is>
          <t>Russia</t>
        </is>
      </c>
      <c r="J39" s="4" t="inlineStr">
        <is>
          <t>3</t>
        </is>
      </c>
      <c r="K39" s="4" t="inlineStr">
        <is>
          <t>0</t>
        </is>
      </c>
      <c r="L39" s="4" t="inlineStr">
        <is>
          <t>3 x 0</t>
        </is>
      </c>
      <c r="M39" s="4" t="inlineStr">
        <is>
          <t>0</t>
        </is>
      </c>
      <c r="N39" s="4" t="inlineStr">
        <is>
          <t>Samara Arena</t>
        </is>
      </c>
      <c r="O39" s="4" t="inlineStr">
        <is>
          <t>Samara</t>
        </is>
      </c>
      <c r="P39" s="4" t="inlineStr">
        <is>
          <t>https://github.com/jfjelstul/worldcup</t>
        </is>
      </c>
    </row>
    <row r="40">
      <c r="A40" s="4" t="inlineStr">
        <is>
          <t>M-2018-35</t>
        </is>
      </c>
      <c r="B40" s="4" t="inlineStr">
        <is>
          <t>2018</t>
        </is>
      </c>
      <c r="C40" s="4" t="inlineStr">
        <is>
          <t>grupos</t>
        </is>
      </c>
      <c r="D40" s="4" t="inlineStr">
        <is>
          <t>B</t>
        </is>
      </c>
      <c r="E40" s="4" t="inlineStr">
        <is>
          <t>3</t>
        </is>
      </c>
      <c r="F40" s="4" t="inlineStr">
        <is>
          <t>Jun 25, 2018</t>
        </is>
      </c>
      <c r="G40" s="4" t="inlineStr">
        <is>
          <t>20:00</t>
        </is>
      </c>
      <c r="H40" s="4" t="inlineStr">
        <is>
          <t>ESPAÑA</t>
        </is>
      </c>
      <c r="I40" s="4" t="inlineStr">
        <is>
          <t>Morocco</t>
        </is>
      </c>
      <c r="J40" s="4" t="inlineStr">
        <is>
          <t>2</t>
        </is>
      </c>
      <c r="K40" s="4" t="inlineStr">
        <is>
          <t>2</t>
        </is>
      </c>
      <c r="L40" s="4" t="inlineStr">
        <is>
          <t>2—2</t>
        </is>
      </c>
      <c r="M40" s="4" t="inlineStr">
        <is>
          <t>FALSE</t>
        </is>
      </c>
      <c r="N40" s="4" t="inlineStr">
        <is>
          <t>Kaliningrad Stadium</t>
        </is>
      </c>
      <c r="O40" s="4" t="inlineStr">
        <is>
          <t>Kaliningrad</t>
        </is>
      </c>
      <c r="P40" s="4" t="inlineStr">
        <is>
          <t>https://github.com/jfjelstul/worldcup</t>
        </is>
      </c>
    </row>
    <row r="41">
      <c r="A41" s="4" t="inlineStr">
        <is>
          <t>M-2018-36</t>
        </is>
      </c>
      <c r="B41" s="4" t="inlineStr">
        <is>
          <t>2018</t>
        </is>
      </c>
      <c r="C41" s="4" t="inlineStr">
        <is>
          <t>1ra fase</t>
        </is>
      </c>
      <c r="D41" s="4" t="inlineStr">
        <is>
          <t>group-b</t>
        </is>
      </c>
      <c r="E41" s="4" t="inlineStr">
        <is>
          <t>3</t>
        </is>
      </c>
      <c r="F41" s="4" t="inlineStr">
        <is>
          <t>2018-06-25</t>
        </is>
      </c>
      <c r="G41" s="4" t="inlineStr">
        <is>
          <t>21:00</t>
        </is>
      </c>
      <c r="H41" s="4" t="inlineStr">
        <is>
          <t>Iran, I.R.</t>
        </is>
      </c>
      <c r="I41" s="4" t="inlineStr">
        <is>
          <t>Portugal</t>
        </is>
      </c>
      <c r="J41" s="4" t="inlineStr">
        <is>
          <t>1</t>
        </is>
      </c>
      <c r="K41" s="4" t="inlineStr">
        <is>
          <t>1</t>
        </is>
      </c>
      <c r="L41" s="4" t="inlineStr">
        <is>
          <t>1-1</t>
        </is>
      </c>
      <c r="M41" s="4" t="inlineStr">
        <is>
          <t>no</t>
        </is>
      </c>
      <c r="N41" s="4" t="inlineStr">
        <is>
          <t>Mordovia Arena</t>
        </is>
      </c>
      <c r="O41" s="4" t="inlineStr">
        <is>
          <t>Saransk</t>
        </is>
      </c>
      <c r="P41" s="4" t="inlineStr">
        <is>
          <t>https://github.com/jfjelstul/worldcup</t>
        </is>
      </c>
    </row>
    <row r="42">
      <c r="A42" s="4" t="inlineStr">
        <is>
          <t>M-2018-37</t>
        </is>
      </c>
      <c r="B42" s="4" t="inlineStr">
        <is>
          <t>2018</t>
        </is>
      </c>
      <c r="C42" s="4" t="inlineStr">
        <is>
          <t>Fase de grupos</t>
        </is>
      </c>
      <c r="D42" s="4" t="inlineStr">
        <is>
          <t>Grupo C</t>
        </is>
      </c>
      <c r="E42" s="4" t="inlineStr">
        <is>
          <t>3</t>
        </is>
      </c>
      <c r="F42" s="4" t="inlineStr">
        <is>
          <t>26/06/2018</t>
        </is>
      </c>
      <c r="G42" s="4" t="inlineStr">
        <is>
          <t>17:00</t>
        </is>
      </c>
      <c r="H42" s="4" t="inlineStr">
        <is>
          <t>Australia</t>
        </is>
      </c>
      <c r="I42" s="4" t="inlineStr">
        <is>
          <t>Peru</t>
        </is>
      </c>
      <c r="J42" s="4" t="inlineStr">
        <is>
          <t>0</t>
        </is>
      </c>
      <c r="K42" s="4" t="inlineStr">
        <is>
          <t>2</t>
        </is>
      </c>
      <c r="L42" s="4" t="inlineStr">
        <is>
          <t>0–2</t>
        </is>
      </c>
      <c r="M42" s="4" t="inlineStr">
        <is>
          <t>No</t>
        </is>
      </c>
      <c r="N42" s="4" t="inlineStr">
        <is>
          <t>Fisht Olympic Stadium</t>
        </is>
      </c>
      <c r="O42" s="4" t="inlineStr">
        <is>
          <t>Sochi</t>
        </is>
      </c>
      <c r="P42" s="4" t="inlineStr">
        <is>
          <t>https://github.com/jfjelstul/worldcup</t>
        </is>
      </c>
    </row>
    <row r="43">
      <c r="A43" s="4" t="inlineStr">
        <is>
          <t>M-2018-38</t>
        </is>
      </c>
      <c r="B43" s="4" t="inlineStr">
        <is>
          <t>2018</t>
        </is>
      </c>
      <c r="C43" s="4" t="inlineStr">
        <is>
          <t>GROUP STAGE</t>
        </is>
      </c>
      <c r="D43" s="4" t="inlineStr">
        <is>
          <t>C</t>
        </is>
      </c>
      <c r="E43" s="4" t="inlineStr">
        <is>
          <t>3</t>
        </is>
      </c>
      <c r="F43" s="4" t="inlineStr">
        <is>
          <t>06/26/2018</t>
        </is>
      </c>
      <c r="G43" s="4" t="inlineStr">
        <is>
          <t>17:00</t>
        </is>
      </c>
      <c r="H43" s="4" t="inlineStr">
        <is>
          <t>Denmark</t>
        </is>
      </c>
      <c r="I43" s="4" t="inlineStr">
        <is>
          <t>France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 : 0</t>
        </is>
      </c>
      <c r="M43" s="4" t="inlineStr">
        <is>
          <t>0</t>
        </is>
      </c>
      <c r="N43" s="4" t="inlineStr">
        <is>
          <t>Luzhniki Stadium</t>
        </is>
      </c>
      <c r="O43" s="4" t="inlineStr">
        <is>
          <t>Moscow</t>
        </is>
      </c>
      <c r="P43" s="4" t="inlineStr">
        <is>
          <t>https://github.com/jfjelstul/worldcup</t>
        </is>
      </c>
    </row>
    <row r="44">
      <c r="A44" s="4" t="inlineStr">
        <is>
          <t>M-2018-39</t>
        </is>
      </c>
      <c r="B44" s="4" t="inlineStr">
        <is>
          <t>2018</t>
        </is>
      </c>
      <c r="C44" s="4" t="inlineStr">
        <is>
          <t>grupos</t>
        </is>
      </c>
      <c r="D44" s="4" t="inlineStr">
        <is>
          <t>group-d</t>
        </is>
      </c>
      <c r="E44" s="4" t="inlineStr">
        <is>
          <t>3</t>
        </is>
      </c>
      <c r="F44" s="4" t="inlineStr">
        <is>
          <t>26-06-18</t>
        </is>
      </c>
      <c r="G44" s="4" t="inlineStr">
        <is>
          <t>21:00</t>
        </is>
      </c>
      <c r="H44" s="4" t="inlineStr">
        <is>
          <t>Iceland</t>
        </is>
      </c>
      <c r="I44" s="4" t="inlineStr">
        <is>
          <t>Croatia</t>
        </is>
      </c>
      <c r="J44" s="4" t="inlineStr">
        <is>
          <t>1</t>
        </is>
      </c>
      <c r="K44" s="4" t="n"/>
      <c r="L44" s="4" t="inlineStr">
        <is>
          <t>1 x 2</t>
        </is>
      </c>
      <c r="M44" s="4" t="inlineStr">
        <is>
          <t>FALSE</t>
        </is>
      </c>
      <c r="N44" s="4" t="inlineStr">
        <is>
          <t>Rostov Arena</t>
        </is>
      </c>
      <c r="O44" s="4" t="inlineStr">
        <is>
          <t>Rostov-on-Don</t>
        </is>
      </c>
      <c r="P44" s="4" t="inlineStr">
        <is>
          <t>https://github.com/jfjelstul/worldcup</t>
        </is>
      </c>
    </row>
    <row r="45">
      <c r="A45" s="4" t="inlineStr">
        <is>
          <t>M-2018-40</t>
        </is>
      </c>
      <c r="B45" s="4" t="inlineStr">
        <is>
          <t>2018</t>
        </is>
      </c>
      <c r="C45" s="4" t="inlineStr">
        <is>
          <t>1ra fase</t>
        </is>
      </c>
      <c r="D45" s="4" t="inlineStr">
        <is>
          <t>Grupo D</t>
        </is>
      </c>
      <c r="E45" s="4" t="inlineStr">
        <is>
          <t>3</t>
        </is>
      </c>
      <c r="F45" s="4" t="inlineStr">
        <is>
          <t>Jun 26, 2018</t>
        </is>
      </c>
      <c r="G45" s="4" t="inlineStr">
        <is>
          <t>21:00</t>
        </is>
      </c>
      <c r="H45" s="4" t="inlineStr">
        <is>
          <t>Nigeria</t>
        </is>
      </c>
      <c r="I45" s="4" t="inlineStr">
        <is>
          <t>Argentina</t>
        </is>
      </c>
      <c r="J45" s="4" t="inlineStr">
        <is>
          <t>1 goles</t>
        </is>
      </c>
      <c r="K45" s="4" t="inlineStr">
        <is>
          <t>2</t>
        </is>
      </c>
      <c r="L45" s="4" t="inlineStr">
        <is>
          <t>1—2</t>
        </is>
      </c>
      <c r="M45" s="4" t="inlineStr">
        <is>
          <t>no</t>
        </is>
      </c>
      <c r="N45" s="4" t="inlineStr">
        <is>
          <t>Krestovsky Stadium</t>
        </is>
      </c>
      <c r="O45" s="4" t="inlineStr">
        <is>
          <t>Saint Petersburg</t>
        </is>
      </c>
      <c r="P45" s="4" t="inlineStr">
        <is>
          <t>https://github.com/jfjelstul/worldcup</t>
        </is>
      </c>
    </row>
    <row r="46">
      <c r="A46" s="4" t="inlineStr">
        <is>
          <t>M-2018-41</t>
        </is>
      </c>
      <c r="B46" s="4" t="inlineStr">
        <is>
          <t>2018</t>
        </is>
      </c>
      <c r="C46" s="4" t="inlineStr">
        <is>
          <t>Fase de grupos</t>
        </is>
      </c>
      <c r="D46" s="4" t="inlineStr">
        <is>
          <t>F</t>
        </is>
      </c>
      <c r="E46" s="4" t="inlineStr">
        <is>
          <t>3</t>
        </is>
      </c>
      <c r="F46" s="4" t="inlineStr">
        <is>
          <t>2018-06-27</t>
        </is>
      </c>
      <c r="G46" s="4" t="inlineStr">
        <is>
          <t>17:00</t>
        </is>
      </c>
      <c r="H46" s="4" t="inlineStr">
        <is>
          <t>Korea Rep.</t>
        </is>
      </c>
      <c r="I46" s="4" t="inlineStr">
        <is>
          <t>Germany</t>
        </is>
      </c>
      <c r="J46" s="4" t="inlineStr">
        <is>
          <t>2</t>
        </is>
      </c>
      <c r="K46" s="4" t="inlineStr">
        <is>
          <t>0</t>
        </is>
      </c>
      <c r="L46" s="4" t="inlineStr">
        <is>
          <t>2-0</t>
        </is>
      </c>
      <c r="M46" s="4" t="inlineStr">
        <is>
          <t>No</t>
        </is>
      </c>
      <c r="N46" s="4" t="inlineStr">
        <is>
          <t>Kazan Arena</t>
        </is>
      </c>
      <c r="O46" s="4" t="inlineStr">
        <is>
          <t>Kazan</t>
        </is>
      </c>
      <c r="P46" s="4" t="inlineStr">
        <is>
          <t>https://github.com/jfjelstul/worldcup</t>
        </is>
      </c>
    </row>
    <row r="47">
      <c r="A47" s="4" t="inlineStr">
        <is>
          <t>M-2018-42</t>
        </is>
      </c>
      <c r="B47" s="4" t="inlineStr">
        <is>
          <t>2018</t>
        </is>
      </c>
      <c r="C47" s="4" t="inlineStr">
        <is>
          <t>GROUP STAGE</t>
        </is>
      </c>
      <c r="D47" s="4" t="inlineStr">
        <is>
          <t>group-f</t>
        </is>
      </c>
      <c r="E47" s="4" t="inlineStr">
        <is>
          <t>3</t>
        </is>
      </c>
      <c r="F47" s="4" t="inlineStr">
        <is>
          <t>27/06/2018</t>
        </is>
      </c>
      <c r="G47" s="4" t="inlineStr">
        <is>
          <t>19:00</t>
        </is>
      </c>
      <c r="H47" s="4" t="inlineStr">
        <is>
          <t>México</t>
        </is>
      </c>
      <c r="I47" s="4" t="inlineStr">
        <is>
          <t>Sweden</t>
        </is>
      </c>
      <c r="J47" s="4" t="inlineStr">
        <is>
          <t>0</t>
        </is>
      </c>
      <c r="K47" s="4" t="inlineStr">
        <is>
          <t>3</t>
        </is>
      </c>
      <c r="L47" s="4" t="inlineStr">
        <is>
          <t>0–3</t>
        </is>
      </c>
      <c r="M47" s="4" t="inlineStr">
        <is>
          <t>0</t>
        </is>
      </c>
      <c r="N47" s="4" t="inlineStr">
        <is>
          <t>Central Stadium</t>
        </is>
      </c>
      <c r="O47" s="4" t="inlineStr">
        <is>
          <t>Yekaterinburg</t>
        </is>
      </c>
      <c r="P47" s="4" t="inlineStr">
        <is>
          <t>https://github.com/jfjelstul/worldcup</t>
        </is>
      </c>
    </row>
    <row r="48">
      <c r="A48" s="4" t="inlineStr">
        <is>
          <t>M-2018-43</t>
        </is>
      </c>
      <c r="B48" s="4" t="inlineStr">
        <is>
          <t>2018</t>
        </is>
      </c>
      <c r="C48" s="4" t="inlineStr">
        <is>
          <t>grupos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06/27/2018</t>
        </is>
      </c>
      <c r="G48" s="4" t="inlineStr">
        <is>
          <t>21:00</t>
        </is>
      </c>
      <c r="H48" s="4" t="inlineStr">
        <is>
          <t>Serbia</t>
        </is>
      </c>
      <c r="I48" s="4" t="inlineStr">
        <is>
          <t>Brazil</t>
        </is>
      </c>
      <c r="J48" s="4" t="inlineStr">
        <is>
          <t>0</t>
        </is>
      </c>
      <c r="K48" s="4" t="inlineStr">
        <is>
          <t>2</t>
        </is>
      </c>
      <c r="L48" s="4" t="inlineStr">
        <is>
          <t>0 : 2</t>
        </is>
      </c>
      <c r="M48" s="4" t="inlineStr">
        <is>
          <t>FALSE</t>
        </is>
      </c>
      <c r="N48" s="4" t="inlineStr">
        <is>
          <t>Otkritie Arena</t>
        </is>
      </c>
      <c r="O48" s="4" t="inlineStr">
        <is>
          <t>Moscow</t>
        </is>
      </c>
      <c r="P48" s="4" t="inlineStr">
        <is>
          <t>https://github.com/jfjelstul/worldcup</t>
        </is>
      </c>
    </row>
    <row r="49">
      <c r="A49" s="4" t="inlineStr">
        <is>
          <t>M-2018-44</t>
        </is>
      </c>
      <c r="B49" s="4" t="inlineStr">
        <is>
          <t>2018</t>
        </is>
      </c>
      <c r="C49" s="4" t="inlineStr">
        <is>
          <t>1ra fase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27-06-18</t>
        </is>
      </c>
      <c r="G49" s="4" t="inlineStr">
        <is>
          <t>21:00</t>
        </is>
      </c>
      <c r="H49" s="4" t="inlineStr">
        <is>
          <t>Switzerland</t>
        </is>
      </c>
      <c r="I49" s="4" t="inlineStr">
        <is>
          <t>costa rica</t>
        </is>
      </c>
      <c r="J49" s="4" t="inlineStr">
        <is>
          <t>2</t>
        </is>
      </c>
      <c r="K49" s="4" t="inlineStr">
        <is>
          <t>2</t>
        </is>
      </c>
      <c r="L49" s="4" t="inlineStr">
        <is>
          <t>2 x 2</t>
        </is>
      </c>
      <c r="M49" s="4" t="inlineStr">
        <is>
          <t>no</t>
        </is>
      </c>
      <c r="N49" s="4" t="inlineStr">
        <is>
          <t>Nizhny Novgorod Stadium</t>
        </is>
      </c>
      <c r="O49" s="4" t="inlineStr">
        <is>
          <t>Nizhny Novgorod</t>
        </is>
      </c>
      <c r="P49" s="4" t="inlineStr">
        <is>
          <t>https://github.com/jfjelstul/worldcup</t>
        </is>
      </c>
    </row>
    <row r="50">
      <c r="A50" s="4" t="inlineStr">
        <is>
          <t>M-2018-45</t>
        </is>
      </c>
      <c r="B50" s="4" t="inlineStr">
        <is>
          <t>2018</t>
        </is>
      </c>
      <c r="C50" s="4" t="inlineStr">
        <is>
          <t>Fase de grupos</t>
        </is>
      </c>
      <c r="D50" s="4" t="inlineStr">
        <is>
          <t>group-h</t>
        </is>
      </c>
      <c r="E50" s="4" t="inlineStr">
        <is>
          <t>3</t>
        </is>
      </c>
      <c r="F50" s="4" t="inlineStr">
        <is>
          <t>Jun 28, 2018</t>
        </is>
      </c>
      <c r="G50" s="4" t="inlineStr">
        <is>
          <t>17:00</t>
        </is>
      </c>
      <c r="H50" s="4" t="inlineStr">
        <is>
          <t>Japan</t>
        </is>
      </c>
      <c r="I50" s="4" t="inlineStr">
        <is>
          <t>Poland</t>
        </is>
      </c>
      <c r="J50" s="4" t="inlineStr">
        <is>
          <t>0</t>
        </is>
      </c>
      <c r="K50" s="4" t="inlineStr">
        <is>
          <t>1</t>
        </is>
      </c>
      <c r="L50" s="4" t="inlineStr">
        <is>
          <t>0—1</t>
        </is>
      </c>
      <c r="M50" s="4" t="inlineStr">
        <is>
          <t>No</t>
        </is>
      </c>
      <c r="N50" s="4" t="inlineStr">
        <is>
          <t>Volgograd Arena</t>
        </is>
      </c>
      <c r="O50" s="4" t="inlineStr">
        <is>
          <t>Volgograd</t>
        </is>
      </c>
      <c r="P50" s="4" t="inlineStr">
        <is>
          <t>https://github.com/jfjelstul/worldcup</t>
        </is>
      </c>
    </row>
    <row r="51">
      <c r="A51" s="4" t="inlineStr">
        <is>
          <t>M-2018-46</t>
        </is>
      </c>
      <c r="B51" s="4" t="inlineStr">
        <is>
          <t>2018</t>
        </is>
      </c>
      <c r="C51" s="4" t="inlineStr">
        <is>
          <t>GROUP STAGE</t>
        </is>
      </c>
      <c r="D51" s="4" t="inlineStr">
        <is>
          <t>Grupo H</t>
        </is>
      </c>
      <c r="E51" s="4" t="inlineStr">
        <is>
          <t>3</t>
        </is>
      </c>
      <c r="F51" s="4" t="inlineStr">
        <is>
          <t>2018-06-28</t>
        </is>
      </c>
      <c r="G51" s="4" t="inlineStr">
        <is>
          <t>18:00</t>
        </is>
      </c>
      <c r="H51" s="4" t="inlineStr">
        <is>
          <t>Senegal</t>
        </is>
      </c>
      <c r="I51" s="4" t="inlineStr">
        <is>
          <t>Colombia</t>
        </is>
      </c>
      <c r="J51" s="4" t="inlineStr">
        <is>
          <t>0</t>
        </is>
      </c>
      <c r="K51" s="4" t="inlineStr">
        <is>
          <t>1</t>
        </is>
      </c>
      <c r="L51" s="4" t="inlineStr">
        <is>
          <t>0-1</t>
        </is>
      </c>
      <c r="M51" s="4" t="inlineStr">
        <is>
          <t>0</t>
        </is>
      </c>
      <c r="N51" s="4" t="inlineStr">
        <is>
          <t>Samara Arena</t>
        </is>
      </c>
      <c r="O51" s="4" t="inlineStr">
        <is>
          <t>Samara</t>
        </is>
      </c>
      <c r="P51" s="4" t="inlineStr">
        <is>
          <t>https://github.com/jfjelstul/worldcup</t>
        </is>
      </c>
    </row>
    <row r="52">
      <c r="A52" s="4" t="inlineStr">
        <is>
          <t>M-2018-47</t>
        </is>
      </c>
      <c r="B52" s="4" t="inlineStr">
        <is>
          <t>2018</t>
        </is>
      </c>
      <c r="C52" s="4" t="inlineStr">
        <is>
          <t>grupos</t>
        </is>
      </c>
      <c r="D52" s="4" t="inlineStr">
        <is>
          <t>G</t>
        </is>
      </c>
      <c r="E52" s="4" t="inlineStr">
        <is>
          <t>3</t>
        </is>
      </c>
      <c r="F52" s="4" t="inlineStr">
        <is>
          <t>28/06/2018</t>
        </is>
      </c>
      <c r="G52" s="4" t="inlineStr">
        <is>
          <t>20:00</t>
        </is>
      </c>
      <c r="H52" s="4" t="inlineStr">
        <is>
          <t>england</t>
        </is>
      </c>
      <c r="I52" s="4" t="inlineStr">
        <is>
          <t>Belgium</t>
        </is>
      </c>
      <c r="J52" s="4" t="inlineStr">
        <is>
          <t>0</t>
        </is>
      </c>
      <c r="K52" s="4" t="inlineStr">
        <is>
          <t>1</t>
        </is>
      </c>
      <c r="L52" s="4" t="inlineStr">
        <is>
          <t>0–1</t>
        </is>
      </c>
      <c r="M52" s="4" t="inlineStr">
        <is>
          <t>FALSE</t>
        </is>
      </c>
      <c r="N52" s="4" t="inlineStr">
        <is>
          <t>Kaliningrad Stadium</t>
        </is>
      </c>
      <c r="O52" s="4" t="inlineStr">
        <is>
          <t>Kaliningrad</t>
        </is>
      </c>
      <c r="P52" s="4" t="inlineStr">
        <is>
          <t>https://github.com/jfjelstul/worldcup</t>
        </is>
      </c>
    </row>
    <row r="53">
      <c r="A53" s="4" t="inlineStr">
        <is>
          <t>M-2018-48</t>
        </is>
      </c>
      <c r="B53" s="4" t="inlineStr">
        <is>
          <t>2018</t>
        </is>
      </c>
      <c r="C53" s="4" t="inlineStr">
        <is>
          <t>1ra fase</t>
        </is>
      </c>
      <c r="D53" s="4" t="inlineStr">
        <is>
          <t>group-g</t>
        </is>
      </c>
      <c r="E53" s="4" t="inlineStr">
        <is>
          <t>3</t>
        </is>
      </c>
      <c r="F53" s="4" t="inlineStr">
        <is>
          <t>06/28/2018</t>
        </is>
      </c>
      <c r="G53" s="4" t="inlineStr">
        <is>
          <t>21:00</t>
        </is>
      </c>
      <c r="H53" s="4" t="inlineStr">
        <is>
          <t>Panama</t>
        </is>
      </c>
      <c r="I53" s="4" t="inlineStr">
        <is>
          <t>Tunisia</t>
        </is>
      </c>
      <c r="J53" s="4" t="inlineStr">
        <is>
          <t>1</t>
        </is>
      </c>
      <c r="K53" s="4" t="inlineStr">
        <is>
          <t>2</t>
        </is>
      </c>
      <c r="L53" s="4" t="inlineStr">
        <is>
          <t>1 : 2</t>
        </is>
      </c>
      <c r="M53" s="4" t="inlineStr">
        <is>
          <t>no</t>
        </is>
      </c>
      <c r="N53" s="4" t="inlineStr">
        <is>
          <t>Mordovia Arena</t>
        </is>
      </c>
      <c r="O53" s="4" t="inlineStr">
        <is>
          <t>Saransk</t>
        </is>
      </c>
      <c r="P53" s="4" t="inlineStr">
        <is>
          <t>https://github.com/jfjelstul/worldcup</t>
        </is>
      </c>
    </row>
    <row r="54">
      <c r="A54" s="4" t="inlineStr">
        <is>
          <t>M-2018-05</t>
        </is>
      </c>
      <c r="B54" s="4" t="inlineStr">
        <is>
          <t>2018</t>
        </is>
      </c>
      <c r="C54" s="4" t="inlineStr">
        <is>
          <t>Fase de grupos</t>
        </is>
      </c>
      <c r="D54" s="4" t="inlineStr">
        <is>
          <t>C</t>
        </is>
      </c>
      <c r="E54" s="4" t="inlineStr">
        <is>
          <t>1</t>
        </is>
      </c>
      <c r="F54" s="4" t="inlineStr">
        <is>
          <t>Jun 16, 2018</t>
        </is>
      </c>
      <c r="G54" s="4" t="inlineStr">
        <is>
          <t>13:00</t>
        </is>
      </c>
      <c r="H54" s="4" t="inlineStr">
        <is>
          <t>France</t>
        </is>
      </c>
      <c r="I54" s="4" t="inlineStr">
        <is>
          <t>Australia</t>
        </is>
      </c>
      <c r="J54" s="4" t="inlineStr">
        <is>
          <t>2</t>
        </is>
      </c>
      <c r="K54" s="4" t="inlineStr">
        <is>
          <t>1</t>
        </is>
      </c>
      <c r="L54" s="4" t="inlineStr">
        <is>
          <t>2—1</t>
        </is>
      </c>
      <c r="M54" s="4" t="inlineStr">
        <is>
          <t>No</t>
        </is>
      </c>
      <c r="N54" s="4" t="inlineStr">
        <is>
          <t>Kazan Arena</t>
        </is>
      </c>
      <c r="O54" s="4" t="inlineStr">
        <is>
          <t>Kazan</t>
        </is>
      </c>
      <c r="P54" s="4" t="inlineStr">
        <is>
          <t>https://github.com/jfjelstul/worldcup</t>
        </is>
      </c>
    </row>
    <row r="55">
      <c r="A55" s="4" t="inlineStr">
        <is>
          <t>M-2018-18</t>
        </is>
      </c>
      <c r="B55" s="4" t="inlineStr">
        <is>
          <t>2018</t>
        </is>
      </c>
      <c r="C55" s="4" t="inlineStr">
        <is>
          <t>GROUP STAGE</t>
        </is>
      </c>
      <c r="D55" s="4" t="inlineStr">
        <is>
          <t>group-b</t>
        </is>
      </c>
      <c r="E55" s="4" t="inlineStr">
        <is>
          <t>2</t>
        </is>
      </c>
      <c r="F55" s="4" t="inlineStr">
        <is>
          <t>06/20/2018</t>
        </is>
      </c>
      <c r="G55" s="4" t="inlineStr">
        <is>
          <t>15:00</t>
        </is>
      </c>
      <c r="H55" s="4" t="inlineStr">
        <is>
          <t>PORTUGAL</t>
        </is>
      </c>
      <c r="I55" s="4" t="inlineStr">
        <is>
          <t>Morocco</t>
        </is>
      </c>
      <c r="J55" s="4" t="inlineStr">
        <is>
          <t>1</t>
        </is>
      </c>
      <c r="K55" s="4" t="inlineStr">
        <is>
          <t>0</t>
        </is>
      </c>
      <c r="L55" s="4" t="inlineStr">
        <is>
          <t>1 : 0</t>
        </is>
      </c>
      <c r="M55" s="4" t="inlineStr">
        <is>
          <t>0</t>
        </is>
      </c>
      <c r="N55" s="4" t="inlineStr">
        <is>
          <t>Luzhniki Stadium</t>
        </is>
      </c>
      <c r="O55" s="4" t="inlineStr">
        <is>
          <t>Moscow</t>
        </is>
      </c>
      <c r="P55" s="4" t="inlineStr">
        <is>
          <t>https://github.com/jfjelstul/worldcup</t>
        </is>
      </c>
    </row>
  </sheetData>
  <mergeCells count="2">
    <mergeCell ref="A1:P1"/>
    <mergeCell ref="A2:P3"/>
  </mergeCells>
  <conditionalFormatting sqref="A6:P55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04 Sucio 2022</t>
        </is>
      </c>
    </row>
    <row r="2" ht="21.95" customHeight="1">
      <c r="A2" s="11" t="inlineStr">
        <is>
          <t>El esquema y los nombres de columnas no son iguales a 2018.</t>
        </is>
      </c>
    </row>
    <row r="3" ht="21.95" customHeight="1"/>
    <row r="5" ht="15" customHeight="1">
      <c r="A5" s="1" t="inlineStr">
        <is>
          <t>match_id</t>
        </is>
      </c>
      <c r="B5" s="1" t="inlineStr">
        <is>
          <t>WorldCup</t>
        </is>
      </c>
      <c r="C5" s="1" t="inlineStr">
        <is>
          <t>stage</t>
        </is>
      </c>
      <c r="D5" s="1" t="inlineStr">
        <is>
          <t>group_name</t>
        </is>
      </c>
      <c r="E5" s="1" t="inlineStr">
        <is>
          <t>match_day</t>
        </is>
      </c>
      <c r="F5" s="1" t="inlineStr">
        <is>
          <t>date</t>
        </is>
      </c>
      <c r="G5" s="1" t="inlineStr">
        <is>
          <t>local</t>
        </is>
      </c>
      <c r="H5" s="1" t="inlineStr">
        <is>
          <t>visitor</t>
        </is>
      </c>
      <c r="I5" s="1" t="inlineStr">
        <is>
          <t>home_score</t>
        </is>
      </c>
      <c r="J5" s="1" t="inlineStr">
        <is>
          <t>away_score</t>
        </is>
      </c>
      <c r="K5" s="1" t="inlineStr">
        <is>
          <t>score_text</t>
        </is>
      </c>
      <c r="L5" s="1" t="inlineStr">
        <is>
          <t>home_host</t>
        </is>
      </c>
      <c r="M5" s="1" t="inlineStr">
        <is>
          <t>venue</t>
        </is>
      </c>
      <c r="N5" s="1" t="inlineStr">
        <is>
          <t>city_name</t>
        </is>
      </c>
      <c r="O5" s="1" t="inlineStr">
        <is>
          <t>comentario</t>
        </is>
      </c>
      <c r="P5" s="1" t="inlineStr">
        <is>
          <t>source_url</t>
        </is>
      </c>
    </row>
    <row r="6">
      <c r="A6" s="4" t="inlineStr">
        <is>
          <t>M-2022-01</t>
        </is>
      </c>
      <c r="B6" s="4" t="inlineStr">
        <is>
          <t>2022</t>
        </is>
      </c>
      <c r="C6" s="4" t="inlineStr">
        <is>
          <t>group</t>
        </is>
      </c>
      <c r="D6" s="4" t="inlineStr">
        <is>
          <t>Group A</t>
        </is>
      </c>
      <c r="E6" s="4" t="inlineStr">
        <is>
          <t>1</t>
        </is>
      </c>
      <c r="F6" s="4" t="inlineStr">
        <is>
          <t>2022-11-20</t>
        </is>
      </c>
      <c r="G6" s="4" t="inlineStr">
        <is>
          <t>Qatar</t>
        </is>
      </c>
      <c r="H6" s="4" t="inlineStr">
        <is>
          <t>Ecuador</t>
        </is>
      </c>
      <c r="I6" s="4" t="inlineStr">
        <is>
          <t>N/A</t>
        </is>
      </c>
      <c r="J6" s="4" t="inlineStr">
        <is>
          <t>2</t>
        </is>
      </c>
      <c r="K6" s="4" t="inlineStr">
        <is>
          <t>0 : 2</t>
        </is>
      </c>
      <c r="L6" s="4" t="inlineStr">
        <is>
          <t>1</t>
        </is>
      </c>
      <c r="M6" s="4" t="inlineStr">
        <is>
          <t>Al Bayt Stadium</t>
        </is>
      </c>
      <c r="N6" s="4" t="inlineStr">
        <is>
          <t>Al Khor</t>
        </is>
      </c>
      <c r="O6" s="4" t="inlineStr">
        <is>
          <t>ok</t>
        </is>
      </c>
      <c r="P6" s="4" t="inlineStr">
        <is>
          <t>https://github.com/jfjelstul/worldcup</t>
        </is>
      </c>
    </row>
    <row r="7">
      <c r="A7" s="4" t="inlineStr">
        <is>
          <t>M-2022-02</t>
        </is>
      </c>
      <c r="B7" s="4" t="inlineStr">
        <is>
          <t>2022</t>
        </is>
      </c>
      <c r="C7" s="4" t="inlineStr">
        <is>
          <t>Group Stage</t>
        </is>
      </c>
      <c r="D7" s="4" t="inlineStr">
        <is>
          <t>B</t>
        </is>
      </c>
      <c r="E7" s="4" t="inlineStr">
        <is>
          <t>1</t>
        </is>
      </c>
      <c r="F7" s="4" t="inlineStr">
        <is>
          <t>21/11/2022</t>
        </is>
      </c>
      <c r="G7" s="4" t="inlineStr">
        <is>
          <t>England</t>
        </is>
      </c>
      <c r="H7" s="4" t="inlineStr">
        <is>
          <t>IR Iran</t>
        </is>
      </c>
      <c r="I7" s="4" t="inlineStr">
        <is>
          <t>6</t>
        </is>
      </c>
      <c r="J7" s="4" t="inlineStr">
        <is>
          <t>2</t>
        </is>
      </c>
      <c r="K7" s="4" t="inlineStr">
        <is>
          <t>6 x 2</t>
        </is>
      </c>
      <c r="L7" s="4" t="inlineStr">
        <is>
          <t>FALSE</t>
        </is>
      </c>
      <c r="M7" s="4" t="inlineStr">
        <is>
          <t>Khalifa International Stadium</t>
        </is>
      </c>
      <c r="N7" s="4" t="inlineStr">
        <is>
          <t>Al Rayyan</t>
        </is>
      </c>
      <c r="O7" s="4" t="n"/>
      <c r="P7" s="4" t="inlineStr">
        <is>
          <t>https://github.com/jfjelstul/worldcup</t>
        </is>
      </c>
    </row>
    <row r="8">
      <c r="A8" s="4" t="inlineStr">
        <is>
          <t>M-2022-03</t>
        </is>
      </c>
      <c r="B8" s="4" t="inlineStr">
        <is>
          <t>2022</t>
        </is>
      </c>
      <c r="C8" s="4" t="inlineStr">
        <is>
          <t>Fase grupos</t>
        </is>
      </c>
      <c r="D8" s="4" t="inlineStr">
        <is>
          <t>Grupo A</t>
        </is>
      </c>
      <c r="E8" s="4" t="inlineStr">
        <is>
          <t>1</t>
        </is>
      </c>
      <c r="F8" s="4" t="inlineStr">
        <is>
          <t>11/21/2022</t>
        </is>
      </c>
      <c r="G8" s="4" t="inlineStr">
        <is>
          <t>Senegal</t>
        </is>
      </c>
      <c r="H8" s="4" t="inlineStr">
        <is>
          <t>Netherlands</t>
        </is>
      </c>
      <c r="I8" s="4" t="inlineStr">
        <is>
          <t>0</t>
        </is>
      </c>
      <c r="J8" s="4" t="inlineStr">
        <is>
          <t>2</t>
        </is>
      </c>
      <c r="K8" s="4" t="inlineStr">
        <is>
          <t>0—2</t>
        </is>
      </c>
      <c r="L8" s="4" t="inlineStr">
        <is>
          <t>no</t>
        </is>
      </c>
      <c r="M8" s="4" t="inlineStr">
        <is>
          <t>Al Thumama Stadium</t>
        </is>
      </c>
      <c r="N8" s="4" t="inlineStr">
        <is>
          <t>Doha</t>
        </is>
      </c>
      <c r="O8" s="4" t="inlineStr">
        <is>
          <t>revisar</t>
        </is>
      </c>
      <c r="P8" s="4" t="inlineStr">
        <is>
          <t>https://github.com/jfjelstul/worldcup</t>
        </is>
      </c>
    </row>
    <row r="9">
      <c r="A9" s="4" t="inlineStr">
        <is>
          <t>M-2022-04</t>
        </is>
      </c>
      <c r="B9" s="4" t="inlineStr">
        <is>
          <t>2022</t>
        </is>
      </c>
      <c r="C9" s="4" t="inlineStr">
        <is>
          <t>group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21-11-22</t>
        </is>
      </c>
      <c r="G9" s="4" t="inlineStr">
        <is>
          <t>United States</t>
        </is>
      </c>
      <c r="H9" s="4" t="inlineStr">
        <is>
          <t>Wales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1-1</t>
        </is>
      </c>
      <c r="L9" s="4" t="inlineStr">
        <is>
          <t>No</t>
        </is>
      </c>
      <c r="M9" s="4" t="inlineStr">
        <is>
          <t>Ahmad bin Ali Stadium</t>
        </is>
      </c>
      <c r="N9" s="4" t="inlineStr">
        <is>
          <t>Al Rayyan</t>
        </is>
      </c>
      <c r="O9" s="4" t="inlineStr">
        <is>
          <t>dato importado</t>
        </is>
      </c>
      <c r="P9" s="4" t="inlineStr">
        <is>
          <t>https://github.com/jfjelstul/worldcup</t>
        </is>
      </c>
    </row>
    <row r="10">
      <c r="A10" s="4" t="inlineStr">
        <is>
          <t>M-2022-05</t>
        </is>
      </c>
      <c r="B10" s="4" t="inlineStr">
        <is>
          <t>2022</t>
        </is>
      </c>
      <c r="C10" s="4" t="inlineStr">
        <is>
          <t>Group Stage</t>
        </is>
      </c>
      <c r="D10" s="4" t="inlineStr">
        <is>
          <t>Group C</t>
        </is>
      </c>
      <c r="E10" s="4" t="inlineStr">
        <is>
          <t>1</t>
        </is>
      </c>
      <c r="F10" s="4" t="inlineStr">
        <is>
          <t>Nov 22, 2022</t>
        </is>
      </c>
      <c r="G10" s="4" t="inlineStr">
        <is>
          <t>Argentina</t>
        </is>
      </c>
      <c r="H10" s="4" t="inlineStr">
        <is>
          <t>KSA</t>
        </is>
      </c>
      <c r="I10" s="4" t="inlineStr">
        <is>
          <t>1</t>
        </is>
      </c>
      <c r="J10" s="4" t="inlineStr">
        <is>
          <t>2</t>
        </is>
      </c>
      <c r="K10" s="4" t="inlineStr">
        <is>
          <t>1–2</t>
        </is>
      </c>
      <c r="L10" s="4" t="inlineStr">
        <is>
          <t>0</t>
        </is>
      </c>
      <c r="M10" s="4" t="inlineStr">
        <is>
          <t>Lusail Stadium</t>
        </is>
      </c>
      <c r="N10" s="4" t="inlineStr">
        <is>
          <t>Lusail</t>
        </is>
      </c>
      <c r="O10" s="4" t="inlineStr">
        <is>
          <t>ok</t>
        </is>
      </c>
      <c r="P10" s="4" t="inlineStr">
        <is>
          <t>https://github.com/jfjelstul/worldcup</t>
        </is>
      </c>
    </row>
    <row r="11">
      <c r="A11" s="4" t="inlineStr">
        <is>
          <t>M-2022-06</t>
        </is>
      </c>
      <c r="B11" s="4" t="inlineStr">
        <is>
          <t>2022</t>
        </is>
      </c>
      <c r="C11" s="4" t="inlineStr">
        <is>
          <t>Fase grupos</t>
        </is>
      </c>
      <c r="D11" s="4" t="inlineStr">
        <is>
          <t>D</t>
        </is>
      </c>
      <c r="E11" s="4" t="inlineStr">
        <is>
          <t>1</t>
        </is>
      </c>
      <c r="F11" s="4" t="inlineStr">
        <is>
          <t>2022-11-22</t>
        </is>
      </c>
      <c r="G11" s="4" t="inlineStr">
        <is>
          <t>Denmark</t>
        </is>
      </c>
      <c r="H11" s="4" t="inlineStr">
        <is>
          <t>Tunisia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0 : 0</t>
        </is>
      </c>
      <c r="L11" s="4" t="inlineStr">
        <is>
          <t>FALSE</t>
        </is>
      </c>
      <c r="M11" s="4" t="inlineStr">
        <is>
          <t>Education City Stadium</t>
        </is>
      </c>
      <c r="N11" s="4" t="inlineStr">
        <is>
          <t>Al Rayyan</t>
        </is>
      </c>
      <c r="O11" s="4" t="n"/>
      <c r="P11" s="4" t="inlineStr">
        <is>
          <t>https://github.com/jfjelstul/worldcup</t>
        </is>
      </c>
    </row>
    <row r="12">
      <c r="A12" s="4" t="inlineStr">
        <is>
          <t>M-2022-07</t>
        </is>
      </c>
      <c r="B12" s="4" t="inlineStr">
        <is>
          <t>2022</t>
        </is>
      </c>
      <c r="C12" s="4" t="inlineStr">
        <is>
          <t>group</t>
        </is>
      </c>
      <c r="D12" s="4" t="inlineStr">
        <is>
          <t>Grupo C</t>
        </is>
      </c>
      <c r="E12" s="4" t="inlineStr">
        <is>
          <t>1</t>
        </is>
      </c>
      <c r="F12" s="4" t="inlineStr">
        <is>
          <t>22/11/2022</t>
        </is>
      </c>
      <c r="G12" s="4" t="inlineStr">
        <is>
          <t>México</t>
        </is>
      </c>
      <c r="H12" s="4" t="inlineStr">
        <is>
          <t>Poland</t>
        </is>
      </c>
      <c r="I12" s="4" t="inlineStr">
        <is>
          <t>0</t>
        </is>
      </c>
      <c r="J12" s="4" t="inlineStr">
        <is>
          <t>0</t>
        </is>
      </c>
      <c r="K12" s="4" t="inlineStr">
        <is>
          <t>0 x 0</t>
        </is>
      </c>
      <c r="L12" s="4" t="inlineStr">
        <is>
          <t>no</t>
        </is>
      </c>
      <c r="M12" s="4" t="inlineStr">
        <is>
          <t>Stadium 974</t>
        </is>
      </c>
      <c r="N12" s="4" t="inlineStr">
        <is>
          <t>Doha</t>
        </is>
      </c>
      <c r="O12" s="4" t="inlineStr">
        <is>
          <t>revisar</t>
        </is>
      </c>
      <c r="P12" s="4" t="inlineStr">
        <is>
          <t>https://github.com/jfjelstul/worldcup</t>
        </is>
      </c>
    </row>
    <row r="13">
      <c r="A13" s="4" t="inlineStr">
        <is>
          <t>M-2022-08</t>
        </is>
      </c>
      <c r="B13" s="4" t="inlineStr">
        <is>
          <t>2022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11/22/2022</t>
        </is>
      </c>
      <c r="G13" s="4" t="inlineStr">
        <is>
          <t>France</t>
        </is>
      </c>
      <c r="H13" s="4" t="inlineStr">
        <is>
          <t>Australia</t>
        </is>
      </c>
      <c r="I13" s="4" t="inlineStr">
        <is>
          <t>4</t>
        </is>
      </c>
      <c r="J13" s="4" t="inlineStr">
        <is>
          <t>1</t>
        </is>
      </c>
      <c r="K13" s="4" t="inlineStr">
        <is>
          <t>4—1</t>
        </is>
      </c>
      <c r="L13" s="4" t="inlineStr">
        <is>
          <t>No</t>
        </is>
      </c>
      <c r="M13" s="4" t="inlineStr">
        <is>
          <t>Al Janoub Stadium</t>
        </is>
      </c>
      <c r="N13" s="4" t="inlineStr">
        <is>
          <t>Al Wakrah</t>
        </is>
      </c>
      <c r="O13" s="4" t="inlineStr">
        <is>
          <t>dato importado</t>
        </is>
      </c>
      <c r="P13" s="4" t="inlineStr">
        <is>
          <t>https://github.com/jfjelstul/worldcup</t>
        </is>
      </c>
    </row>
    <row r="14">
      <c r="A14" s="4" t="inlineStr">
        <is>
          <t>M-2022-09</t>
        </is>
      </c>
      <c r="B14" s="4" t="inlineStr">
        <is>
          <t>2022</t>
        </is>
      </c>
      <c r="C14" s="4" t="inlineStr">
        <is>
          <t>Fase grupos</t>
        </is>
      </c>
      <c r="D14" s="4" t="inlineStr">
        <is>
          <t>Group F</t>
        </is>
      </c>
      <c r="E14" s="4" t="inlineStr">
        <is>
          <t>1</t>
        </is>
      </c>
      <c r="F14" s="4" t="inlineStr">
        <is>
          <t>23-11-22</t>
        </is>
      </c>
      <c r="G14" s="4" t="inlineStr">
        <is>
          <t>Morocco</t>
        </is>
      </c>
      <c r="H14" s="4" t="inlineStr">
        <is>
          <t>Croatia</t>
        </is>
      </c>
      <c r="I14" s="4" t="inlineStr">
        <is>
          <t>0</t>
        </is>
      </c>
      <c r="J14" s="4" t="inlineStr">
        <is>
          <t>0</t>
        </is>
      </c>
      <c r="K14" s="4" t="inlineStr">
        <is>
          <t>sin dato</t>
        </is>
      </c>
      <c r="L14" s="4" t="inlineStr">
        <is>
          <t>0</t>
        </is>
      </c>
      <c r="M14" s="4" t="inlineStr">
        <is>
          <t>Al Bayt Stadium</t>
        </is>
      </c>
      <c r="N14" s="4" t="inlineStr">
        <is>
          <t>Al Khor</t>
        </is>
      </c>
      <c r="O14" s="4" t="inlineStr">
        <is>
          <t>ok</t>
        </is>
      </c>
      <c r="P14" s="4" t="inlineStr">
        <is>
          <t>https://github.com/jfjelstul/worldcup</t>
        </is>
      </c>
    </row>
    <row r="15">
      <c r="A15" s="4" t="inlineStr">
        <is>
          <t>M-2022-10</t>
        </is>
      </c>
      <c r="B15" s="4" t="inlineStr">
        <is>
          <t>2022</t>
        </is>
      </c>
      <c r="C15" s="4" t="inlineStr">
        <is>
          <t>group</t>
        </is>
      </c>
      <c r="D15" s="4" t="inlineStr">
        <is>
          <t>E</t>
        </is>
      </c>
      <c r="E15" s="4" t="inlineStr">
        <is>
          <t>1</t>
        </is>
      </c>
      <c r="F15" s="4" t="inlineStr">
        <is>
          <t>Nov 23, 2022</t>
        </is>
      </c>
      <c r="G15" s="4" t="inlineStr">
        <is>
          <t>Deutschland</t>
        </is>
      </c>
      <c r="H15" s="4" t="inlineStr">
        <is>
          <t>JAPAN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1–2</t>
        </is>
      </c>
      <c r="L15" s="4" t="inlineStr">
        <is>
          <t>FALSE</t>
        </is>
      </c>
      <c r="M15" s="4" t="inlineStr">
        <is>
          <t>Khalifa International Stadium</t>
        </is>
      </c>
      <c r="N15" s="4" t="inlineStr">
        <is>
          <t>Al Rayyan</t>
        </is>
      </c>
      <c r="O15" s="4" t="n"/>
      <c r="P15" s="4" t="inlineStr">
        <is>
          <t>https://github.com/jfjelstul/worldcup</t>
        </is>
      </c>
    </row>
    <row r="16">
      <c r="A16" s="4" t="inlineStr">
        <is>
          <t>M-2022-11</t>
        </is>
      </c>
      <c r="B16" s="4" t="inlineStr">
        <is>
          <t>2022</t>
        </is>
      </c>
      <c r="C16" s="4" t="inlineStr">
        <is>
          <t>Group Stage</t>
        </is>
      </c>
      <c r="D16" s="4" t="inlineStr">
        <is>
          <t>Grupo E</t>
        </is>
      </c>
      <c r="E16" s="4" t="inlineStr">
        <is>
          <t>1</t>
        </is>
      </c>
      <c r="F16" s="4" t="inlineStr">
        <is>
          <t>2022-11-23</t>
        </is>
      </c>
      <c r="G16" s="4" t="inlineStr">
        <is>
          <t>Spain</t>
        </is>
      </c>
      <c r="H16" s="4" t="inlineStr">
        <is>
          <t>Costa Rica</t>
        </is>
      </c>
      <c r="I16" s="4" t="inlineStr">
        <is>
          <t>7</t>
        </is>
      </c>
      <c r="J16" s="4" t="inlineStr">
        <is>
          <t>0</t>
        </is>
      </c>
      <c r="K16" s="4" t="inlineStr">
        <is>
          <t>7 : 0</t>
        </is>
      </c>
      <c r="L16" s="4" t="inlineStr">
        <is>
          <t>no</t>
        </is>
      </c>
      <c r="M16" s="4" t="inlineStr">
        <is>
          <t>Al Thumama Stadium</t>
        </is>
      </c>
      <c r="N16" s="4" t="inlineStr">
        <is>
          <t>Doha</t>
        </is>
      </c>
      <c r="O16" s="4" t="inlineStr">
        <is>
          <t>revisar</t>
        </is>
      </c>
      <c r="P16" s="4" t="inlineStr">
        <is>
          <t>https://github.com/jfjelstul/worldcup</t>
        </is>
      </c>
    </row>
    <row r="17">
      <c r="A17" s="4" t="inlineStr">
        <is>
          <t>M-2022-12</t>
        </is>
      </c>
      <c r="B17" s="4" t="inlineStr">
        <is>
          <t>2022</t>
        </is>
      </c>
      <c r="C17" s="4" t="inlineStr">
        <is>
          <t>Fase grupos</t>
        </is>
      </c>
      <c r="D17" s="4" t="n"/>
      <c r="E17" s="4" t="inlineStr">
        <is>
          <t>1</t>
        </is>
      </c>
      <c r="F17" s="4" t="inlineStr">
        <is>
          <t>23/11/2022</t>
        </is>
      </c>
      <c r="G17" s="4" t="inlineStr">
        <is>
          <t>Belgium</t>
        </is>
      </c>
      <c r="H17" s="4" t="inlineStr">
        <is>
          <t>Canada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1 x 0</t>
        </is>
      </c>
      <c r="L17" s="4" t="inlineStr">
        <is>
          <t>No</t>
        </is>
      </c>
      <c r="M17" s="4" t="inlineStr">
        <is>
          <t>Ahmad bin Ali Stadium</t>
        </is>
      </c>
      <c r="N17" s="4" t="inlineStr">
        <is>
          <t>Al Rayyan</t>
        </is>
      </c>
      <c r="O17" s="4" t="inlineStr">
        <is>
          <t>dato importado</t>
        </is>
      </c>
      <c r="P17" s="4" t="inlineStr">
        <is>
          <t>https://github.com/jfjelstul/worldcup</t>
        </is>
      </c>
    </row>
    <row r="18">
      <c r="A18" s="4" t="inlineStr">
        <is>
          <t>M-2022-13</t>
        </is>
      </c>
      <c r="B18" s="4" t="inlineStr">
        <is>
          <t>2022</t>
        </is>
      </c>
      <c r="C18" s="4" t="inlineStr">
        <is>
          <t>group</t>
        </is>
      </c>
      <c r="D18" s="4" t="inlineStr">
        <is>
          <t>Group G</t>
        </is>
      </c>
      <c r="E18" s="4" t="inlineStr">
        <is>
          <t>1</t>
        </is>
      </c>
      <c r="F18" s="4" t="inlineStr">
        <is>
          <t>11/24/2022</t>
        </is>
      </c>
      <c r="G18" s="4" t="inlineStr">
        <is>
          <t>SWITZERLAND</t>
        </is>
      </c>
      <c r="H18" s="4" t="inlineStr">
        <is>
          <t>Cameroon</t>
        </is>
      </c>
      <c r="I18" s="4" t="inlineStr">
        <is>
          <t>N/A</t>
        </is>
      </c>
      <c r="J18" s="4" t="inlineStr">
        <is>
          <t>0</t>
        </is>
      </c>
      <c r="K18" s="4" t="inlineStr">
        <is>
          <t>1—0</t>
        </is>
      </c>
      <c r="L18" s="4" t="inlineStr">
        <is>
          <t>0</t>
        </is>
      </c>
      <c r="M18" s="4" t="inlineStr">
        <is>
          <t>Al Janoub Stadium</t>
        </is>
      </c>
      <c r="N18" s="4" t="inlineStr">
        <is>
          <t>Al Wakrah</t>
        </is>
      </c>
      <c r="O18" s="4" t="inlineStr">
        <is>
          <t>ok</t>
        </is>
      </c>
      <c r="P18" s="4" t="inlineStr">
        <is>
          <t>https://github.com/jfjelstul/worldcup</t>
        </is>
      </c>
    </row>
    <row r="19">
      <c r="A19" s="4" t="inlineStr">
        <is>
          <t>M-2022-14</t>
        </is>
      </c>
      <c r="B19" s="4" t="inlineStr">
        <is>
          <t>2022</t>
        </is>
      </c>
      <c r="C19" s="4" t="inlineStr">
        <is>
          <t>Group Stage</t>
        </is>
      </c>
      <c r="D19" s="4" t="inlineStr">
        <is>
          <t>H</t>
        </is>
      </c>
      <c r="E19" s="4" t="inlineStr">
        <is>
          <t>1</t>
        </is>
      </c>
      <c r="F19" s="4" t="inlineStr">
        <is>
          <t>24-11-22</t>
        </is>
      </c>
      <c r="G19" s="4" t="inlineStr">
        <is>
          <t>Uruguay</t>
        </is>
      </c>
      <c r="H19" s="4" t="inlineStr">
        <is>
          <t>Korea Republic</t>
        </is>
      </c>
      <c r="I19" s="4" t="inlineStr">
        <is>
          <t>0</t>
        </is>
      </c>
      <c r="J19" s="4" t="inlineStr">
        <is>
          <t>0</t>
        </is>
      </c>
      <c r="K19" s="4" t="inlineStr">
        <is>
          <t>0-0</t>
        </is>
      </c>
      <c r="L19" s="4" t="inlineStr">
        <is>
          <t>FALSE</t>
        </is>
      </c>
      <c r="M19" s="4" t="inlineStr">
        <is>
          <t>Education City Stadium</t>
        </is>
      </c>
      <c r="N19" s="4" t="inlineStr">
        <is>
          <t>Al Rayyan</t>
        </is>
      </c>
      <c r="O19" s="4" t="n"/>
      <c r="P19" s="4" t="inlineStr">
        <is>
          <t>https://github.com/jfjelstul/worldcup</t>
        </is>
      </c>
    </row>
    <row r="20">
      <c r="A20" s="4" t="inlineStr">
        <is>
          <t>M-2022-15</t>
        </is>
      </c>
      <c r="B20" s="4" t="inlineStr">
        <is>
          <t>2022</t>
        </is>
      </c>
      <c r="C20" s="4" t="inlineStr">
        <is>
          <t>Fase grupos</t>
        </is>
      </c>
      <c r="D20" s="4" t="inlineStr">
        <is>
          <t>Grupo H</t>
        </is>
      </c>
      <c r="E20" s="4" t="inlineStr">
        <is>
          <t>1</t>
        </is>
      </c>
      <c r="F20" s="4" t="inlineStr">
        <is>
          <t>Nov 24, 2022</t>
        </is>
      </c>
      <c r="G20" s="4" t="inlineStr">
        <is>
          <t>Portugal</t>
        </is>
      </c>
      <c r="H20" s="4" t="inlineStr">
        <is>
          <t>Ghana</t>
        </is>
      </c>
      <c r="I20" s="4" t="inlineStr">
        <is>
          <t>3</t>
        </is>
      </c>
      <c r="J20" s="4" t="inlineStr">
        <is>
          <t>2</t>
        </is>
      </c>
      <c r="K20" s="4" t="inlineStr">
        <is>
          <t>3–2</t>
        </is>
      </c>
      <c r="L20" s="4" t="inlineStr">
        <is>
          <t>no</t>
        </is>
      </c>
      <c r="M20" s="4" t="inlineStr">
        <is>
          <t>Stadium 974</t>
        </is>
      </c>
      <c r="N20" s="4" t="inlineStr">
        <is>
          <t>Doha</t>
        </is>
      </c>
      <c r="O20" s="4" t="inlineStr">
        <is>
          <t>revisar</t>
        </is>
      </c>
      <c r="P20" s="4" t="inlineStr">
        <is>
          <t>https://github.com/jfjelstul/worldcup</t>
        </is>
      </c>
    </row>
    <row r="21">
      <c r="A21" s="4" t="inlineStr">
        <is>
          <t>M-2022-16</t>
        </is>
      </c>
      <c r="B21" s="4" t="inlineStr">
        <is>
          <t>2022</t>
        </is>
      </c>
      <c r="C21" s="4" t="inlineStr">
        <is>
          <t>group</t>
        </is>
      </c>
      <c r="D21" s="4" t="inlineStr">
        <is>
          <t>G</t>
        </is>
      </c>
      <c r="E21" s="4" t="inlineStr">
        <is>
          <t>1</t>
        </is>
      </c>
      <c r="F21" s="4" t="inlineStr">
        <is>
          <t>2022-11-24</t>
        </is>
      </c>
      <c r="G21" s="4" t="inlineStr">
        <is>
          <t>Brasil</t>
        </is>
      </c>
      <c r="H21" s="4" t="inlineStr">
        <is>
          <t>serbia</t>
        </is>
      </c>
      <c r="I21" s="4" t="inlineStr">
        <is>
          <t>2</t>
        </is>
      </c>
      <c r="J21" s="4" t="inlineStr">
        <is>
          <t>0</t>
        </is>
      </c>
      <c r="K21" s="4" t="inlineStr">
        <is>
          <t>2 : 0</t>
        </is>
      </c>
      <c r="L21" s="4" t="inlineStr">
        <is>
          <t>No</t>
        </is>
      </c>
      <c r="M21" s="4" t="inlineStr">
        <is>
          <t>Lusail Stadium</t>
        </is>
      </c>
      <c r="N21" s="4" t="inlineStr">
        <is>
          <t>Lusail</t>
        </is>
      </c>
      <c r="O21" s="4" t="inlineStr">
        <is>
          <t>dato importado</t>
        </is>
      </c>
      <c r="P21" s="4" t="inlineStr">
        <is>
          <t>https://github.com/jfjelstul/worldcup</t>
        </is>
      </c>
    </row>
    <row r="22">
      <c r="A22" s="4" t="inlineStr">
        <is>
          <t>M-2022-17</t>
        </is>
      </c>
      <c r="B22" s="4" t="inlineStr">
        <is>
          <t>2022</t>
        </is>
      </c>
      <c r="C22" s="4" t="inlineStr">
        <is>
          <t>Group Stage</t>
        </is>
      </c>
      <c r="D22" s="4" t="inlineStr">
        <is>
          <t>Group B</t>
        </is>
      </c>
      <c r="E22" s="4" t="inlineStr">
        <is>
          <t>2</t>
        </is>
      </c>
      <c r="F22" s="4" t="inlineStr">
        <is>
          <t>25/11/2022</t>
        </is>
      </c>
      <c r="G22" s="4" t="inlineStr">
        <is>
          <t>Wales</t>
        </is>
      </c>
      <c r="H22" s="4" t="inlineStr">
        <is>
          <t>IR Iran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0 x 2</t>
        </is>
      </c>
      <c r="L22" s="4" t="inlineStr">
        <is>
          <t>0</t>
        </is>
      </c>
      <c r="M22" s="4" t="inlineStr">
        <is>
          <t>Ahmad bin Ali Stadium</t>
        </is>
      </c>
      <c r="N22" s="4" t="inlineStr">
        <is>
          <t>Al Rayyan</t>
        </is>
      </c>
      <c r="O22" s="4" t="inlineStr">
        <is>
          <t>ok</t>
        </is>
      </c>
      <c r="P22" s="4" t="inlineStr">
        <is>
          <t>https://github.com/jfjelstul/worldcup</t>
        </is>
      </c>
    </row>
    <row r="23">
      <c r="A23" s="4" t="inlineStr">
        <is>
          <t>M-2022-18</t>
        </is>
      </c>
      <c r="B23" s="4" t="inlineStr">
        <is>
          <t>2022</t>
        </is>
      </c>
      <c r="C23" s="4" t="inlineStr">
        <is>
          <t>Fase grupos</t>
        </is>
      </c>
      <c r="D23" s="4" t="inlineStr">
        <is>
          <t>A</t>
        </is>
      </c>
      <c r="E23" s="4" t="inlineStr">
        <is>
          <t>2</t>
        </is>
      </c>
      <c r="F23" s="4" t="inlineStr">
        <is>
          <t>11/25/2022</t>
        </is>
      </c>
      <c r="G23" s="4" t="inlineStr">
        <is>
          <t>Qatar</t>
        </is>
      </c>
      <c r="H23" s="4" t="inlineStr">
        <is>
          <t>Senegal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1—3</t>
        </is>
      </c>
      <c r="L23" s="4" t="inlineStr">
        <is>
          <t>TRUE</t>
        </is>
      </c>
      <c r="M23" s="4" t="inlineStr">
        <is>
          <t>Al Thumama Stadium</t>
        </is>
      </c>
      <c r="N23" s="4" t="inlineStr">
        <is>
          <t>Doha</t>
        </is>
      </c>
      <c r="O23" s="4" t="n"/>
      <c r="P23" s="4" t="inlineStr">
        <is>
          <t>https://github.com/jfjelstul/worldcup</t>
        </is>
      </c>
    </row>
    <row r="24">
      <c r="A24" s="4" t="inlineStr">
        <is>
          <t>M-2022-19</t>
        </is>
      </c>
      <c r="B24" s="4" t="inlineStr">
        <is>
          <t>2022</t>
        </is>
      </c>
      <c r="C24" s="4" t="inlineStr">
        <is>
          <t>group</t>
        </is>
      </c>
      <c r="D24" s="4" t="inlineStr">
        <is>
          <t>Grupo A</t>
        </is>
      </c>
      <c r="E24" s="4" t="inlineStr">
        <is>
          <t>2</t>
        </is>
      </c>
      <c r="F24" s="4" t="inlineStr">
        <is>
          <t>25-11-22</t>
        </is>
      </c>
      <c r="G24" s="4" t="inlineStr">
        <is>
          <t>the netherlands</t>
        </is>
      </c>
      <c r="H24" s="4" t="inlineStr">
        <is>
          <t>Ecuador</t>
        </is>
      </c>
      <c r="I24" s="4" t="inlineStr">
        <is>
          <t>1</t>
        </is>
      </c>
      <c r="J24" s="4" t="inlineStr">
        <is>
          <t>1</t>
        </is>
      </c>
      <c r="K24" s="4" t="inlineStr">
        <is>
          <t>1-1</t>
        </is>
      </c>
      <c r="L24" s="4" t="inlineStr">
        <is>
          <t>no</t>
        </is>
      </c>
      <c r="M24" s="4" t="inlineStr">
        <is>
          <t>Khalifa International Stadium</t>
        </is>
      </c>
      <c r="N24" s="4" t="inlineStr">
        <is>
          <t>Al Rayyan</t>
        </is>
      </c>
      <c r="O24" s="4" t="inlineStr">
        <is>
          <t>revisar</t>
        </is>
      </c>
      <c r="P24" s="4" t="inlineStr">
        <is>
          <t>https://github.com/jfjelstul/worldcup</t>
        </is>
      </c>
    </row>
    <row r="25">
      <c r="A25" s="4" t="inlineStr">
        <is>
          <t>M-2022-20</t>
        </is>
      </c>
      <c r="B25" s="4" t="inlineStr">
        <is>
          <t>2022</t>
        </is>
      </c>
      <c r="C25" s="4" t="inlineStr">
        <is>
          <t>Group Stage</t>
        </is>
      </c>
      <c r="D25" s="4" t="inlineStr">
        <is>
          <t>B</t>
        </is>
      </c>
      <c r="E25" s="4" t="inlineStr">
        <is>
          <t>2</t>
        </is>
      </c>
      <c r="F25" s="4" t="inlineStr">
        <is>
          <t>Nov 25, 2022</t>
        </is>
      </c>
      <c r="G25" s="4" t="inlineStr">
        <is>
          <t>England</t>
        </is>
      </c>
      <c r="H25" s="4" t="inlineStr">
        <is>
          <t>USA</t>
        </is>
      </c>
      <c r="I25" s="4" t="inlineStr">
        <is>
          <t>0</t>
        </is>
      </c>
      <c r="J25" s="4" t="inlineStr">
        <is>
          <t>0</t>
        </is>
      </c>
      <c r="K25" s="4" t="inlineStr">
        <is>
          <t>0–0</t>
        </is>
      </c>
      <c r="L25" s="4" t="inlineStr">
        <is>
          <t>No</t>
        </is>
      </c>
      <c r="M25" s="4" t="inlineStr">
        <is>
          <t>Al Bayt Stadium</t>
        </is>
      </c>
      <c r="N25" s="4" t="inlineStr">
        <is>
          <t>Al Khor</t>
        </is>
      </c>
      <c r="O25" s="4" t="inlineStr">
        <is>
          <t>dato importado</t>
        </is>
      </c>
      <c r="P25" s="4" t="inlineStr">
        <is>
          <t>https://github.com/jfjelstul/worldcup</t>
        </is>
      </c>
    </row>
    <row r="26">
      <c r="A26" s="4" t="inlineStr">
        <is>
          <t>M-2022-21</t>
        </is>
      </c>
      <c r="B26" s="4" t="inlineStr">
        <is>
          <t>2022</t>
        </is>
      </c>
      <c r="C26" s="4" t="inlineStr">
        <is>
          <t>Fase grupos</t>
        </is>
      </c>
      <c r="D26" s="4" t="inlineStr">
        <is>
          <t>Group D</t>
        </is>
      </c>
      <c r="E26" s="4" t="inlineStr">
        <is>
          <t>2</t>
        </is>
      </c>
      <c r="F26" s="4" t="inlineStr">
        <is>
          <t>2022-11-26</t>
        </is>
      </c>
      <c r="G26" s="4" t="inlineStr">
        <is>
          <t>Tunisia</t>
        </is>
      </c>
      <c r="H26" s="4" t="inlineStr">
        <is>
          <t>Australia</t>
        </is>
      </c>
      <c r="I26" s="4" t="inlineStr">
        <is>
          <t>0</t>
        </is>
      </c>
      <c r="J26" s="4" t="inlineStr">
        <is>
          <t>1</t>
        </is>
      </c>
      <c r="K26" s="4" t="inlineStr">
        <is>
          <t>0 : 1</t>
        </is>
      </c>
      <c r="L26" s="4" t="inlineStr">
        <is>
          <t>0</t>
        </is>
      </c>
      <c r="M26" s="4" t="inlineStr">
        <is>
          <t>Al Janoub Stadium</t>
        </is>
      </c>
      <c r="N26" s="4" t="inlineStr">
        <is>
          <t>Al Wakrah</t>
        </is>
      </c>
      <c r="O26" s="4" t="inlineStr">
        <is>
          <t>ok</t>
        </is>
      </c>
      <c r="P26" s="4" t="inlineStr">
        <is>
          <t>https://github.com/jfjelstul/worldcup</t>
        </is>
      </c>
    </row>
    <row r="27">
      <c r="A27" s="4" t="inlineStr">
        <is>
          <t>M-2022-22</t>
        </is>
      </c>
      <c r="B27" s="4" t="inlineStr">
        <is>
          <t>2022</t>
        </is>
      </c>
      <c r="C27" s="4" t="inlineStr">
        <is>
          <t>group</t>
        </is>
      </c>
      <c r="D27" s="4" t="inlineStr">
        <is>
          <t>C</t>
        </is>
      </c>
      <c r="E27" s="4" t="inlineStr">
        <is>
          <t>2</t>
        </is>
      </c>
      <c r="F27" s="4" t="inlineStr">
        <is>
          <t>26/11/2022</t>
        </is>
      </c>
      <c r="G27" s="4" t="inlineStr">
        <is>
          <t>Poland</t>
        </is>
      </c>
      <c r="H27" s="4" t="inlineStr">
        <is>
          <t>Saudi-Arabia</t>
        </is>
      </c>
      <c r="I27" s="4" t="inlineStr">
        <is>
          <t>2</t>
        </is>
      </c>
      <c r="J27" s="4" t="inlineStr">
        <is>
          <t>0</t>
        </is>
      </c>
      <c r="K27" s="4" t="inlineStr">
        <is>
          <t>2 x 0</t>
        </is>
      </c>
      <c r="L27" s="4" t="inlineStr">
        <is>
          <t>FALSE</t>
        </is>
      </c>
      <c r="M27" s="4" t="inlineStr">
        <is>
          <t>Education City Stadium</t>
        </is>
      </c>
      <c r="N27" s="4" t="inlineStr">
        <is>
          <t>Al Rayyan</t>
        </is>
      </c>
      <c r="O27" s="4" t="n"/>
      <c r="P27" s="4" t="inlineStr">
        <is>
          <t>https://github.com/jfjelstul/worldcup</t>
        </is>
      </c>
    </row>
    <row r="28">
      <c r="A28" s="4" t="inlineStr">
        <is>
          <t>M-2022-23</t>
        </is>
      </c>
      <c r="B28" s="4" t="inlineStr">
        <is>
          <t>2022</t>
        </is>
      </c>
      <c r="C28" s="4" t="inlineStr">
        <is>
          <t>Group Stage</t>
        </is>
      </c>
      <c r="D28" s="4" t="inlineStr">
        <is>
          <t>Grupo D</t>
        </is>
      </c>
      <c r="E28" s="4" t="inlineStr">
        <is>
          <t>2</t>
        </is>
      </c>
      <c r="F28" s="4" t="inlineStr">
        <is>
          <t>11/26/2022</t>
        </is>
      </c>
      <c r="G28" s="4" t="inlineStr">
        <is>
          <t>France</t>
        </is>
      </c>
      <c r="H28" s="4" t="inlineStr">
        <is>
          <t>Denmark</t>
        </is>
      </c>
      <c r="I28" s="4" t="inlineStr">
        <is>
          <t>2</t>
        </is>
      </c>
      <c r="J28" s="4" t="inlineStr">
        <is>
          <t>1</t>
        </is>
      </c>
      <c r="K28" s="4" t="inlineStr">
        <is>
          <t>2—1</t>
        </is>
      </c>
      <c r="L28" s="4" t="inlineStr">
        <is>
          <t>no</t>
        </is>
      </c>
      <c r="M28" s="4" t="inlineStr">
        <is>
          <t>Stadium 974</t>
        </is>
      </c>
      <c r="N28" s="4" t="inlineStr">
        <is>
          <t>Doha</t>
        </is>
      </c>
      <c r="O28" s="4" t="inlineStr">
        <is>
          <t>revisar</t>
        </is>
      </c>
      <c r="P28" s="4" t="inlineStr">
        <is>
          <t>https://github.com/jfjelstul/worldcup</t>
        </is>
      </c>
    </row>
    <row r="29">
      <c r="A29" s="4" t="inlineStr">
        <is>
          <t>M-2022-24</t>
        </is>
      </c>
      <c r="B29" s="4" t="inlineStr">
        <is>
          <t>2022</t>
        </is>
      </c>
      <c r="C29" s="4" t="inlineStr">
        <is>
          <t>Fase grupos</t>
        </is>
      </c>
      <c r="D29" s="4" t="inlineStr">
        <is>
          <t>C</t>
        </is>
      </c>
      <c r="E29" s="4" t="inlineStr">
        <is>
          <t>2</t>
        </is>
      </c>
      <c r="F29" s="4" t="inlineStr">
        <is>
          <t>26-11-22</t>
        </is>
      </c>
      <c r="G29" s="4" t="inlineStr">
        <is>
          <t>Argentina</t>
        </is>
      </c>
      <c r="H29" s="4" t="inlineStr">
        <is>
          <t>México</t>
        </is>
      </c>
      <c r="I29" s="4" t="inlineStr">
        <is>
          <t>2</t>
        </is>
      </c>
      <c r="J29" s="4" t="inlineStr">
        <is>
          <t>0</t>
        </is>
      </c>
      <c r="K29" s="4" t="inlineStr">
        <is>
          <t>2-0</t>
        </is>
      </c>
      <c r="L29" s="4" t="inlineStr">
        <is>
          <t>No</t>
        </is>
      </c>
      <c r="M29" s="4" t="inlineStr">
        <is>
          <t>Lusail Stadium</t>
        </is>
      </c>
      <c r="N29" s="4" t="inlineStr">
        <is>
          <t>Lusail</t>
        </is>
      </c>
      <c r="O29" s="4" t="inlineStr">
        <is>
          <t>dato importado</t>
        </is>
      </c>
      <c r="P29" s="4" t="inlineStr">
        <is>
          <t>https://github.com/jfjelstul/worldcup</t>
        </is>
      </c>
    </row>
    <row r="30">
      <c r="A30" s="4" t="inlineStr">
        <is>
          <t>M-2022-25</t>
        </is>
      </c>
      <c r="B30" s="4" t="inlineStr">
        <is>
          <t>2022</t>
        </is>
      </c>
      <c r="C30" s="4" t="inlineStr">
        <is>
          <t>group</t>
        </is>
      </c>
      <c r="D30" s="4" t="inlineStr">
        <is>
          <t>Group E</t>
        </is>
      </c>
      <c r="E30" s="4" t="inlineStr">
        <is>
          <t>2</t>
        </is>
      </c>
      <c r="F30" s="4" t="inlineStr">
        <is>
          <t>Nov 27, 2022</t>
        </is>
      </c>
      <c r="G30" s="4" t="inlineStr">
        <is>
          <t>Japan</t>
        </is>
      </c>
      <c r="H30" s="4" t="inlineStr">
        <is>
          <t>Costa Rica</t>
        </is>
      </c>
      <c r="I30" s="4" t="inlineStr">
        <is>
          <t>N/A</t>
        </is>
      </c>
      <c r="J30" s="4" t="inlineStr">
        <is>
          <t>1</t>
        </is>
      </c>
      <c r="K30" s="4" t="inlineStr">
        <is>
          <t>0–1</t>
        </is>
      </c>
      <c r="L30" s="4" t="inlineStr">
        <is>
          <t>0</t>
        </is>
      </c>
      <c r="M30" s="4" t="inlineStr">
        <is>
          <t>Ahmad bin Ali Stadium</t>
        </is>
      </c>
      <c r="N30" s="4" t="inlineStr">
        <is>
          <t>Al Rayyan</t>
        </is>
      </c>
      <c r="O30" s="4" t="inlineStr">
        <is>
          <t>ok</t>
        </is>
      </c>
      <c r="P30" s="4" t="inlineStr">
        <is>
          <t>https://github.com/jfjelstul/worldcup</t>
        </is>
      </c>
    </row>
    <row r="31">
      <c r="A31" s="4" t="inlineStr">
        <is>
          <t>M-2022-26</t>
        </is>
      </c>
      <c r="B31" s="4" t="inlineStr">
        <is>
          <t>2022</t>
        </is>
      </c>
      <c r="C31" s="4" t="inlineStr">
        <is>
          <t>Group Stage</t>
        </is>
      </c>
      <c r="D31" s="4" t="inlineStr">
        <is>
          <t>F</t>
        </is>
      </c>
      <c r="E31" s="4" t="inlineStr">
        <is>
          <t>2</t>
        </is>
      </c>
      <c r="F31" s="4" t="inlineStr">
        <is>
          <t>2022-11-27</t>
        </is>
      </c>
      <c r="G31" s="4" t="inlineStr">
        <is>
          <t>Belgium</t>
        </is>
      </c>
      <c r="H31" s="4" t="inlineStr">
        <is>
          <t>Morocco</t>
        </is>
      </c>
      <c r="I31" s="4" t="inlineStr">
        <is>
          <t>0</t>
        </is>
      </c>
      <c r="J31" s="4" t="inlineStr">
        <is>
          <t>2</t>
        </is>
      </c>
      <c r="K31" s="4" t="inlineStr">
        <is>
          <t>0 : 2</t>
        </is>
      </c>
      <c r="L31" s="4" t="inlineStr">
        <is>
          <t>FALSE</t>
        </is>
      </c>
      <c r="M31" s="4" t="inlineStr">
        <is>
          <t>Al Thumama Stadium</t>
        </is>
      </c>
      <c r="N31" s="4" t="inlineStr">
        <is>
          <t>Doha</t>
        </is>
      </c>
      <c r="O31" s="4" t="n"/>
      <c r="P31" s="4" t="inlineStr">
        <is>
          <t>https://github.com/jfjelstul/worldcup</t>
        </is>
      </c>
    </row>
    <row r="32">
      <c r="A32" s="4" t="inlineStr">
        <is>
          <t>M-2022-27</t>
        </is>
      </c>
      <c r="B32" s="4" t="inlineStr">
        <is>
          <t>2022</t>
        </is>
      </c>
      <c r="C32" s="4" t="inlineStr">
        <is>
          <t>Fase grupos</t>
        </is>
      </c>
      <c r="D32" s="4" t="inlineStr">
        <is>
          <t>Grupo F</t>
        </is>
      </c>
      <c r="E32" s="4" t="inlineStr">
        <is>
          <t>2</t>
        </is>
      </c>
      <c r="F32" s="4" t="inlineStr">
        <is>
          <t>27/11/2022</t>
        </is>
      </c>
      <c r="G32" s="4" t="inlineStr">
        <is>
          <t>Croatia</t>
        </is>
      </c>
      <c r="H32" s="4" t="inlineStr">
        <is>
          <t>CANADA</t>
        </is>
      </c>
      <c r="I32" s="4" t="inlineStr">
        <is>
          <t>4</t>
        </is>
      </c>
      <c r="J32" s="4" t="inlineStr">
        <is>
          <t>1</t>
        </is>
      </c>
      <c r="K32" s="4" t="inlineStr">
        <is>
          <t>4 x 1</t>
        </is>
      </c>
      <c r="L32" s="4" t="inlineStr">
        <is>
          <t>no</t>
        </is>
      </c>
      <c r="M32" s="4" t="inlineStr">
        <is>
          <t>Khalifa International Stadium</t>
        </is>
      </c>
      <c r="N32" s="4" t="inlineStr">
        <is>
          <t>Al Rayyan</t>
        </is>
      </c>
      <c r="O32" s="4" t="inlineStr">
        <is>
          <t>revisar</t>
        </is>
      </c>
      <c r="P32" s="4" t="inlineStr">
        <is>
          <t>https://github.com/jfjelstul/worldcup</t>
        </is>
      </c>
    </row>
    <row r="33">
      <c r="A33" s="4" t="inlineStr">
        <is>
          <t>M-2022-28</t>
        </is>
      </c>
      <c r="B33" s="4" t="inlineStr">
        <is>
          <t>2022</t>
        </is>
      </c>
      <c r="C33" s="4" t="inlineStr">
        <is>
          <t>group</t>
        </is>
      </c>
      <c r="D33" s="4" t="inlineStr">
        <is>
          <t>E</t>
        </is>
      </c>
      <c r="E33" s="4" t="inlineStr">
        <is>
          <t>2</t>
        </is>
      </c>
      <c r="F33" s="4" t="inlineStr">
        <is>
          <t>11/27/2022</t>
        </is>
      </c>
      <c r="G33" s="4" t="inlineStr">
        <is>
          <t>España</t>
        </is>
      </c>
      <c r="H33" s="4" t="inlineStr">
        <is>
          <t>Germany</t>
        </is>
      </c>
      <c r="I33" s="4" t="inlineStr">
        <is>
          <t>1</t>
        </is>
      </c>
      <c r="J33" s="4" t="inlineStr">
        <is>
          <t>-2</t>
        </is>
      </c>
      <c r="K33" s="4" t="inlineStr">
        <is>
          <t>1—1</t>
        </is>
      </c>
      <c r="L33" s="4" t="inlineStr">
        <is>
          <t>No</t>
        </is>
      </c>
      <c r="M33" s="4" t="inlineStr">
        <is>
          <t>Al Bayt Stadium</t>
        </is>
      </c>
      <c r="N33" s="4" t="inlineStr">
        <is>
          <t>Al Khor</t>
        </is>
      </c>
      <c r="O33" s="4" t="inlineStr">
        <is>
          <t>dato importado</t>
        </is>
      </c>
      <c r="P33" s="4" t="inlineStr">
        <is>
          <t>https://github.com/jfjelstul/worldcup</t>
        </is>
      </c>
    </row>
    <row r="34">
      <c r="A34" s="4" t="inlineStr">
        <is>
          <t>M-2022-29</t>
        </is>
      </c>
      <c r="B34" s="4" t="inlineStr">
        <is>
          <t>2022</t>
        </is>
      </c>
      <c r="C34" s="4" t="inlineStr">
        <is>
          <t>Group Stage</t>
        </is>
      </c>
      <c r="D34" s="4" t="inlineStr">
        <is>
          <t>Group G</t>
        </is>
      </c>
      <c r="E34" s="4" t="inlineStr">
        <is>
          <t>2</t>
        </is>
      </c>
      <c r="F34" s="4" t="inlineStr">
        <is>
          <t>28-11-22</t>
        </is>
      </c>
      <c r="G34" s="4" t="inlineStr">
        <is>
          <t>Cameroon</t>
        </is>
      </c>
      <c r="H34" s="4" t="inlineStr">
        <is>
          <t>Serbia</t>
        </is>
      </c>
      <c r="I34" s="4" t="inlineStr">
        <is>
          <t>3</t>
        </is>
      </c>
      <c r="J34" s="4" t="inlineStr">
        <is>
          <t>3</t>
        </is>
      </c>
      <c r="K34" s="4" t="inlineStr">
        <is>
          <t>3-3</t>
        </is>
      </c>
      <c r="L34" s="4" t="inlineStr">
        <is>
          <t>0</t>
        </is>
      </c>
      <c r="M34" s="4" t="inlineStr">
        <is>
          <t>Al Janoub Stadium</t>
        </is>
      </c>
      <c r="N34" s="4" t="inlineStr">
        <is>
          <t>Al Wakrah</t>
        </is>
      </c>
      <c r="O34" s="4" t="inlineStr">
        <is>
          <t>ok</t>
        </is>
      </c>
      <c r="P34" s="4" t="inlineStr">
        <is>
          <t>https://github.com/jfjelstul/worldcup</t>
        </is>
      </c>
    </row>
    <row r="35">
      <c r="A35" s="4" t="inlineStr">
        <is>
          <t>M-2022-30</t>
        </is>
      </c>
      <c r="B35" s="4" t="inlineStr">
        <is>
          <t>2022</t>
        </is>
      </c>
      <c r="C35" s="4" t="inlineStr">
        <is>
          <t>Fase grupos</t>
        </is>
      </c>
      <c r="D35" s="4" t="inlineStr">
        <is>
          <t>H</t>
        </is>
      </c>
      <c r="E35" s="4" t="inlineStr">
        <is>
          <t>2</t>
        </is>
      </c>
      <c r="F35" s="4" t="inlineStr">
        <is>
          <t>Nov 28, 2022</t>
        </is>
      </c>
      <c r="G35" s="4" t="inlineStr">
        <is>
          <t>REP. OF KOREA</t>
        </is>
      </c>
      <c r="H35" s="4" t="inlineStr">
        <is>
          <t>Ghana</t>
        </is>
      </c>
      <c r="I35" s="4" t="inlineStr">
        <is>
          <t>2</t>
        </is>
      </c>
      <c r="J35" s="4" t="inlineStr">
        <is>
          <t>3</t>
        </is>
      </c>
      <c r="K35" s="4" t="inlineStr">
        <is>
          <t>2–3</t>
        </is>
      </c>
      <c r="L35" s="4" t="inlineStr">
        <is>
          <t>FALSE</t>
        </is>
      </c>
      <c r="M35" s="4" t="inlineStr">
        <is>
          <t>Education City Stadium</t>
        </is>
      </c>
      <c r="N35" s="4" t="inlineStr">
        <is>
          <t>Al Rayyan</t>
        </is>
      </c>
      <c r="O35" s="4" t="n"/>
      <c r="P35" s="4" t="inlineStr">
        <is>
          <t>https://github.com/jfjelstul/worldcup</t>
        </is>
      </c>
    </row>
    <row r="36">
      <c r="A36" s="4" t="inlineStr">
        <is>
          <t>M-2022-31</t>
        </is>
      </c>
      <c r="B36" s="4" t="inlineStr">
        <is>
          <t>2022</t>
        </is>
      </c>
      <c r="C36" s="4" t="inlineStr">
        <is>
          <t>group</t>
        </is>
      </c>
      <c r="D36" s="4" t="inlineStr">
        <is>
          <t>Grupo G</t>
        </is>
      </c>
      <c r="E36" s="4" t="inlineStr">
        <is>
          <t>2</t>
        </is>
      </c>
      <c r="F36" s="4" t="n"/>
      <c r="G36" s="4" t="inlineStr">
        <is>
          <t>Brazil</t>
        </is>
      </c>
      <c r="H36" s="4" t="inlineStr">
        <is>
          <t>Suisse</t>
        </is>
      </c>
      <c r="I36" s="4" t="inlineStr">
        <is>
          <t>1</t>
        </is>
      </c>
      <c r="J36" s="4" t="inlineStr">
        <is>
          <t>0</t>
        </is>
      </c>
      <c r="K36" s="4" t="inlineStr">
        <is>
          <t>1 : 0</t>
        </is>
      </c>
      <c r="L36" s="4" t="inlineStr">
        <is>
          <t>no</t>
        </is>
      </c>
      <c r="M36" s="4" t="inlineStr">
        <is>
          <t>Stadium 974</t>
        </is>
      </c>
      <c r="N36" s="4" t="inlineStr">
        <is>
          <t>Doha</t>
        </is>
      </c>
      <c r="O36" s="4" t="inlineStr">
        <is>
          <t>revisar</t>
        </is>
      </c>
      <c r="P36" s="4" t="inlineStr">
        <is>
          <t>https://github.com/jfjelstul/worldcup</t>
        </is>
      </c>
    </row>
    <row r="37">
      <c r="A37" s="4" t="inlineStr">
        <is>
          <t>M-2022-32</t>
        </is>
      </c>
      <c r="B37" s="4" t="inlineStr">
        <is>
          <t>2022</t>
        </is>
      </c>
      <c r="C37" s="4" t="inlineStr">
        <is>
          <t>Group Stage</t>
        </is>
      </c>
      <c r="D37" s="4" t="inlineStr">
        <is>
          <t>H</t>
        </is>
      </c>
      <c r="E37" s="4" t="inlineStr">
        <is>
          <t>2</t>
        </is>
      </c>
      <c r="F37" s="4" t="inlineStr">
        <is>
          <t>28/11/2022</t>
        </is>
      </c>
      <c r="G37" s="4" t="inlineStr">
        <is>
          <t>Portugal</t>
        </is>
      </c>
      <c r="H37" s="4" t="inlineStr">
        <is>
          <t>Uruguay</t>
        </is>
      </c>
      <c r="I37" s="4" t="inlineStr">
        <is>
          <t>2</t>
        </is>
      </c>
      <c r="J37" s="4" t="inlineStr">
        <is>
          <t>0</t>
        </is>
      </c>
      <c r="K37" s="4" t="inlineStr">
        <is>
          <t>2 x 0</t>
        </is>
      </c>
      <c r="L37" s="4" t="inlineStr">
        <is>
          <t>No</t>
        </is>
      </c>
      <c r="M37" s="4" t="inlineStr">
        <is>
          <t>Lusail Stadium</t>
        </is>
      </c>
      <c r="N37" s="4" t="inlineStr">
        <is>
          <t>Lusail</t>
        </is>
      </c>
      <c r="O37" s="4" t="inlineStr">
        <is>
          <t>dato importado</t>
        </is>
      </c>
      <c r="P37" s="4" t="inlineStr">
        <is>
          <t>https://github.com/jfjelstul/worldcup</t>
        </is>
      </c>
    </row>
    <row r="38">
      <c r="A38" s="4" t="inlineStr">
        <is>
          <t>M-2022-33</t>
        </is>
      </c>
      <c r="B38" s="4" t="inlineStr">
        <is>
          <t>2022</t>
        </is>
      </c>
      <c r="C38" s="4" t="inlineStr">
        <is>
          <t>Fase grupos</t>
        </is>
      </c>
      <c r="D38" s="4" t="inlineStr">
        <is>
          <t>Group A</t>
        </is>
      </c>
      <c r="E38" s="4" t="inlineStr">
        <is>
          <t>3</t>
        </is>
      </c>
      <c r="F38" s="4" t="inlineStr">
        <is>
          <t>11/29/2022</t>
        </is>
      </c>
      <c r="G38" s="4" t="inlineStr">
        <is>
          <t>Ecuador</t>
        </is>
      </c>
      <c r="H38" s="4" t="inlineStr">
        <is>
          <t>Senegal</t>
        </is>
      </c>
      <c r="I38" s="4" t="inlineStr">
        <is>
          <t>1</t>
        </is>
      </c>
      <c r="J38" s="4" t="inlineStr">
        <is>
          <t>2</t>
        </is>
      </c>
      <c r="K38" s="4" t="inlineStr">
        <is>
          <t>1—2</t>
        </is>
      </c>
      <c r="L38" s="4" t="inlineStr">
        <is>
          <t>0</t>
        </is>
      </c>
      <c r="M38" s="4" t="inlineStr">
        <is>
          <t>Khalifa International Stadium</t>
        </is>
      </c>
      <c r="N38" s="4" t="inlineStr">
        <is>
          <t>Al Rayyan</t>
        </is>
      </c>
      <c r="O38" s="4" t="inlineStr">
        <is>
          <t>ok</t>
        </is>
      </c>
      <c r="P38" s="4" t="inlineStr">
        <is>
          <t>https://github.com/jfjelstul/worldcup</t>
        </is>
      </c>
    </row>
    <row r="39">
      <c r="A39" s="4" t="inlineStr">
        <is>
          <t>M-2022-34</t>
        </is>
      </c>
      <c r="B39" s="4" t="inlineStr">
        <is>
          <t>2022</t>
        </is>
      </c>
      <c r="C39" s="4" t="inlineStr">
        <is>
          <t>group</t>
        </is>
      </c>
      <c r="D39" s="4" t="inlineStr">
        <is>
          <t>A</t>
        </is>
      </c>
      <c r="E39" s="4" t="inlineStr">
        <is>
          <t>3</t>
        </is>
      </c>
      <c r="F39" s="4" t="inlineStr">
        <is>
          <t>29-11-22</t>
        </is>
      </c>
      <c r="G39" s="4" t="inlineStr">
        <is>
          <t>The Netherlands</t>
        </is>
      </c>
      <c r="H39" s="4" t="inlineStr">
        <is>
          <t>Qatar</t>
        </is>
      </c>
      <c r="I39" s="4" t="inlineStr">
        <is>
          <t>2</t>
        </is>
      </c>
      <c r="J39" s="4" t="inlineStr">
        <is>
          <t>0</t>
        </is>
      </c>
      <c r="K39" s="4" t="inlineStr">
        <is>
          <t>2-0</t>
        </is>
      </c>
      <c r="L39" s="4" t="inlineStr">
        <is>
          <t>FALSE</t>
        </is>
      </c>
      <c r="M39" s="4" t="inlineStr">
        <is>
          <t>Al Bayt Stadium</t>
        </is>
      </c>
      <c r="N39" s="4" t="inlineStr">
        <is>
          <t>Al Khor</t>
        </is>
      </c>
      <c r="O39" s="4" t="n"/>
      <c r="P39" s="4" t="inlineStr">
        <is>
          <t>https://github.com/jfjelstul/worldcup</t>
        </is>
      </c>
    </row>
    <row r="40">
      <c r="A40" s="4" t="inlineStr">
        <is>
          <t>M-2022-35</t>
        </is>
      </c>
      <c r="B40" s="4" t="inlineStr">
        <is>
          <t>2022</t>
        </is>
      </c>
      <c r="C40" s="4" t="inlineStr">
        <is>
          <t>Group Stage</t>
        </is>
      </c>
      <c r="D40" s="4" t="inlineStr">
        <is>
          <t>Grupo B</t>
        </is>
      </c>
      <c r="E40" s="4" t="inlineStr">
        <is>
          <t>3</t>
        </is>
      </c>
      <c r="F40" s="4" t="inlineStr">
        <is>
          <t>Nov 29, 2022</t>
        </is>
      </c>
      <c r="G40" s="4" t="inlineStr">
        <is>
          <t>IR Iran</t>
        </is>
      </c>
      <c r="H40" s="4" t="inlineStr">
        <is>
          <t>USA</t>
        </is>
      </c>
      <c r="I40" s="4" t="inlineStr">
        <is>
          <t>0</t>
        </is>
      </c>
      <c r="J40" s="4" t="inlineStr">
        <is>
          <t>1</t>
        </is>
      </c>
      <c r="K40" s="4" t="inlineStr">
        <is>
          <t>0–1</t>
        </is>
      </c>
      <c r="L40" s="4" t="inlineStr">
        <is>
          <t>no</t>
        </is>
      </c>
      <c r="M40" s="4" t="inlineStr">
        <is>
          <t>Al Thumama Stadium</t>
        </is>
      </c>
      <c r="N40" s="4" t="inlineStr">
        <is>
          <t>Doha</t>
        </is>
      </c>
      <c r="O40" s="4" t="inlineStr">
        <is>
          <t>revisar</t>
        </is>
      </c>
      <c r="P40" s="4" t="inlineStr">
        <is>
          <t>https://github.com/jfjelstul/worldcup</t>
        </is>
      </c>
    </row>
    <row r="41">
      <c r="A41" s="4" t="inlineStr">
        <is>
          <t>M-2022-36</t>
        </is>
      </c>
      <c r="B41" s="4" t="inlineStr">
        <is>
          <t>2022</t>
        </is>
      </c>
      <c r="C41" s="4" t="inlineStr">
        <is>
          <t>Fase grupos</t>
        </is>
      </c>
      <c r="D41" s="4" t="inlineStr">
        <is>
          <t>B</t>
        </is>
      </c>
      <c r="E41" s="4" t="inlineStr">
        <is>
          <t>3</t>
        </is>
      </c>
      <c r="F41" s="4" t="inlineStr">
        <is>
          <t>2022-11-29</t>
        </is>
      </c>
      <c r="G41" s="4" t="inlineStr">
        <is>
          <t>Wales</t>
        </is>
      </c>
      <c r="H41" s="4" t="inlineStr">
        <is>
          <t>England</t>
        </is>
      </c>
      <c r="I41" s="4" t="inlineStr">
        <is>
          <t>0</t>
        </is>
      </c>
      <c r="J41" s="4" t="inlineStr">
        <is>
          <t>3</t>
        </is>
      </c>
      <c r="K41" s="4" t="inlineStr">
        <is>
          <t>0 : 3</t>
        </is>
      </c>
      <c r="L41" s="4" t="inlineStr">
        <is>
          <t>No</t>
        </is>
      </c>
      <c r="M41" s="4" t="inlineStr">
        <is>
          <t>Ahmad bin Ali Stadium</t>
        </is>
      </c>
      <c r="N41" s="4" t="inlineStr">
        <is>
          <t>Al Rayyan</t>
        </is>
      </c>
      <c r="O41" s="4" t="inlineStr">
        <is>
          <t>dato importado</t>
        </is>
      </c>
      <c r="P41" s="4" t="inlineStr">
        <is>
          <t>https://github.com/jfjelstul/worldcup</t>
        </is>
      </c>
    </row>
    <row r="42">
      <c r="A42" s="4" t="inlineStr">
        <is>
          <t>M-2022-37</t>
        </is>
      </c>
      <c r="B42" s="4" t="inlineStr">
        <is>
          <t>2022</t>
        </is>
      </c>
      <c r="C42" s="4" t="inlineStr">
        <is>
          <t>group</t>
        </is>
      </c>
      <c r="D42" s="4" t="inlineStr">
        <is>
          <t>Group D</t>
        </is>
      </c>
      <c r="E42" s="4" t="inlineStr">
        <is>
          <t>3</t>
        </is>
      </c>
      <c r="F42" s="4" t="inlineStr">
        <is>
          <t>30/11/2022</t>
        </is>
      </c>
      <c r="G42" s="4" t="inlineStr">
        <is>
          <t>Australia</t>
        </is>
      </c>
      <c r="H42" s="4" t="inlineStr">
        <is>
          <t>Denmark</t>
        </is>
      </c>
      <c r="I42" s="4" t="inlineStr">
        <is>
          <t>N/A</t>
        </is>
      </c>
      <c r="J42" s="4" t="inlineStr">
        <is>
          <t>0</t>
        </is>
      </c>
      <c r="K42" s="4" t="inlineStr">
        <is>
          <t>1 x 0</t>
        </is>
      </c>
      <c r="L42" s="4" t="inlineStr">
        <is>
          <t>0</t>
        </is>
      </c>
      <c r="M42" s="4" t="inlineStr">
        <is>
          <t>Al Janoub Stadium</t>
        </is>
      </c>
      <c r="N42" s="4" t="inlineStr">
        <is>
          <t>Al Wakrah</t>
        </is>
      </c>
      <c r="O42" s="4" t="inlineStr">
        <is>
          <t>ok</t>
        </is>
      </c>
      <c r="P42" s="4" t="inlineStr">
        <is>
          <t>https://github.com/jfjelstul/worldcup</t>
        </is>
      </c>
    </row>
    <row r="43">
      <c r="A43" s="4" t="inlineStr">
        <is>
          <t>M-2022-38</t>
        </is>
      </c>
      <c r="B43" s="4" t="inlineStr">
        <is>
          <t>2022</t>
        </is>
      </c>
      <c r="C43" s="4" t="inlineStr">
        <is>
          <t>Group Stage</t>
        </is>
      </c>
      <c r="D43" s="4" t="inlineStr">
        <is>
          <t>D</t>
        </is>
      </c>
      <c r="E43" s="4" t="inlineStr">
        <is>
          <t>3</t>
        </is>
      </c>
      <c r="F43" s="4" t="inlineStr">
        <is>
          <t>11/30/2022</t>
        </is>
      </c>
      <c r="G43" s="4" t="inlineStr">
        <is>
          <t>Tunisia</t>
        </is>
      </c>
      <c r="H43" s="4" t="inlineStr">
        <is>
          <t>France</t>
        </is>
      </c>
      <c r="I43" s="4" t="inlineStr">
        <is>
          <t>1</t>
        </is>
      </c>
      <c r="J43" s="4" t="inlineStr">
        <is>
          <t>0</t>
        </is>
      </c>
      <c r="K43" s="4" t="inlineStr">
        <is>
          <t>1—0</t>
        </is>
      </c>
      <c r="L43" s="4" t="inlineStr">
        <is>
          <t>FALSE</t>
        </is>
      </c>
      <c r="M43" s="4" t="inlineStr">
        <is>
          <t>Education City Stadium</t>
        </is>
      </c>
      <c r="N43" s="4" t="inlineStr">
        <is>
          <t>Al Rayyan</t>
        </is>
      </c>
      <c r="O43" s="4" t="n"/>
      <c r="P43" s="4" t="inlineStr">
        <is>
          <t>https://github.com/jfjelstul/worldcup</t>
        </is>
      </c>
    </row>
    <row r="44">
      <c r="A44" s="4" t="inlineStr">
        <is>
          <t>M-2022-39</t>
        </is>
      </c>
      <c r="B44" s="4" t="inlineStr">
        <is>
          <t>2022</t>
        </is>
      </c>
      <c r="C44" s="4" t="inlineStr">
        <is>
          <t>Fase grupos</t>
        </is>
      </c>
      <c r="D44" s="4" t="inlineStr">
        <is>
          <t>Grupo C</t>
        </is>
      </c>
      <c r="E44" s="4" t="inlineStr">
        <is>
          <t>3</t>
        </is>
      </c>
      <c r="F44" s="4" t="inlineStr">
        <is>
          <t>30-11-22</t>
        </is>
      </c>
      <c r="G44" s="4" t="inlineStr">
        <is>
          <t>Poland</t>
        </is>
      </c>
      <c r="H44" s="4" t="inlineStr">
        <is>
          <t>argentina</t>
        </is>
      </c>
      <c r="I44" s="4" t="inlineStr">
        <is>
          <t>0</t>
        </is>
      </c>
      <c r="J44" s="4" t="inlineStr">
        <is>
          <t>2</t>
        </is>
      </c>
      <c r="K44" s="4" t="inlineStr">
        <is>
          <t>0-2</t>
        </is>
      </c>
      <c r="L44" s="4" t="inlineStr">
        <is>
          <t>no</t>
        </is>
      </c>
      <c r="M44" s="4" t="inlineStr">
        <is>
          <t>Stadium 974</t>
        </is>
      </c>
      <c r="N44" s="4" t="inlineStr">
        <is>
          <t>Doha</t>
        </is>
      </c>
      <c r="O44" s="4" t="inlineStr">
        <is>
          <t>revisar</t>
        </is>
      </c>
      <c r="P44" s="4" t="inlineStr">
        <is>
          <t>https://github.com/jfjelstul/worldcup</t>
        </is>
      </c>
    </row>
    <row r="45">
      <c r="A45" s="4" t="inlineStr">
        <is>
          <t>M-2022-40</t>
        </is>
      </c>
      <c r="B45" s="4" t="inlineStr">
        <is>
          <t>2022</t>
        </is>
      </c>
      <c r="C45" s="4" t="inlineStr">
        <is>
          <t>group</t>
        </is>
      </c>
      <c r="D45" s="4" t="inlineStr">
        <is>
          <t>C</t>
        </is>
      </c>
      <c r="E45" s="4" t="inlineStr">
        <is>
          <t>3</t>
        </is>
      </c>
      <c r="F45" s="4" t="inlineStr">
        <is>
          <t>Nov 30, 2022</t>
        </is>
      </c>
      <c r="G45" s="4" t="inlineStr">
        <is>
          <t>Saudi-Arabia</t>
        </is>
      </c>
      <c r="H45" s="4" t="inlineStr">
        <is>
          <t>México</t>
        </is>
      </c>
      <c r="I45" s="4" t="inlineStr">
        <is>
          <t>1</t>
        </is>
      </c>
      <c r="J45" s="4" t="inlineStr">
        <is>
          <t>2</t>
        </is>
      </c>
      <c r="K45" s="4" t="inlineStr">
        <is>
          <t>1–2</t>
        </is>
      </c>
      <c r="L45" s="4" t="inlineStr">
        <is>
          <t>No</t>
        </is>
      </c>
      <c r="M45" s="4" t="inlineStr">
        <is>
          <t>Lusail Stadium</t>
        </is>
      </c>
      <c r="N45" s="4" t="inlineStr">
        <is>
          <t>Lusail</t>
        </is>
      </c>
      <c r="O45" s="4" t="inlineStr">
        <is>
          <t>dato importado</t>
        </is>
      </c>
      <c r="P45" s="4" t="inlineStr">
        <is>
          <t>https://github.com/jfjelstul/worldcup</t>
        </is>
      </c>
    </row>
    <row r="46">
      <c r="A46" s="4" t="inlineStr">
        <is>
          <t>M-2022-41</t>
        </is>
      </c>
      <c r="B46" s="4" t="inlineStr">
        <is>
          <t>2022</t>
        </is>
      </c>
      <c r="C46" s="4" t="inlineStr">
        <is>
          <t>Group Stage</t>
        </is>
      </c>
      <c r="D46" s="4" t="inlineStr">
        <is>
          <t>Group F</t>
        </is>
      </c>
      <c r="E46" s="4" t="inlineStr">
        <is>
          <t>3</t>
        </is>
      </c>
      <c r="F46" s="4" t="inlineStr">
        <is>
          <t>2022-12-01</t>
        </is>
      </c>
      <c r="G46" s="4" t="inlineStr">
        <is>
          <t>Canada</t>
        </is>
      </c>
      <c r="H46" s="4" t="inlineStr">
        <is>
          <t>Morocco</t>
        </is>
      </c>
      <c r="I46" s="4" t="inlineStr">
        <is>
          <t>1</t>
        </is>
      </c>
      <c r="J46" s="4" t="inlineStr">
        <is>
          <t>2</t>
        </is>
      </c>
      <c r="K46" s="4" t="inlineStr">
        <is>
          <t>1 : 2</t>
        </is>
      </c>
      <c r="L46" s="4" t="inlineStr">
        <is>
          <t>0</t>
        </is>
      </c>
      <c r="M46" s="4" t="inlineStr">
        <is>
          <t>Al Thumama Stadium</t>
        </is>
      </c>
      <c r="N46" s="4" t="inlineStr">
        <is>
          <t>Doha</t>
        </is>
      </c>
      <c r="O46" s="4" t="inlineStr">
        <is>
          <t>ok</t>
        </is>
      </c>
      <c r="P46" s="4" t="inlineStr">
        <is>
          <t>https://github.com/jfjelstul/worldcup</t>
        </is>
      </c>
    </row>
    <row r="47">
      <c r="A47" s="4" t="inlineStr">
        <is>
          <t>M-2022-42</t>
        </is>
      </c>
      <c r="B47" s="4" t="inlineStr">
        <is>
          <t>2022</t>
        </is>
      </c>
      <c r="C47" s="4" t="inlineStr">
        <is>
          <t>Fase grupos</t>
        </is>
      </c>
      <c r="D47" s="4" t="inlineStr">
        <is>
          <t>F</t>
        </is>
      </c>
      <c r="E47" s="4" t="inlineStr">
        <is>
          <t>3</t>
        </is>
      </c>
      <c r="F47" s="4" t="inlineStr">
        <is>
          <t>01/12/2022</t>
        </is>
      </c>
      <c r="G47" s="4" t="inlineStr">
        <is>
          <t>croatia</t>
        </is>
      </c>
      <c r="H47" s="4" t="inlineStr">
        <is>
          <t>Belgium</t>
        </is>
      </c>
      <c r="I47" s="4" t="inlineStr">
        <is>
          <t>0</t>
        </is>
      </c>
      <c r="J47" s="4" t="inlineStr">
        <is>
          <t>0</t>
        </is>
      </c>
      <c r="K47" s="4" t="inlineStr">
        <is>
          <t>0 x 0</t>
        </is>
      </c>
      <c r="L47" s="4" t="inlineStr">
        <is>
          <t>FALSE</t>
        </is>
      </c>
      <c r="M47" s="4" t="inlineStr">
        <is>
          <t>Ahmad bin Ali Stadium</t>
        </is>
      </c>
      <c r="N47" s="4" t="inlineStr">
        <is>
          <t>Al Rayyan</t>
        </is>
      </c>
      <c r="O47" s="4" t="n"/>
      <c r="P47" s="4" t="inlineStr">
        <is>
          <t>https://github.com/jfjelstul/worldcup</t>
        </is>
      </c>
    </row>
    <row r="48">
      <c r="A48" s="4" t="inlineStr">
        <is>
          <t>M-2022-43</t>
        </is>
      </c>
      <c r="B48" s="4" t="inlineStr">
        <is>
          <t>2022</t>
        </is>
      </c>
      <c r="C48" s="4" t="inlineStr">
        <is>
          <t>group</t>
        </is>
      </c>
      <c r="D48" s="4" t="inlineStr">
        <is>
          <t>Grupo E</t>
        </is>
      </c>
      <c r="E48" s="4" t="inlineStr">
        <is>
          <t>3</t>
        </is>
      </c>
      <c r="F48" s="4" t="inlineStr">
        <is>
          <t>12/01/2022</t>
        </is>
      </c>
      <c r="G48" s="4" t="inlineStr">
        <is>
          <t>Costa Rica</t>
        </is>
      </c>
      <c r="H48" s="4" t="inlineStr">
        <is>
          <t>Deutschland</t>
        </is>
      </c>
      <c r="I48" s="4" t="inlineStr">
        <is>
          <t>2</t>
        </is>
      </c>
      <c r="J48" s="4" t="inlineStr">
        <is>
          <t>4</t>
        </is>
      </c>
      <c r="K48" s="4" t="inlineStr">
        <is>
          <t>2—4</t>
        </is>
      </c>
      <c r="L48" s="4" t="inlineStr">
        <is>
          <t>no</t>
        </is>
      </c>
      <c r="M48" s="4" t="inlineStr">
        <is>
          <t>Al Bayt Stadium</t>
        </is>
      </c>
      <c r="N48" s="4" t="inlineStr">
        <is>
          <t>Al Khor</t>
        </is>
      </c>
      <c r="O48" s="4" t="inlineStr">
        <is>
          <t>revisar</t>
        </is>
      </c>
      <c r="P48" s="4" t="inlineStr">
        <is>
          <t>https://github.com/jfjelstul/worldcup</t>
        </is>
      </c>
    </row>
    <row r="49">
      <c r="A49" s="4" t="inlineStr">
        <is>
          <t>M-2022-44</t>
        </is>
      </c>
      <c r="B49" s="4" t="inlineStr">
        <is>
          <t>2022</t>
        </is>
      </c>
      <c r="C49" s="4" t="inlineStr">
        <is>
          <t>Group Stage</t>
        </is>
      </c>
      <c r="D49" s="4" t="inlineStr">
        <is>
          <t>E</t>
        </is>
      </c>
      <c r="E49" s="4" t="inlineStr">
        <is>
          <t>3</t>
        </is>
      </c>
      <c r="F49" s="4" t="inlineStr">
        <is>
          <t>01-12-22</t>
        </is>
      </c>
      <c r="G49" s="4" t="inlineStr">
        <is>
          <t>Japan</t>
        </is>
      </c>
      <c r="H49" s="4" t="inlineStr">
        <is>
          <t>SPAIN</t>
        </is>
      </c>
      <c r="I49" s="4" t="inlineStr">
        <is>
          <t>2</t>
        </is>
      </c>
      <c r="J49" s="4" t="inlineStr">
        <is>
          <t>1</t>
        </is>
      </c>
      <c r="K49" s="4" t="inlineStr">
        <is>
          <t>2-1</t>
        </is>
      </c>
      <c r="L49" s="4" t="inlineStr">
        <is>
          <t>No</t>
        </is>
      </c>
      <c r="M49" s="4" t="inlineStr">
        <is>
          <t>Khalifa International Stadium</t>
        </is>
      </c>
      <c r="N49" s="4" t="inlineStr">
        <is>
          <t>Al Rayyan</t>
        </is>
      </c>
      <c r="O49" s="4" t="inlineStr">
        <is>
          <t>dato importado</t>
        </is>
      </c>
      <c r="P49" s="4" t="inlineStr">
        <is>
          <t>https://github.com/jfjelstul/worldcup</t>
        </is>
      </c>
    </row>
    <row r="50">
      <c r="A50" s="4" t="inlineStr">
        <is>
          <t>M-2022-45</t>
        </is>
      </c>
      <c r="B50" s="4" t="inlineStr">
        <is>
          <t>2022</t>
        </is>
      </c>
      <c r="C50" s="4" t="inlineStr">
        <is>
          <t>Fase grupos</t>
        </is>
      </c>
      <c r="D50" s="4" t="inlineStr">
        <is>
          <t>Group H</t>
        </is>
      </c>
      <c r="E50" s="4" t="inlineStr">
        <is>
          <t>3</t>
        </is>
      </c>
      <c r="F50" s="4" t="inlineStr">
        <is>
          <t>Dec 02, 2022</t>
        </is>
      </c>
      <c r="G50" s="4" t="inlineStr">
        <is>
          <t>Ghana</t>
        </is>
      </c>
      <c r="H50" s="4" t="inlineStr">
        <is>
          <t>Uruguay</t>
        </is>
      </c>
      <c r="I50" s="4" t="inlineStr">
        <is>
          <t>0</t>
        </is>
      </c>
      <c r="J50" s="4" t="inlineStr">
        <is>
          <t>2</t>
        </is>
      </c>
      <c r="K50" s="4" t="inlineStr">
        <is>
          <t>0–2</t>
        </is>
      </c>
      <c r="L50" s="4" t="inlineStr">
        <is>
          <t>0</t>
        </is>
      </c>
      <c r="M50" s="4" t="inlineStr">
        <is>
          <t>Al Janoub Stadium</t>
        </is>
      </c>
      <c r="N50" s="4" t="inlineStr">
        <is>
          <t>Al Wakrah</t>
        </is>
      </c>
      <c r="O50" s="4" t="inlineStr">
        <is>
          <t>ok</t>
        </is>
      </c>
      <c r="P50" s="4" t="inlineStr">
        <is>
          <t>https://github.com/jfjelstul/worldcup</t>
        </is>
      </c>
    </row>
    <row r="51">
      <c r="A51" s="4" t="inlineStr">
        <is>
          <t>M-2022-46</t>
        </is>
      </c>
      <c r="B51" s="4" t="inlineStr">
        <is>
          <t>2022</t>
        </is>
      </c>
      <c r="C51" s="4" t="inlineStr">
        <is>
          <t>group</t>
        </is>
      </c>
      <c r="D51" s="4" t="inlineStr">
        <is>
          <t>H</t>
        </is>
      </c>
      <c r="E51" s="4" t="inlineStr">
        <is>
          <t>3</t>
        </is>
      </c>
      <c r="F51" s="4" t="inlineStr">
        <is>
          <t>2022-12-02</t>
        </is>
      </c>
      <c r="G51" s="4" t="inlineStr">
        <is>
          <t>Rep. of Korea</t>
        </is>
      </c>
      <c r="H51" s="4" t="inlineStr">
        <is>
          <t>Portugal</t>
        </is>
      </c>
      <c r="I51" s="4" t="inlineStr">
        <is>
          <t>2</t>
        </is>
      </c>
      <c r="J51" s="4" t="inlineStr">
        <is>
          <t>1</t>
        </is>
      </c>
      <c r="K51" s="4" t="inlineStr">
        <is>
          <t>2 : 1</t>
        </is>
      </c>
      <c r="L51" s="4" t="inlineStr">
        <is>
          <t>FALSE</t>
        </is>
      </c>
      <c r="M51" s="4" t="inlineStr">
        <is>
          <t>Education City Stadium</t>
        </is>
      </c>
      <c r="N51" s="4" t="inlineStr">
        <is>
          <t>Al Rayyan</t>
        </is>
      </c>
      <c r="O51" s="4" t="n"/>
      <c r="P51" s="4" t="inlineStr">
        <is>
          <t>https://github.com/jfjelstul/worldcup</t>
        </is>
      </c>
    </row>
    <row r="52">
      <c r="A52" s="4" t="inlineStr">
        <is>
          <t>M-2022-47</t>
        </is>
      </c>
      <c r="B52" s="4" t="inlineStr">
        <is>
          <t>2022</t>
        </is>
      </c>
      <c r="C52" s="4" t="inlineStr">
        <is>
          <t>Group Stage</t>
        </is>
      </c>
      <c r="D52" s="4" t="inlineStr">
        <is>
          <t>Grupo G</t>
        </is>
      </c>
      <c r="E52" s="4" t="inlineStr">
        <is>
          <t>3</t>
        </is>
      </c>
      <c r="F52" s="4" t="inlineStr">
        <is>
          <t>02/12/2022</t>
        </is>
      </c>
      <c r="G52" s="4" t="inlineStr">
        <is>
          <t>CAMEROON</t>
        </is>
      </c>
      <c r="H52" s="4" t="inlineStr">
        <is>
          <t>Brasil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1 x 0</t>
        </is>
      </c>
      <c r="L52" s="4" t="inlineStr">
        <is>
          <t>no</t>
        </is>
      </c>
      <c r="M52" s="4" t="inlineStr">
        <is>
          <t>Lusail Stadium</t>
        </is>
      </c>
      <c r="N52" s="4" t="inlineStr">
        <is>
          <t>Lusail</t>
        </is>
      </c>
      <c r="O52" s="4" t="inlineStr">
        <is>
          <t>revisar</t>
        </is>
      </c>
      <c r="P52" s="4" t="inlineStr">
        <is>
          <t>https://github.com/jfjelstul/worldcup</t>
        </is>
      </c>
    </row>
    <row r="53">
      <c r="A53" s="4" t="inlineStr">
        <is>
          <t>M-2022-48</t>
        </is>
      </c>
      <c r="B53" s="4" t="inlineStr">
        <is>
          <t>2022</t>
        </is>
      </c>
      <c r="C53" s="4" t="inlineStr">
        <is>
          <t>Fase grupos</t>
        </is>
      </c>
      <c r="D53" s="4" t="inlineStr">
        <is>
          <t>G</t>
        </is>
      </c>
      <c r="E53" s="4" t="inlineStr">
        <is>
          <t>3</t>
        </is>
      </c>
      <c r="F53" s="4" t="inlineStr">
        <is>
          <t>12/02/2022</t>
        </is>
      </c>
      <c r="G53" s="4" t="inlineStr">
        <is>
          <t>Serbia</t>
        </is>
      </c>
      <c r="H53" s="4" t="inlineStr">
        <is>
          <t>Switzerland</t>
        </is>
      </c>
      <c r="I53" s="4" t="inlineStr">
        <is>
          <t>2</t>
        </is>
      </c>
      <c r="J53" s="4" t="inlineStr">
        <is>
          <t>3</t>
        </is>
      </c>
      <c r="K53" s="4" t="inlineStr">
        <is>
          <t>2—3</t>
        </is>
      </c>
      <c r="L53" s="4" t="inlineStr">
        <is>
          <t>No</t>
        </is>
      </c>
      <c r="M53" s="4" t="inlineStr">
        <is>
          <t>Stadium 974</t>
        </is>
      </c>
      <c r="N53" s="4" t="inlineStr">
        <is>
          <t>Doha</t>
        </is>
      </c>
      <c r="O53" s="4" t="inlineStr">
        <is>
          <t>dato importado</t>
        </is>
      </c>
      <c r="P53" s="4" t="inlineStr">
        <is>
          <t>https://github.com/jfjelstul/worldcup</t>
        </is>
      </c>
    </row>
    <row r="54">
      <c r="A54" s="4" t="inlineStr">
        <is>
          <t>M-2022-03</t>
        </is>
      </c>
      <c r="B54" s="4" t="inlineStr">
        <is>
          <t>2022</t>
        </is>
      </c>
      <c r="C54" s="4" t="inlineStr">
        <is>
          <t>Fase grupos</t>
        </is>
      </c>
      <c r="D54" s="4" t="inlineStr">
        <is>
          <t>Grupo A</t>
        </is>
      </c>
      <c r="E54" s="4" t="inlineStr">
        <is>
          <t>1</t>
        </is>
      </c>
      <c r="F54" s="4" t="inlineStr">
        <is>
          <t>11/21/2022</t>
        </is>
      </c>
      <c r="G54" s="4" t="inlineStr">
        <is>
          <t>Senegal</t>
        </is>
      </c>
      <c r="H54" s="4" t="inlineStr">
        <is>
          <t>Netherlands</t>
        </is>
      </c>
      <c r="I54" s="4" t="inlineStr">
        <is>
          <t>0</t>
        </is>
      </c>
      <c r="J54" s="4" t="inlineStr">
        <is>
          <t>2</t>
        </is>
      </c>
      <c r="K54" s="4" t="inlineStr">
        <is>
          <t>0—2</t>
        </is>
      </c>
      <c r="L54" s="4" t="inlineStr">
        <is>
          <t>no</t>
        </is>
      </c>
      <c r="M54" s="4" t="inlineStr">
        <is>
          <t>Al Thumama Stadium</t>
        </is>
      </c>
      <c r="N54" s="4" t="inlineStr">
        <is>
          <t>Doha</t>
        </is>
      </c>
      <c r="O54" s="4" t="inlineStr">
        <is>
          <t>revisar</t>
        </is>
      </c>
      <c r="P54" s="4" t="inlineStr">
        <is>
          <t>https://github.com/jfjelstul/worldcup</t>
        </is>
      </c>
    </row>
    <row r="55">
      <c r="A55" s="4" t="inlineStr">
        <is>
          <t>M-2022-03</t>
        </is>
      </c>
      <c r="B55" s="4" t="inlineStr">
        <is>
          <t>2022</t>
        </is>
      </c>
      <c r="C55" s="4" t="inlineStr">
        <is>
          <t>Fase grupos</t>
        </is>
      </c>
      <c r="D55" s="4" t="inlineStr">
        <is>
          <t>Grupo A</t>
        </is>
      </c>
      <c r="E55" s="4" t="inlineStr">
        <is>
          <t>1</t>
        </is>
      </c>
      <c r="F55" s="4" t="inlineStr">
        <is>
          <t>11/21/2022</t>
        </is>
      </c>
      <c r="G55" s="4" t="inlineStr">
        <is>
          <t>Senegal</t>
        </is>
      </c>
      <c r="H55" s="4" t="inlineStr">
        <is>
          <t>Netherlands</t>
        </is>
      </c>
      <c r="I55" s="4" t="inlineStr">
        <is>
          <t>0</t>
        </is>
      </c>
      <c r="J55" s="4" t="inlineStr">
        <is>
          <t>2</t>
        </is>
      </c>
      <c r="K55" s="4" t="inlineStr">
        <is>
          <t>0—2</t>
        </is>
      </c>
      <c r="L55" s="4" t="inlineStr">
        <is>
          <t>no</t>
        </is>
      </c>
      <c r="M55" s="4" t="inlineStr">
        <is>
          <t>Al Thumama Stadium</t>
        </is>
      </c>
      <c r="N55" s="4" t="inlineStr">
        <is>
          <t>Doha</t>
        </is>
      </c>
      <c r="O55" s="4" t="inlineStr">
        <is>
          <t>revisar</t>
        </is>
      </c>
      <c r="P55" s="4" t="inlineStr">
        <is>
          <t>https://github.com/jfjelstul/worldcup</t>
        </is>
      </c>
    </row>
    <row r="56">
      <c r="A56" s="4" t="inlineStr">
        <is>
          <t>M-2022-42</t>
        </is>
      </c>
      <c r="B56" s="4" t="inlineStr">
        <is>
          <t>2022</t>
        </is>
      </c>
      <c r="C56" s="4" t="inlineStr">
        <is>
          <t>Fase grupos</t>
        </is>
      </c>
      <c r="D56" s="4" t="inlineStr">
        <is>
          <t>F</t>
        </is>
      </c>
      <c r="E56" s="4" t="inlineStr">
        <is>
          <t>3</t>
        </is>
      </c>
      <c r="F56" s="4" t="inlineStr">
        <is>
          <t>01/12/2022</t>
        </is>
      </c>
      <c r="G56" s="4" t="inlineStr">
        <is>
          <t>croatia</t>
        </is>
      </c>
      <c r="H56" s="4" t="inlineStr">
        <is>
          <t>Belgium</t>
        </is>
      </c>
      <c r="I56" s="4" t="inlineStr">
        <is>
          <t>0</t>
        </is>
      </c>
      <c r="J56" s="4" t="inlineStr">
        <is>
          <t>0</t>
        </is>
      </c>
      <c r="K56" s="4" t="inlineStr">
        <is>
          <t>0 x 0</t>
        </is>
      </c>
      <c r="L56" s="4" t="inlineStr">
        <is>
          <t>FALSE</t>
        </is>
      </c>
      <c r="M56" s="4" t="inlineStr">
        <is>
          <t>Ahmad bin Ali Stadium</t>
        </is>
      </c>
      <c r="N56" s="4" t="inlineStr">
        <is>
          <t>Al Rayyan</t>
        </is>
      </c>
      <c r="O56" s="4" t="n"/>
      <c r="P56" s="4" t="inlineStr">
        <is>
          <t>https://github.com/jfjelstul/worldcup</t>
        </is>
      </c>
    </row>
  </sheetData>
  <mergeCells count="2">
    <mergeCell ref="A1:P1"/>
    <mergeCell ref="A2:P3"/>
  </mergeCells>
  <conditionalFormatting sqref="A6:P56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:P1"/>
    </sheetView>
  </sheetViews>
  <sheetFormatPr baseColWidth="10" defaultColWidth="9" defaultRowHeight="14.25"/>
  <cols>
    <col width="19" customWidth="1" min="1" max="1"/>
    <col width="17" customWidth="1" min="2" max="7"/>
    <col width="26" customWidth="1" min="8" max="9"/>
    <col width="17" customWidth="1" min="10" max="14"/>
    <col width="40" customWidth="1" min="15" max="16"/>
  </cols>
  <sheetData>
    <row r="1" ht="30" customHeight="1">
      <c r="A1" s="10" t="inlineStr">
        <is>
          <t>05 Sucio 2026</t>
        </is>
      </c>
    </row>
    <row r="2" ht="21.95" customHeight="1">
      <c r="A2" s="11" t="inlineStr">
        <is>
          <t>Incluye 12 grupos y una fecha almacenada como número serial de Excel.</t>
        </is>
      </c>
    </row>
    <row r="3" ht="21.95" customHeight="1"/>
    <row r="5" ht="15" customHeight="1">
      <c r="A5" s="1" t="inlineStr">
        <is>
          <t>match</t>
        </is>
      </c>
      <c r="B5" s="1" t="inlineStr">
        <is>
          <t>wc</t>
        </is>
      </c>
      <c r="C5" s="1" t="inlineStr">
        <is>
          <t>round</t>
        </is>
      </c>
      <c r="D5" s="1" t="inlineStr">
        <is>
          <t>grp</t>
        </is>
      </c>
      <c r="E5" s="1" t="inlineStr">
        <is>
          <t>md</t>
        </is>
      </c>
      <c r="F5" s="1" t="inlineStr">
        <is>
          <t>played_on</t>
        </is>
      </c>
      <c r="G5" s="1" t="inlineStr">
        <is>
          <t>home</t>
        </is>
      </c>
      <c r="H5" s="1" t="inlineStr">
        <is>
          <t>away</t>
        </is>
      </c>
      <c r="I5" s="1" t="inlineStr">
        <is>
          <t>HG</t>
        </is>
      </c>
      <c r="J5" s="1" t="inlineStr">
        <is>
          <t>AG</t>
        </is>
      </c>
      <c r="K5" s="1" t="inlineStr">
        <is>
          <t>result_raw</t>
        </is>
      </c>
      <c r="L5" s="1" t="inlineStr">
        <is>
          <t>host_h</t>
        </is>
      </c>
      <c r="M5" s="1" t="inlineStr">
        <is>
          <t>host_a</t>
        </is>
      </c>
      <c r="N5" s="1" t="inlineStr">
        <is>
          <t>source</t>
        </is>
      </c>
    </row>
    <row r="6">
      <c r="A6" s="4" t="inlineStr">
        <is>
          <t>M-2026-001</t>
        </is>
      </c>
      <c r="B6" s="4" t="inlineStr">
        <is>
          <t>2026</t>
        </is>
      </c>
      <c r="C6" s="4" t="inlineStr">
        <is>
          <t>GS</t>
        </is>
      </c>
      <c r="D6" s="4" t="inlineStr">
        <is>
          <t>A</t>
        </is>
      </c>
      <c r="E6" s="4" t="inlineStr">
        <is>
          <t>1</t>
        </is>
      </c>
      <c r="F6" s="4" t="inlineStr">
        <is>
          <t>2026-06-11</t>
        </is>
      </c>
      <c r="G6" s="4" t="inlineStr">
        <is>
          <t>México</t>
        </is>
      </c>
      <c r="H6" s="4" t="inlineStr">
        <is>
          <t>South Africa</t>
        </is>
      </c>
      <c r="I6" s="4" t="n"/>
      <c r="J6" s="4" t="inlineStr">
        <is>
          <t>s/d</t>
        </is>
      </c>
      <c r="K6" s="4" t="inlineStr">
        <is>
          <t>2–0</t>
        </is>
      </c>
      <c r="L6" s="4" t="inlineStr">
        <is>
          <t>TRUE</t>
        </is>
      </c>
      <c r="M6" s="4" t="inlineStr">
        <is>
          <t>no</t>
        </is>
      </c>
      <c r="N6" s="4" t="inlineStr">
        <is>
          <t>https://en.wikipedia.org/wiki/2026_FIFA_World_Cup_Group_A</t>
        </is>
      </c>
    </row>
    <row r="7">
      <c r="A7" s="4" t="inlineStr">
        <is>
          <t>M-2026-002</t>
        </is>
      </c>
      <c r="B7" s="4" t="inlineStr">
        <is>
          <t>2026</t>
        </is>
      </c>
      <c r="C7" s="4" t="inlineStr">
        <is>
          <t>group stage</t>
        </is>
      </c>
      <c r="D7" s="4" t="inlineStr">
        <is>
          <t>Grupo A</t>
        </is>
      </c>
      <c r="E7" s="4" t="inlineStr">
        <is>
          <t>1</t>
        </is>
      </c>
      <c r="F7" s="4" t="inlineStr">
        <is>
          <t>12/06/2026</t>
        </is>
      </c>
      <c r="G7" s="4" t="inlineStr">
        <is>
          <t>Korea Rep.</t>
        </is>
      </c>
      <c r="H7" s="4" t="inlineStr">
        <is>
          <t>Czech Republic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2 : 1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https://en.wikipedia.org/wiki/2026_FIFA_World_Cup_Group_A</t>
        </is>
      </c>
    </row>
    <row r="8">
      <c r="A8" s="4" t="inlineStr">
        <is>
          <t>M-2026-007</t>
        </is>
      </c>
      <c r="B8" s="4" t="inlineStr">
        <is>
          <t>2026</t>
        </is>
      </c>
      <c r="C8" s="4" t="inlineStr">
        <is>
          <t>fase de grupos</t>
        </is>
      </c>
      <c r="D8" s="4" t="inlineStr">
        <is>
          <t>group-b</t>
        </is>
      </c>
      <c r="E8" s="4" t="inlineStr">
        <is>
          <t>1</t>
        </is>
      </c>
      <c r="F8" s="4" t="inlineStr">
        <is>
          <t>06/12/2026</t>
        </is>
      </c>
      <c r="G8" s="4" t="inlineStr">
        <is>
          <t>Canada</t>
        </is>
      </c>
      <c r="H8" s="4" t="inlineStr">
        <is>
          <t>BOSNIA &amp; HERZEGOVINA</t>
        </is>
      </c>
      <c r="I8" s="4" t="inlineStr">
        <is>
          <t>1</t>
        </is>
      </c>
      <c r="J8" s="4" t="inlineStr">
        <is>
          <t>1</t>
        </is>
      </c>
      <c r="K8" s="4" t="inlineStr">
        <is>
          <t>1 x 1</t>
        </is>
      </c>
      <c r="L8" s="4" t="inlineStr">
        <is>
          <t>Sí</t>
        </is>
      </c>
      <c r="M8" s="4" t="inlineStr">
        <is>
          <t>0</t>
        </is>
      </c>
      <c r="N8" s="4" t="inlineStr">
        <is>
          <t>https://en.wikipedia.org/wiki/2026_FIFA_World_Cup_Group_B</t>
        </is>
      </c>
    </row>
    <row r="9">
      <c r="A9" s="4" t="inlineStr">
        <is>
          <t>M-2026-008</t>
        </is>
      </c>
      <c r="B9" s="4" t="inlineStr">
        <is>
          <t>2026</t>
        </is>
      </c>
      <c r="C9" s="4" t="inlineStr">
        <is>
          <t>GS</t>
        </is>
      </c>
      <c r="D9" s="4" t="inlineStr">
        <is>
          <t>B</t>
        </is>
      </c>
      <c r="E9" s="4" t="inlineStr">
        <is>
          <t>1</t>
        </is>
      </c>
      <c r="F9" s="4" t="inlineStr">
        <is>
          <t>13-06-26</t>
        </is>
      </c>
      <c r="G9" s="4" t="inlineStr">
        <is>
          <t>Qatar</t>
        </is>
      </c>
      <c r="H9" s="4" t="inlineStr">
        <is>
          <t>Suisse</t>
        </is>
      </c>
      <c r="I9" s="4" t="inlineStr">
        <is>
          <t>1</t>
        </is>
      </c>
      <c r="J9" s="4" t="inlineStr">
        <is>
          <t>1</t>
        </is>
      </c>
      <c r="K9" s="4" t="inlineStr">
        <is>
          <t>1—1</t>
        </is>
      </c>
      <c r="L9" s="4" t="inlineStr">
        <is>
          <t>0</t>
        </is>
      </c>
      <c r="M9" s="4" t="inlineStr">
        <is>
          <t>FALSE</t>
        </is>
      </c>
      <c r="N9" s="4" t="inlineStr">
        <is>
          <t>https://en.wikipedia.org/wiki/2026_FIFA_World_Cup_Group_B</t>
        </is>
      </c>
    </row>
    <row r="10">
      <c r="A10" s="4" t="inlineStr">
        <is>
          <t>M-2026-013</t>
        </is>
      </c>
      <c r="B10" s="4" t="inlineStr">
        <is>
          <t>2026</t>
        </is>
      </c>
      <c r="C10" s="4" t="inlineStr">
        <is>
          <t>group stage</t>
        </is>
      </c>
      <c r="D10" s="4" t="inlineStr">
        <is>
          <t>C</t>
        </is>
      </c>
      <c r="E10" s="4" t="inlineStr">
        <is>
          <t>1</t>
        </is>
      </c>
      <c r="F10" s="4" t="inlineStr">
        <is>
          <t>Jun 13, 2026</t>
        </is>
      </c>
      <c r="G10" s="4" t="inlineStr">
        <is>
          <t>Brazil</t>
        </is>
      </c>
      <c r="H10" s="4" t="inlineStr">
        <is>
          <t>Morocco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1-1</t>
        </is>
      </c>
      <c r="L10" s="4" t="inlineStr">
        <is>
          <t>FALSE</t>
        </is>
      </c>
      <c r="M10" s="4" t="inlineStr">
        <is>
          <t>no</t>
        </is>
      </c>
      <c r="N10" s="4" t="inlineStr">
        <is>
          <t>https://en.wikipedia.org/wiki/2026_FIFA_World_Cup_Group_C</t>
        </is>
      </c>
    </row>
    <row r="11">
      <c r="A11" s="4" t="inlineStr">
        <is>
          <t>M-2026-014</t>
        </is>
      </c>
      <c r="B11" s="4" t="inlineStr">
        <is>
          <t>2026</t>
        </is>
      </c>
      <c r="C11" s="4" t="inlineStr">
        <is>
          <t>fase de grupos</t>
        </is>
      </c>
      <c r="D11" s="4" t="inlineStr">
        <is>
          <t>Grupo C</t>
        </is>
      </c>
      <c r="E11" s="4" t="inlineStr">
        <is>
          <t>1</t>
        </is>
      </c>
      <c r="F11" s="4" t="inlineStr">
        <is>
          <t>2026-06-13</t>
        </is>
      </c>
      <c r="G11" s="4" t="inlineStr">
        <is>
          <t>Haiti</t>
        </is>
      </c>
      <c r="H11" s="4" t="inlineStr">
        <is>
          <t>Scotland</t>
        </is>
      </c>
      <c r="I11" s="4" t="inlineStr">
        <is>
          <t>0</t>
        </is>
      </c>
      <c r="J11" s="4" t="inlineStr">
        <is>
          <t>1</t>
        </is>
      </c>
      <c r="K11" s="4" t="inlineStr">
        <is>
          <t>0–1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https://en.wikipedia.org/wiki/2026_FIFA_World_Cup_Group_C</t>
        </is>
      </c>
    </row>
    <row r="12">
      <c r="A12" s="4" t="inlineStr">
        <is>
          <t>M-2026-019</t>
        </is>
      </c>
      <c r="B12" s="4" t="inlineStr">
        <is>
          <t>2026</t>
        </is>
      </c>
      <c r="C12" s="4" t="inlineStr">
        <is>
          <t>GS</t>
        </is>
      </c>
      <c r="D12" s="4" t="inlineStr">
        <is>
          <t>group-d</t>
        </is>
      </c>
      <c r="E12" s="4" t="inlineStr">
        <is>
          <t>1</t>
        </is>
      </c>
      <c r="F12" s="4" t="inlineStr">
        <is>
          <t>13/06/2026</t>
        </is>
      </c>
      <c r="G12" s="4" t="inlineStr">
        <is>
          <t>USA</t>
        </is>
      </c>
      <c r="H12" s="4" t="inlineStr">
        <is>
          <t>Paraguay</t>
        </is>
      </c>
      <c r="I12" s="4" t="inlineStr">
        <is>
          <t>4</t>
        </is>
      </c>
      <c r="J12" s="4" t="inlineStr">
        <is>
          <t>1</t>
        </is>
      </c>
      <c r="K12" s="4" t="inlineStr">
        <is>
          <t>4 : 1</t>
        </is>
      </c>
      <c r="L12" s="4" t="inlineStr">
        <is>
          <t>Sí</t>
        </is>
      </c>
      <c r="M12" s="4" t="inlineStr">
        <is>
          <t>0</t>
        </is>
      </c>
      <c r="N12" s="4" t="inlineStr">
        <is>
          <t>https://en.wikipedia.org/wiki/2026_FIFA_World_Cup_Group_D</t>
        </is>
      </c>
    </row>
    <row r="13">
      <c r="A13" s="4" t="inlineStr">
        <is>
          <t>M-2026-020</t>
        </is>
      </c>
      <c r="B13" s="4" t="inlineStr">
        <is>
          <t>2026</t>
        </is>
      </c>
      <c r="C13" s="4" t="inlineStr">
        <is>
          <t>group stage</t>
        </is>
      </c>
      <c r="D13" s="4" t="inlineStr">
        <is>
          <t>D</t>
        </is>
      </c>
      <c r="E13" s="4" t="inlineStr">
        <is>
          <t>1</t>
        </is>
      </c>
      <c r="F13" s="4" t="inlineStr">
        <is>
          <t>46187</t>
        </is>
      </c>
      <c r="G13" s="4" t="inlineStr">
        <is>
          <t>Australia</t>
        </is>
      </c>
      <c r="H13" s="4" t="inlineStr">
        <is>
          <t>Turkiye</t>
        </is>
      </c>
      <c r="I13" s="4" t="inlineStr">
        <is>
          <t>2</t>
        </is>
      </c>
      <c r="J13" s="4" t="inlineStr">
        <is>
          <t>0</t>
        </is>
      </c>
      <c r="K13" s="4" t="inlineStr">
        <is>
          <t>2 x 0</t>
        </is>
      </c>
      <c r="L13" s="4" t="inlineStr">
        <is>
          <t>0</t>
        </is>
      </c>
      <c r="M13" s="4" t="inlineStr">
        <is>
          <t>FALSE</t>
        </is>
      </c>
      <c r="N13" s="4" t="inlineStr">
        <is>
          <t>https://en.wikipedia.org/wiki/2026_FIFA_World_Cup_Group_D</t>
        </is>
      </c>
    </row>
    <row r="14">
      <c r="A14" s="4" t="inlineStr">
        <is>
          <t>M-2026-025</t>
        </is>
      </c>
      <c r="B14" s="4" t="inlineStr">
        <is>
          <t>2026</t>
        </is>
      </c>
      <c r="C14" s="4" t="inlineStr">
        <is>
          <t>fase de grupos</t>
        </is>
      </c>
      <c r="D14" s="4" t="inlineStr">
        <is>
          <t>E</t>
        </is>
      </c>
      <c r="E14" s="4" t="inlineStr">
        <is>
          <t>1</t>
        </is>
      </c>
      <c r="F14" s="4" t="inlineStr">
        <is>
          <t>14-06-26</t>
        </is>
      </c>
      <c r="G14" s="4" t="inlineStr">
        <is>
          <t>Germany</t>
        </is>
      </c>
      <c r="H14" s="4" t="inlineStr">
        <is>
          <t>curaçao</t>
        </is>
      </c>
      <c r="I14" s="4" t="inlineStr">
        <is>
          <t>7</t>
        </is>
      </c>
      <c r="J14" s="4" t="inlineStr">
        <is>
          <t>1</t>
        </is>
      </c>
      <c r="K14" s="4" t="inlineStr">
        <is>
          <t>7—1</t>
        </is>
      </c>
      <c r="L14" s="4" t="inlineStr">
        <is>
          <t>FALSE</t>
        </is>
      </c>
      <c r="M14" s="4" t="inlineStr">
        <is>
          <t>no</t>
        </is>
      </c>
      <c r="N14" s="4" t="inlineStr">
        <is>
          <t>https://en.wikipedia.org/wiki/2026_FIFA_World_Cup_Group_E</t>
        </is>
      </c>
    </row>
    <row r="15">
      <c r="A15" s="4" t="inlineStr">
        <is>
          <t>M-2026-026</t>
        </is>
      </c>
      <c r="B15" s="4" t="inlineStr">
        <is>
          <t>2026</t>
        </is>
      </c>
      <c r="C15" s="4" t="inlineStr">
        <is>
          <t>GS</t>
        </is>
      </c>
      <c r="D15" s="4" t="inlineStr">
        <is>
          <t>Grupo E</t>
        </is>
      </c>
      <c r="E15" s="4" t="inlineStr">
        <is>
          <t>1</t>
        </is>
      </c>
      <c r="F15" s="4" t="inlineStr">
        <is>
          <t>Jun 14, 2026</t>
        </is>
      </c>
      <c r="G15" s="4" t="inlineStr">
        <is>
          <t>Cote d Ivoire</t>
        </is>
      </c>
      <c r="H15" s="4" t="inlineStr">
        <is>
          <t>Ecuador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1-0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https://en.wikipedia.org/wiki/2026_FIFA_World_Cup_Group_E</t>
        </is>
      </c>
    </row>
    <row r="16">
      <c r="A16" s="4" t="inlineStr">
        <is>
          <t>M-2026-031</t>
        </is>
      </c>
      <c r="B16" s="4" t="inlineStr">
        <is>
          <t>2026</t>
        </is>
      </c>
      <c r="C16" s="4" t="inlineStr">
        <is>
          <t>group stage</t>
        </is>
      </c>
      <c r="D16" s="4" t="inlineStr">
        <is>
          <t>group-f</t>
        </is>
      </c>
      <c r="E16" s="4" t="inlineStr">
        <is>
          <t>1</t>
        </is>
      </c>
      <c r="F16" s="4" t="inlineStr">
        <is>
          <t>2026-06-14</t>
        </is>
      </c>
      <c r="G16" s="4" t="inlineStr">
        <is>
          <t>Holland</t>
        </is>
      </c>
      <c r="H16" s="4" t="inlineStr">
        <is>
          <t>Japan</t>
        </is>
      </c>
      <c r="I16" s="4" t="n"/>
      <c r="J16" s="4" t="inlineStr">
        <is>
          <t>2</t>
        </is>
      </c>
      <c r="K16" s="4" t="inlineStr">
        <is>
          <t>2–2</t>
        </is>
      </c>
      <c r="L16" s="4" t="inlineStr">
        <is>
          <t>No</t>
        </is>
      </c>
      <c r="M16" s="4" t="inlineStr">
        <is>
          <t>0</t>
        </is>
      </c>
      <c r="N16" s="4" t="inlineStr">
        <is>
          <t>https://en.wikipedia.org/wiki/2026_FIFA_World_Cup_Group_F</t>
        </is>
      </c>
    </row>
    <row r="17">
      <c r="A17" s="4" t="inlineStr">
        <is>
          <t>M-2026-032</t>
        </is>
      </c>
      <c r="B17" s="4" t="inlineStr">
        <is>
          <t>2026</t>
        </is>
      </c>
      <c r="C17" s="4" t="inlineStr">
        <is>
          <t>fase de grupos</t>
        </is>
      </c>
      <c r="D17" s="4" t="inlineStr">
        <is>
          <t>F</t>
        </is>
      </c>
      <c r="E17" s="4" t="inlineStr">
        <is>
          <t>1</t>
        </is>
      </c>
      <c r="F17" s="4" t="inlineStr">
        <is>
          <t>15/06/2026</t>
        </is>
      </c>
      <c r="G17" s="4" t="inlineStr">
        <is>
          <t>Sweden</t>
        </is>
      </c>
      <c r="H17" s="4" t="inlineStr">
        <is>
          <t>Tunisia</t>
        </is>
      </c>
      <c r="I17" s="4" t="inlineStr">
        <is>
          <t>5</t>
        </is>
      </c>
      <c r="J17" s="4" t="inlineStr">
        <is>
          <t>1</t>
        </is>
      </c>
      <c r="K17" s="4" t="inlineStr">
        <is>
          <t>5 : 1</t>
        </is>
      </c>
      <c r="L17" s="4" t="inlineStr">
        <is>
          <t>0</t>
        </is>
      </c>
      <c r="M17" s="4" t="inlineStr">
        <is>
          <t>FALSE</t>
        </is>
      </c>
      <c r="N17" s="4" t="inlineStr">
        <is>
          <t>https://en.wikipedia.org/wiki/2026_FIFA_World_Cup_Group_F</t>
        </is>
      </c>
    </row>
    <row r="18">
      <c r="A18" s="4" t="inlineStr">
        <is>
          <t>M-2026-037</t>
        </is>
      </c>
      <c r="B18" s="4" t="inlineStr">
        <is>
          <t>2026</t>
        </is>
      </c>
      <c r="C18" s="4" t="inlineStr">
        <is>
          <t>GS</t>
        </is>
      </c>
      <c r="D18" s="4" t="n"/>
      <c r="E18" s="4" t="inlineStr">
        <is>
          <t>1</t>
        </is>
      </c>
      <c r="F18" s="4" t="inlineStr">
        <is>
          <t>06/15/2026</t>
        </is>
      </c>
      <c r="G18" s="4" t="inlineStr">
        <is>
          <t>belgium</t>
        </is>
      </c>
      <c r="H18" s="4" t="inlineStr">
        <is>
          <t>Egypt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1 x 1</t>
        </is>
      </c>
      <c r="L18" s="4" t="inlineStr">
        <is>
          <t>FALSE</t>
        </is>
      </c>
      <c r="M18" s="4" t="inlineStr">
        <is>
          <t>no</t>
        </is>
      </c>
      <c r="N18" s="4" t="inlineStr">
        <is>
          <t>https://en.wikipedia.org/wiki/2026_FIFA_World_Cup_Group_G</t>
        </is>
      </c>
    </row>
    <row r="19">
      <c r="A19" s="4" t="inlineStr">
        <is>
          <t>M-2026-038</t>
        </is>
      </c>
      <c r="B19" s="4" t="inlineStr">
        <is>
          <t>2026</t>
        </is>
      </c>
      <c r="C19" s="4" t="inlineStr">
        <is>
          <t>group stage</t>
        </is>
      </c>
      <c r="D19" s="4" t="inlineStr">
        <is>
          <t>Grupo G</t>
        </is>
      </c>
      <c r="E19" s="4" t="inlineStr">
        <is>
          <t>1</t>
        </is>
      </c>
      <c r="F19" s="4" t="inlineStr">
        <is>
          <t>15-06-26</t>
        </is>
      </c>
      <c r="G19" s="4" t="inlineStr">
        <is>
          <t>IR Iran</t>
        </is>
      </c>
      <c r="H19" s="4" t="inlineStr">
        <is>
          <t>New Zealand</t>
        </is>
      </c>
      <c r="I19" s="4" t="inlineStr">
        <is>
          <t>2</t>
        </is>
      </c>
      <c r="J19" s="4" t="inlineStr">
        <is>
          <t>2</t>
        </is>
      </c>
      <c r="K19" s="4" t="inlineStr">
        <is>
          <t>2—2</t>
        </is>
      </c>
      <c r="L19" s="4" t="inlineStr">
        <is>
          <t>no</t>
        </is>
      </c>
      <c r="M19" s="4" t="inlineStr">
        <is>
          <t>No</t>
        </is>
      </c>
      <c r="N19" s="4" t="inlineStr">
        <is>
          <t>https://en.wikipedia.org/wiki/2026_FIFA_World_Cup_Group_G</t>
        </is>
      </c>
    </row>
    <row r="20">
      <c r="A20" s="4" t="inlineStr">
        <is>
          <t>M-2026-043</t>
        </is>
      </c>
      <c r="B20" s="4" t="inlineStr">
        <is>
          <t>2026</t>
        </is>
      </c>
      <c r="C20" s="4" t="inlineStr">
        <is>
          <t>fase de grupos</t>
        </is>
      </c>
      <c r="D20" s="4" t="inlineStr">
        <is>
          <t>group-h</t>
        </is>
      </c>
      <c r="E20" s="4" t="inlineStr">
        <is>
          <t>1</t>
        </is>
      </c>
      <c r="F20" s="4" t="inlineStr">
        <is>
          <t>Jun 15, 2026</t>
        </is>
      </c>
      <c r="G20" s="4" t="inlineStr">
        <is>
          <t>Spain</t>
        </is>
      </c>
      <c r="H20" s="4" t="inlineStr">
        <is>
          <t>Cape-Verde</t>
        </is>
      </c>
      <c r="I20" s="4" t="inlineStr">
        <is>
          <t>0</t>
        </is>
      </c>
      <c r="J20" s="4" t="inlineStr">
        <is>
          <t>s/d</t>
        </is>
      </c>
      <c r="K20" s="4" t="inlineStr">
        <is>
          <t>0-0</t>
        </is>
      </c>
      <c r="L20" s="4" t="inlineStr">
        <is>
          <t>No</t>
        </is>
      </c>
      <c r="M20" s="4" t="inlineStr">
        <is>
          <t>0</t>
        </is>
      </c>
      <c r="N20" s="4" t="inlineStr">
        <is>
          <t>https://en.wikipedia.org/wiki/2026_FIFA_World_Cup_Group_H</t>
        </is>
      </c>
    </row>
    <row r="21">
      <c r="A21" s="4" t="inlineStr">
        <is>
          <t>M-2026-044</t>
        </is>
      </c>
      <c r="B21" s="4" t="inlineStr">
        <is>
          <t>2026</t>
        </is>
      </c>
      <c r="C21" s="4" t="inlineStr">
        <is>
          <t>GS</t>
        </is>
      </c>
      <c r="D21" s="4" t="inlineStr">
        <is>
          <t>H</t>
        </is>
      </c>
      <c r="E21" s="4" t="inlineStr">
        <is>
          <t>1</t>
        </is>
      </c>
      <c r="F21" s="4" t="inlineStr">
        <is>
          <t>2026-06-15</t>
        </is>
      </c>
      <c r="G21" s="4" t="inlineStr">
        <is>
          <t>Saudi-Arabia</t>
        </is>
      </c>
      <c r="H21" s="4" t="inlineStr">
        <is>
          <t>Uruguay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1–1</t>
        </is>
      </c>
      <c r="L21" s="4" t="inlineStr">
        <is>
          <t>0</t>
        </is>
      </c>
      <c r="M21" s="4" t="inlineStr">
        <is>
          <t>FALSE</t>
        </is>
      </c>
      <c r="N21" s="4" t="inlineStr">
        <is>
          <t>https://en.wikipedia.org/wiki/2026_FIFA_World_Cup_Group_H</t>
        </is>
      </c>
    </row>
    <row r="22">
      <c r="A22" s="4" t="inlineStr">
        <is>
          <t>M-2026-049</t>
        </is>
      </c>
      <c r="B22" s="4" t="inlineStr">
        <is>
          <t>2026</t>
        </is>
      </c>
      <c r="C22" s="4" t="inlineStr">
        <is>
          <t>group stage</t>
        </is>
      </c>
      <c r="D22" s="4" t="inlineStr">
        <is>
          <t>I</t>
        </is>
      </c>
      <c r="E22" s="4" t="inlineStr">
        <is>
          <t>1</t>
        </is>
      </c>
      <c r="F22" s="4" t="inlineStr">
        <is>
          <t>16/06/2026</t>
        </is>
      </c>
      <c r="G22" s="4" t="inlineStr">
        <is>
          <t>France</t>
        </is>
      </c>
      <c r="H22" s="4" t="inlineStr">
        <is>
          <t>Senegal</t>
        </is>
      </c>
      <c r="I22" s="4" t="inlineStr">
        <is>
          <t>3</t>
        </is>
      </c>
      <c r="J22" s="4" t="inlineStr">
        <is>
          <t>1</t>
        </is>
      </c>
      <c r="K22" s="4" t="inlineStr">
        <is>
          <t>3 : 1</t>
        </is>
      </c>
      <c r="L22" s="4" t="inlineStr">
        <is>
          <t>FALSE</t>
        </is>
      </c>
      <c r="M22" s="4" t="inlineStr">
        <is>
          <t>no</t>
        </is>
      </c>
      <c r="N22" s="4" t="inlineStr">
        <is>
          <t>https://en.wikipedia.org/wiki/2026_FIFA_World_Cup_Group_I</t>
        </is>
      </c>
    </row>
    <row r="23">
      <c r="A23" s="4" t="inlineStr">
        <is>
          <t>M-2026-050</t>
        </is>
      </c>
      <c r="B23" s="4" t="inlineStr">
        <is>
          <t>2026</t>
        </is>
      </c>
      <c r="C23" s="4" t="inlineStr">
        <is>
          <t>fase de grupos</t>
        </is>
      </c>
      <c r="D23" s="4" t="inlineStr">
        <is>
          <t>Grupo I</t>
        </is>
      </c>
      <c r="E23" s="4" t="inlineStr">
        <is>
          <t>1</t>
        </is>
      </c>
      <c r="F23" s="4" t="inlineStr">
        <is>
          <t>06/16/2026</t>
        </is>
      </c>
      <c r="G23" s="4" t="inlineStr">
        <is>
          <t>Iraq</t>
        </is>
      </c>
      <c r="H23" s="4" t="inlineStr">
        <is>
          <t>Norway</t>
        </is>
      </c>
      <c r="I23" s="4" t="inlineStr">
        <is>
          <t>1</t>
        </is>
      </c>
      <c r="J23" s="4" t="inlineStr">
        <is>
          <t>4</t>
        </is>
      </c>
      <c r="K23" s="4" t="inlineStr">
        <is>
          <t>1 x 4</t>
        </is>
      </c>
      <c r="L23" s="4" t="inlineStr">
        <is>
          <t>no</t>
        </is>
      </c>
      <c r="M23" s="4" t="inlineStr">
        <is>
          <t>No</t>
        </is>
      </c>
      <c r="N23" s="4" t="inlineStr">
        <is>
          <t>https://en.wikipedia.org/wiki/2026_FIFA_World_Cup_Group_I</t>
        </is>
      </c>
    </row>
    <row r="24">
      <c r="A24" s="4" t="inlineStr">
        <is>
          <t>M-2026-055</t>
        </is>
      </c>
      <c r="B24" s="4" t="inlineStr">
        <is>
          <t>2026</t>
        </is>
      </c>
      <c r="C24" s="4" t="inlineStr">
        <is>
          <t>GS</t>
        </is>
      </c>
      <c r="D24" s="4" t="inlineStr">
        <is>
          <t>group-j</t>
        </is>
      </c>
      <c r="E24" s="4" t="inlineStr">
        <is>
          <t>1</t>
        </is>
      </c>
      <c r="F24" s="4" t="inlineStr">
        <is>
          <t>16-06-26</t>
        </is>
      </c>
      <c r="G24" s="4" t="inlineStr">
        <is>
          <t>Argentina</t>
        </is>
      </c>
      <c r="H24" s="4" t="inlineStr">
        <is>
          <t>Algeria</t>
        </is>
      </c>
      <c r="I24" s="4" t="inlineStr">
        <is>
          <t>3</t>
        </is>
      </c>
      <c r="J24" s="4" t="inlineStr">
        <is>
          <t>0</t>
        </is>
      </c>
      <c r="K24" s="4" t="inlineStr">
        <is>
          <t>3—0</t>
        </is>
      </c>
      <c r="L24" s="4" t="inlineStr">
        <is>
          <t>No</t>
        </is>
      </c>
      <c r="M24" s="4" t="inlineStr">
        <is>
          <t>0</t>
        </is>
      </c>
      <c r="N24" s="4" t="inlineStr">
        <is>
          <t>https://en.wikipedia.org/wiki/2026_FIFA_World_Cup_Group_J</t>
        </is>
      </c>
    </row>
    <row r="25">
      <c r="A25" s="4" t="inlineStr">
        <is>
          <t>M-2026-056</t>
        </is>
      </c>
      <c r="B25" s="4" t="inlineStr">
        <is>
          <t>2026</t>
        </is>
      </c>
      <c r="C25" s="4" t="inlineStr">
        <is>
          <t>group stage</t>
        </is>
      </c>
      <c r="D25" s="4" t="inlineStr">
        <is>
          <t>J</t>
        </is>
      </c>
      <c r="E25" s="4" t="inlineStr">
        <is>
          <t>1</t>
        </is>
      </c>
      <c r="F25" s="4" t="inlineStr">
        <is>
          <t>Jun 17, 2026</t>
        </is>
      </c>
      <c r="G25" s="4" t="inlineStr">
        <is>
          <t>Austria</t>
        </is>
      </c>
      <c r="H25" s="4" t="inlineStr">
        <is>
          <t>JORDAN</t>
        </is>
      </c>
      <c r="I25" s="4" t="inlineStr">
        <is>
          <t>3</t>
        </is>
      </c>
      <c r="J25" s="4" t="inlineStr">
        <is>
          <t>1</t>
        </is>
      </c>
      <c r="K25" s="4" t="inlineStr">
        <is>
          <t>3-1</t>
        </is>
      </c>
      <c r="L25" s="4" t="inlineStr">
        <is>
          <t>0</t>
        </is>
      </c>
      <c r="M25" s="4" t="inlineStr">
        <is>
          <t>FALSE</t>
        </is>
      </c>
      <c r="N25" s="4" t="inlineStr">
        <is>
          <t>https://en.wikipedia.org/wiki/2026_FIFA_World_Cup_Group_J</t>
        </is>
      </c>
    </row>
    <row r="26">
      <c r="A26" s="4" t="inlineStr">
        <is>
          <t>M-2026-061</t>
        </is>
      </c>
      <c r="B26" s="4" t="inlineStr">
        <is>
          <t>2026</t>
        </is>
      </c>
      <c r="C26" s="4" t="inlineStr">
        <is>
          <t>fase de grupos</t>
        </is>
      </c>
      <c r="D26" s="4" t="inlineStr">
        <is>
          <t>K</t>
        </is>
      </c>
      <c r="E26" s="4" t="inlineStr">
        <is>
          <t>1</t>
        </is>
      </c>
      <c r="F26" s="4" t="inlineStr">
        <is>
          <t>2026-06-17</t>
        </is>
      </c>
      <c r="G26" s="4" t="inlineStr">
        <is>
          <t>Portugal</t>
        </is>
      </c>
      <c r="H26" s="4" t="inlineStr">
        <is>
          <t>Democratic Republic of the Congo</t>
        </is>
      </c>
      <c r="I26" s="4" t="n"/>
      <c r="J26" s="4" t="inlineStr">
        <is>
          <t>1</t>
        </is>
      </c>
      <c r="K26" s="4" t="inlineStr">
        <is>
          <t>1–1</t>
        </is>
      </c>
      <c r="L26" s="4" t="inlineStr">
        <is>
          <t>FALSE</t>
        </is>
      </c>
      <c r="M26" s="4" t="inlineStr">
        <is>
          <t>no</t>
        </is>
      </c>
      <c r="N26" s="4" t="inlineStr">
        <is>
          <t>https://en.wikipedia.org/wiki/2026_FIFA_World_Cup_Group_K</t>
        </is>
      </c>
    </row>
    <row r="27">
      <c r="A27" s="4" t="inlineStr">
        <is>
          <t>M-2026-062</t>
        </is>
      </c>
      <c r="B27" s="4" t="inlineStr">
        <is>
          <t>2026</t>
        </is>
      </c>
      <c r="C27" s="4" t="inlineStr">
        <is>
          <t>GS</t>
        </is>
      </c>
      <c r="D27" s="4" t="inlineStr">
        <is>
          <t>Grupo K</t>
        </is>
      </c>
      <c r="E27" s="4" t="inlineStr">
        <is>
          <t>1</t>
        </is>
      </c>
      <c r="F27" s="4" t="inlineStr">
        <is>
          <t>17/06/2026</t>
        </is>
      </c>
      <c r="G27" s="4" t="inlineStr">
        <is>
          <t>Uzbekistan</t>
        </is>
      </c>
      <c r="H27" s="4" t="inlineStr">
        <is>
          <t>Colombia</t>
        </is>
      </c>
      <c r="I27" s="4" t="inlineStr">
        <is>
          <t>1</t>
        </is>
      </c>
      <c r="J27" s="4" t="inlineStr">
        <is>
          <t>3</t>
        </is>
      </c>
      <c r="K27" s="4" t="n"/>
      <c r="L27" s="4" t="inlineStr">
        <is>
          <t>no</t>
        </is>
      </c>
      <c r="M27" s="4" t="inlineStr">
        <is>
          <t>No</t>
        </is>
      </c>
      <c r="N27" s="4" t="inlineStr">
        <is>
          <t>https://en.wikipedia.org/wiki/2026_FIFA_World_Cup_Group_K</t>
        </is>
      </c>
    </row>
    <row r="28">
      <c r="A28" s="4" t="inlineStr">
        <is>
          <t>M-2026-067</t>
        </is>
      </c>
      <c r="B28" s="4" t="inlineStr">
        <is>
          <t>2026</t>
        </is>
      </c>
      <c r="C28" s="4" t="inlineStr">
        <is>
          <t>group stage</t>
        </is>
      </c>
      <c r="D28" s="4" t="inlineStr">
        <is>
          <t>group-l</t>
        </is>
      </c>
      <c r="E28" s="4" t="inlineStr">
        <is>
          <t>1</t>
        </is>
      </c>
      <c r="F28" s="4" t="inlineStr">
        <is>
          <t>06/17/2026</t>
        </is>
      </c>
      <c r="G28" s="4" t="inlineStr">
        <is>
          <t>England</t>
        </is>
      </c>
      <c r="H28" s="4" t="inlineStr">
        <is>
          <t>Croatia</t>
        </is>
      </c>
      <c r="I28" s="4" t="inlineStr">
        <is>
          <t>4</t>
        </is>
      </c>
      <c r="J28" s="4" t="inlineStr">
        <is>
          <t>2</t>
        </is>
      </c>
      <c r="K28" s="4" t="inlineStr">
        <is>
          <t>4 x 2</t>
        </is>
      </c>
      <c r="L28" s="4" t="inlineStr">
        <is>
          <t>No</t>
        </is>
      </c>
      <c r="M28" s="4" t="inlineStr">
        <is>
          <t>0</t>
        </is>
      </c>
      <c r="N28" s="4" t="inlineStr">
        <is>
          <t>https://en.wikipedia.org/wiki/2026_FIFA_World_Cup_Group_L</t>
        </is>
      </c>
    </row>
    <row r="29">
      <c r="A29" s="4" t="inlineStr">
        <is>
          <t>M-2026-003</t>
        </is>
      </c>
      <c r="B29" s="4" t="inlineStr">
        <is>
          <t>2026</t>
        </is>
      </c>
      <c r="C29" s="4" t="inlineStr">
        <is>
          <t>fase de grupos</t>
        </is>
      </c>
      <c r="D29" s="4" t="inlineStr">
        <is>
          <t>A</t>
        </is>
      </c>
      <c r="E29" s="4" t="inlineStr">
        <is>
          <t>2</t>
        </is>
      </c>
      <c r="F29" s="4" t="inlineStr">
        <is>
          <t>18-06-26</t>
        </is>
      </c>
      <c r="G29" s="4" t="inlineStr">
        <is>
          <t>CZECH REPUBLIC</t>
        </is>
      </c>
      <c r="H29" s="4" t="inlineStr">
        <is>
          <t>South Africa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1—1</t>
        </is>
      </c>
      <c r="L29" s="4" t="inlineStr">
        <is>
          <t>0</t>
        </is>
      </c>
      <c r="M29" s="4" t="inlineStr">
        <is>
          <t>FALSE</t>
        </is>
      </c>
      <c r="N29" s="4" t="inlineStr">
        <is>
          <t>https://en.wikipedia.org/wiki/2026_FIFA_World_Cup_Group_A</t>
        </is>
      </c>
    </row>
    <row r="30">
      <c r="A30" s="4" t="inlineStr">
        <is>
          <t>M-2026-004</t>
        </is>
      </c>
      <c r="B30" s="4" t="inlineStr">
        <is>
          <t>2026</t>
        </is>
      </c>
      <c r="C30" s="4" t="inlineStr">
        <is>
          <t>GS</t>
        </is>
      </c>
      <c r="D30" s="4" t="inlineStr">
        <is>
          <t>A</t>
        </is>
      </c>
      <c r="E30" s="4" t="inlineStr">
        <is>
          <t>2</t>
        </is>
      </c>
      <c r="F30" s="4" t="inlineStr">
        <is>
          <t>Jun 18, 2026</t>
        </is>
      </c>
      <c r="G30" s="4" t="inlineStr">
        <is>
          <t>México</t>
        </is>
      </c>
      <c r="H30" s="4" t="inlineStr">
        <is>
          <t>South Korea</t>
        </is>
      </c>
      <c r="I30" s="4" t="inlineStr">
        <is>
          <t>1</t>
        </is>
      </c>
      <c r="J30" s="4" t="inlineStr">
        <is>
          <t>0</t>
        </is>
      </c>
      <c r="K30" s="4" t="inlineStr">
        <is>
          <t>1-0</t>
        </is>
      </c>
      <c r="L30" s="4" t="inlineStr">
        <is>
          <t>TRUE</t>
        </is>
      </c>
      <c r="M30" s="4" t="inlineStr">
        <is>
          <t>no</t>
        </is>
      </c>
      <c r="N30" s="4" t="inlineStr">
        <is>
          <t>https://en.wikipedia.org/wiki/2026_FIFA_World_Cup_Group_A</t>
        </is>
      </c>
    </row>
    <row r="31">
      <c r="A31" s="4" t="inlineStr">
        <is>
          <t>M-2026-009</t>
        </is>
      </c>
      <c r="B31" s="4" t="inlineStr">
        <is>
          <t>2026</t>
        </is>
      </c>
      <c r="C31" s="4" t="inlineStr">
        <is>
          <t>group stage</t>
        </is>
      </c>
      <c r="D31" s="4" t="inlineStr">
        <is>
          <t>Grupo B</t>
        </is>
      </c>
      <c r="E31" s="4" t="inlineStr">
        <is>
          <t>2</t>
        </is>
      </c>
      <c r="F31" s="4" t="inlineStr">
        <is>
          <t>2026-06-18</t>
        </is>
      </c>
      <c r="G31" s="4" t="inlineStr">
        <is>
          <t>Suisse</t>
        </is>
      </c>
      <c r="H31" s="4" t="inlineStr">
        <is>
          <t>Bosnia</t>
        </is>
      </c>
      <c r="I31" s="4" t="inlineStr">
        <is>
          <t>4</t>
        </is>
      </c>
      <c r="J31" s="4" t="inlineStr">
        <is>
          <t>1</t>
        </is>
      </c>
      <c r="K31" s="4" t="inlineStr">
        <is>
          <t>4–1</t>
        </is>
      </c>
      <c r="L31" s="4" t="inlineStr">
        <is>
          <t>no</t>
        </is>
      </c>
      <c r="M31" s="4" t="inlineStr">
        <is>
          <t>No</t>
        </is>
      </c>
      <c r="N31" s="4" t="inlineStr">
        <is>
          <t>https://en.wikipedia.org/wiki/2026_FIFA_World_Cup_Group_B</t>
        </is>
      </c>
    </row>
    <row r="32">
      <c r="A32" s="4" t="inlineStr">
        <is>
          <t>M-2026-010</t>
        </is>
      </c>
      <c r="B32" s="4" t="inlineStr">
        <is>
          <t>2026</t>
        </is>
      </c>
      <c r="C32" s="4" t="inlineStr">
        <is>
          <t>fase de grupos</t>
        </is>
      </c>
      <c r="D32" s="4" t="inlineStr">
        <is>
          <t>group-b</t>
        </is>
      </c>
      <c r="E32" s="4" t="inlineStr">
        <is>
          <t>2</t>
        </is>
      </c>
      <c r="F32" s="4" t="inlineStr">
        <is>
          <t>18/06/2026</t>
        </is>
      </c>
      <c r="G32" s="4" t="inlineStr">
        <is>
          <t>Canada</t>
        </is>
      </c>
      <c r="H32" s="4" t="inlineStr">
        <is>
          <t>Qatar</t>
        </is>
      </c>
      <c r="I32" s="4" t="inlineStr">
        <is>
          <t>6</t>
        </is>
      </c>
      <c r="J32" s="4" t="inlineStr">
        <is>
          <t>0</t>
        </is>
      </c>
      <c r="K32" s="4" t="inlineStr">
        <is>
          <t>6 : 0</t>
        </is>
      </c>
      <c r="L32" s="4" t="inlineStr">
        <is>
          <t>Sí</t>
        </is>
      </c>
      <c r="M32" s="4" t="inlineStr">
        <is>
          <t>0</t>
        </is>
      </c>
      <c r="N32" s="4" t="inlineStr">
        <is>
          <t>https://en.wikipedia.org/wiki/2026_FIFA_World_Cup_Group_B</t>
        </is>
      </c>
    </row>
    <row r="33">
      <c r="A33" s="4" t="inlineStr">
        <is>
          <t>M-2026-068</t>
        </is>
      </c>
      <c r="B33" s="4" t="inlineStr">
        <is>
          <t>2026</t>
        </is>
      </c>
      <c r="C33" s="4" t="inlineStr">
        <is>
          <t>GS</t>
        </is>
      </c>
      <c r="D33" s="4" t="inlineStr">
        <is>
          <t>L</t>
        </is>
      </c>
      <c r="E33" s="4" t="inlineStr">
        <is>
          <t>1</t>
        </is>
      </c>
      <c r="F33" s="4" t="inlineStr">
        <is>
          <t>06/18/2026</t>
        </is>
      </c>
      <c r="G33" s="4" t="inlineStr">
        <is>
          <t>Ghana</t>
        </is>
      </c>
      <c r="H33" s="4" t="inlineStr">
        <is>
          <t>Panama</t>
        </is>
      </c>
      <c r="I33" s="4" t="inlineStr">
        <is>
          <t>1</t>
        </is>
      </c>
      <c r="J33" s="4" t="inlineStr">
        <is>
          <t>0</t>
        </is>
      </c>
      <c r="K33" s="4" t="inlineStr">
        <is>
          <t>1 x 0</t>
        </is>
      </c>
      <c r="L33" s="4" t="inlineStr">
        <is>
          <t>0</t>
        </is>
      </c>
      <c r="M33" s="4" t="inlineStr">
        <is>
          <t>FALSE</t>
        </is>
      </c>
      <c r="N33" s="4" t="inlineStr">
        <is>
          <t>https://en.wikipedia.org/wiki/2026_FIFA_World_Cup_Group_L</t>
        </is>
      </c>
    </row>
    <row r="34">
      <c r="A34" s="4" t="inlineStr">
        <is>
          <t>M-2026-015</t>
        </is>
      </c>
      <c r="B34" s="4" t="inlineStr">
        <is>
          <t>2026</t>
        </is>
      </c>
      <c r="C34" s="4" t="inlineStr">
        <is>
          <t>group stage</t>
        </is>
      </c>
      <c r="D34" s="4" t="inlineStr">
        <is>
          <t>C</t>
        </is>
      </c>
      <c r="E34" s="4" t="inlineStr">
        <is>
          <t>2</t>
        </is>
      </c>
      <c r="F34" s="4" t="inlineStr">
        <is>
          <t>19-06-26</t>
        </is>
      </c>
      <c r="G34" s="4" t="inlineStr">
        <is>
          <t>Scotland</t>
        </is>
      </c>
      <c r="H34" s="4" t="inlineStr">
        <is>
          <t>Morocco</t>
        </is>
      </c>
      <c r="I34" s="4" t="inlineStr">
        <is>
          <t>0</t>
        </is>
      </c>
      <c r="J34" s="4" t="inlineStr">
        <is>
          <t>s/d</t>
        </is>
      </c>
      <c r="K34" s="4" t="inlineStr">
        <is>
          <t>0—1</t>
        </is>
      </c>
      <c r="L34" s="4" t="inlineStr">
        <is>
          <t>FALSE</t>
        </is>
      </c>
      <c r="M34" s="4" t="inlineStr">
        <is>
          <t>no</t>
        </is>
      </c>
      <c r="N34" s="4" t="inlineStr">
        <is>
          <t>https://en.wikipedia.org/wiki/2026_FIFA_World_Cup_Group_C</t>
        </is>
      </c>
    </row>
    <row r="35">
      <c r="A35" s="4" t="inlineStr">
        <is>
          <t>M-2026-016</t>
        </is>
      </c>
      <c r="B35" s="4" t="inlineStr">
        <is>
          <t>2026</t>
        </is>
      </c>
      <c r="C35" s="4" t="inlineStr">
        <is>
          <t>fase de grupos</t>
        </is>
      </c>
      <c r="D35" s="4" t="inlineStr">
        <is>
          <t>Grupo C</t>
        </is>
      </c>
      <c r="E35" s="4" t="inlineStr">
        <is>
          <t>2</t>
        </is>
      </c>
      <c r="F35" s="4" t="inlineStr">
        <is>
          <t>Jun 19, 2026</t>
        </is>
      </c>
      <c r="G35" s="4" t="inlineStr">
        <is>
          <t>Brasil</t>
        </is>
      </c>
      <c r="H35" s="4" t="inlineStr">
        <is>
          <t>Haiti</t>
        </is>
      </c>
      <c r="I35" s="4" t="inlineStr">
        <is>
          <t>3</t>
        </is>
      </c>
      <c r="J35" s="4" t="inlineStr">
        <is>
          <t>0</t>
        </is>
      </c>
      <c r="K35" s="4" t="inlineStr">
        <is>
          <t>3-0</t>
        </is>
      </c>
      <c r="L35" s="4" t="inlineStr">
        <is>
          <t>no</t>
        </is>
      </c>
      <c r="M35" s="4" t="inlineStr">
        <is>
          <t>No</t>
        </is>
      </c>
      <c r="N35" s="4" t="inlineStr">
        <is>
          <t>https://en.wikipedia.org/wiki/2026_FIFA_World_Cup_Group_C</t>
        </is>
      </c>
    </row>
    <row r="36">
      <c r="A36" s="4" t="inlineStr">
        <is>
          <t>M-2026-021</t>
        </is>
      </c>
      <c r="B36" s="4" t="inlineStr">
        <is>
          <t>2026</t>
        </is>
      </c>
      <c r="C36" s="4" t="inlineStr">
        <is>
          <t>GS</t>
        </is>
      </c>
      <c r="D36" s="4" t="inlineStr">
        <is>
          <t>group-d</t>
        </is>
      </c>
      <c r="E36" s="4" t="inlineStr">
        <is>
          <t>2</t>
        </is>
      </c>
      <c r="F36" s="4" t="inlineStr">
        <is>
          <t>2026-06-19</t>
        </is>
      </c>
      <c r="G36" s="4" t="inlineStr">
        <is>
          <t>US</t>
        </is>
      </c>
      <c r="H36" s="4" t="inlineStr">
        <is>
          <t>Australia</t>
        </is>
      </c>
      <c r="I36" s="4" t="n"/>
      <c r="J36" s="4" t="inlineStr">
        <is>
          <t>0</t>
        </is>
      </c>
      <c r="K36" s="4" t="inlineStr">
        <is>
          <t>2–0</t>
        </is>
      </c>
      <c r="L36" s="4" t="inlineStr">
        <is>
          <t>Sí</t>
        </is>
      </c>
      <c r="M36" s="4" t="inlineStr">
        <is>
          <t>0</t>
        </is>
      </c>
      <c r="N36" s="4" t="inlineStr">
        <is>
          <t>https://en.wikipedia.org/wiki/2026_FIFA_World_Cup_Group_D</t>
        </is>
      </c>
    </row>
    <row r="37">
      <c r="A37" s="4" t="inlineStr">
        <is>
          <t>M-2026-022</t>
        </is>
      </c>
      <c r="B37" s="4" t="inlineStr">
        <is>
          <t>2026</t>
        </is>
      </c>
      <c r="C37" s="4" t="inlineStr">
        <is>
          <t>group stage</t>
        </is>
      </c>
      <c r="D37" s="4" t="inlineStr">
        <is>
          <t>D</t>
        </is>
      </c>
      <c r="E37" s="4" t="inlineStr">
        <is>
          <t>2</t>
        </is>
      </c>
      <c r="F37" s="4" t="inlineStr">
        <is>
          <t>20/06/2026</t>
        </is>
      </c>
      <c r="G37" s="4" t="inlineStr">
        <is>
          <t>Turkey</t>
        </is>
      </c>
      <c r="H37" s="4" t="inlineStr">
        <is>
          <t>paraguay</t>
        </is>
      </c>
      <c r="I37" s="4" t="inlineStr">
        <is>
          <t>0</t>
        </is>
      </c>
      <c r="J37" s="4" t="inlineStr">
        <is>
          <t>1</t>
        </is>
      </c>
      <c r="K37" s="4" t="inlineStr">
        <is>
          <t>0 : 1</t>
        </is>
      </c>
      <c r="L37" s="4" t="inlineStr">
        <is>
          <t>0</t>
        </is>
      </c>
      <c r="M37" s="4" t="inlineStr">
        <is>
          <t>FALSE</t>
        </is>
      </c>
      <c r="N37" s="4" t="inlineStr">
        <is>
          <t>https://en.wikipedia.org/wiki/2026_FIFA_World_Cup_Group_D</t>
        </is>
      </c>
    </row>
    <row r="38">
      <c r="A38" s="4" t="inlineStr">
        <is>
          <t>M-2026-027</t>
        </is>
      </c>
      <c r="B38" s="4" t="inlineStr">
        <is>
          <t>2026</t>
        </is>
      </c>
      <c r="C38" s="4" t="inlineStr">
        <is>
          <t>fase de grupos</t>
        </is>
      </c>
      <c r="D38" s="4" t="inlineStr">
        <is>
          <t>E</t>
        </is>
      </c>
      <c r="E38" s="4" t="inlineStr">
        <is>
          <t>2</t>
        </is>
      </c>
      <c r="F38" s="4" t="inlineStr">
        <is>
          <t>06/20/2026</t>
        </is>
      </c>
      <c r="G38" s="4" t="inlineStr">
        <is>
          <t>Germany</t>
        </is>
      </c>
      <c r="H38" s="4" t="inlineStr">
        <is>
          <t>Ivory Coast</t>
        </is>
      </c>
      <c r="I38" s="4" t="inlineStr">
        <is>
          <t>2</t>
        </is>
      </c>
      <c r="J38" s="4" t="inlineStr">
        <is>
          <t>1</t>
        </is>
      </c>
      <c r="K38" s="4" t="inlineStr">
        <is>
          <t>2 x 1</t>
        </is>
      </c>
      <c r="L38" s="4" t="inlineStr">
        <is>
          <t>FALSE</t>
        </is>
      </c>
      <c r="M38" s="4" t="inlineStr">
        <is>
          <t>no</t>
        </is>
      </c>
      <c r="N38" s="4" t="inlineStr">
        <is>
          <t>https://en.wikipedia.org/wiki/2026_FIFA_World_Cup_Group_E</t>
        </is>
      </c>
    </row>
    <row r="39">
      <c r="A39" s="4" t="inlineStr">
        <is>
          <t>M-2026-028</t>
        </is>
      </c>
      <c r="B39" s="4" t="inlineStr">
        <is>
          <t>2026</t>
        </is>
      </c>
      <c r="C39" s="4" t="inlineStr">
        <is>
          <t>GS</t>
        </is>
      </c>
      <c r="D39" s="4" t="inlineStr">
        <is>
          <t>Grupo E</t>
        </is>
      </c>
      <c r="E39" s="4" t="inlineStr">
        <is>
          <t>2</t>
        </is>
      </c>
      <c r="F39" s="4" t="inlineStr">
        <is>
          <t>20-06-26</t>
        </is>
      </c>
      <c r="G39" s="4" t="inlineStr">
        <is>
          <t>Ecuador</t>
        </is>
      </c>
      <c r="H39" s="4" t="inlineStr">
        <is>
          <t>CURACAO</t>
        </is>
      </c>
      <c r="I39" s="4" t="inlineStr">
        <is>
          <t>0</t>
        </is>
      </c>
      <c r="J39" s="4" t="inlineStr">
        <is>
          <t>0</t>
        </is>
      </c>
      <c r="K39" s="4" t="inlineStr">
        <is>
          <t>0—0</t>
        </is>
      </c>
      <c r="L39" s="4" t="inlineStr">
        <is>
          <t>no</t>
        </is>
      </c>
      <c r="M39" s="4" t="inlineStr">
        <is>
          <t>No</t>
        </is>
      </c>
      <c r="N39" s="4" t="inlineStr">
        <is>
          <t>https://en.wikipedia.org/wiki/2026_FIFA_World_Cup_Group_E</t>
        </is>
      </c>
    </row>
    <row r="40">
      <c r="A40" s="4" t="inlineStr">
        <is>
          <t>M-2026-033</t>
        </is>
      </c>
      <c r="B40" s="4" t="inlineStr">
        <is>
          <t>2026</t>
        </is>
      </c>
      <c r="C40" s="4" t="inlineStr">
        <is>
          <t>group stage</t>
        </is>
      </c>
      <c r="D40" s="4" t="inlineStr">
        <is>
          <t>group-f</t>
        </is>
      </c>
      <c r="E40" s="4" t="inlineStr">
        <is>
          <t>2</t>
        </is>
      </c>
      <c r="F40" s="4" t="inlineStr">
        <is>
          <t>Jun 20, 2026</t>
        </is>
      </c>
      <c r="G40" s="4" t="inlineStr">
        <is>
          <t>Holland</t>
        </is>
      </c>
      <c r="H40" s="4" t="inlineStr">
        <is>
          <t>Sweden</t>
        </is>
      </c>
      <c r="I40" s="4" t="inlineStr">
        <is>
          <t>5</t>
        </is>
      </c>
      <c r="J40" s="4" t="inlineStr">
        <is>
          <t>1</t>
        </is>
      </c>
      <c r="K40" s="4" t="inlineStr">
        <is>
          <t>5-1</t>
        </is>
      </c>
      <c r="L40" s="4" t="inlineStr">
        <is>
          <t>No</t>
        </is>
      </c>
      <c r="M40" s="4" t="inlineStr">
        <is>
          <t>0</t>
        </is>
      </c>
      <c r="N40" s="4" t="inlineStr">
        <is>
          <t>https://en.wikipedia.org/wiki/2026_FIFA_World_Cup_Group_F</t>
        </is>
      </c>
    </row>
    <row r="41">
      <c r="A41" s="4" t="inlineStr">
        <is>
          <t>M-2026-034</t>
        </is>
      </c>
      <c r="B41" s="4" t="inlineStr">
        <is>
          <t>2026</t>
        </is>
      </c>
      <c r="C41" s="4" t="inlineStr">
        <is>
          <t>fase de grupos</t>
        </is>
      </c>
      <c r="D41" s="4" t="inlineStr">
        <is>
          <t>F</t>
        </is>
      </c>
      <c r="E41" s="4" t="inlineStr">
        <is>
          <t>2</t>
        </is>
      </c>
      <c r="F41" s="4" t="inlineStr">
        <is>
          <t>2026-06-20</t>
        </is>
      </c>
      <c r="G41" s="4" t="inlineStr">
        <is>
          <t>tunisia</t>
        </is>
      </c>
      <c r="H41" s="4" t="inlineStr">
        <is>
          <t>Japan</t>
        </is>
      </c>
      <c r="I41" s="4" t="inlineStr">
        <is>
          <t>0</t>
        </is>
      </c>
      <c r="J41" s="4" t="inlineStr">
        <is>
          <t>4</t>
        </is>
      </c>
      <c r="K41" s="4" t="inlineStr">
        <is>
          <t>0–4</t>
        </is>
      </c>
      <c r="L41" s="4" t="inlineStr">
        <is>
          <t>0</t>
        </is>
      </c>
      <c r="M41" s="4" t="inlineStr">
        <is>
          <t>FALSE</t>
        </is>
      </c>
      <c r="N41" s="4" t="inlineStr">
        <is>
          <t>https://en.wikipedia.org/wiki/2026_FIFA_World_Cup_Group_F</t>
        </is>
      </c>
    </row>
    <row r="42">
      <c r="A42" s="4" t="inlineStr">
        <is>
          <t>M-2026-039</t>
        </is>
      </c>
      <c r="B42" s="4" t="inlineStr">
        <is>
          <t>2026</t>
        </is>
      </c>
      <c r="C42" s="4" t="inlineStr">
        <is>
          <t>GS</t>
        </is>
      </c>
      <c r="D42" s="4" t="inlineStr">
        <is>
          <t>G</t>
        </is>
      </c>
      <c r="E42" s="4" t="inlineStr">
        <is>
          <t>2</t>
        </is>
      </c>
      <c r="F42" s="4" t="inlineStr">
        <is>
          <t>21/06/2026</t>
        </is>
      </c>
      <c r="G42" s="4" t="inlineStr">
        <is>
          <t>Belgium</t>
        </is>
      </c>
      <c r="H42" s="4" t="inlineStr">
        <is>
          <t>IR IRAN</t>
        </is>
      </c>
      <c r="I42" s="4" t="inlineStr">
        <is>
          <t>0</t>
        </is>
      </c>
      <c r="J42" s="4" t="inlineStr">
        <is>
          <t>0</t>
        </is>
      </c>
      <c r="K42" s="4" t="inlineStr">
        <is>
          <t>0 : 0</t>
        </is>
      </c>
      <c r="L42" s="4" t="inlineStr">
        <is>
          <t>FALSE</t>
        </is>
      </c>
      <c r="M42" s="4" t="inlineStr">
        <is>
          <t>no</t>
        </is>
      </c>
      <c r="N42" s="4" t="inlineStr">
        <is>
          <t>https://en.wikipedia.org/wiki/2026_FIFA_World_Cup_Group_G</t>
        </is>
      </c>
    </row>
    <row r="43">
      <c r="A43" s="4" t="inlineStr">
        <is>
          <t>M-2026-040</t>
        </is>
      </c>
      <c r="B43" s="4" t="inlineStr">
        <is>
          <t>2026</t>
        </is>
      </c>
      <c r="C43" s="4" t="inlineStr">
        <is>
          <t>group stage</t>
        </is>
      </c>
      <c r="D43" s="4" t="inlineStr">
        <is>
          <t>Grupo G</t>
        </is>
      </c>
      <c r="E43" s="4" t="inlineStr">
        <is>
          <t>2</t>
        </is>
      </c>
      <c r="F43" s="4" t="inlineStr">
        <is>
          <t>06/21/2026</t>
        </is>
      </c>
      <c r="G43" s="4" t="inlineStr">
        <is>
          <t>New Zealand</t>
        </is>
      </c>
      <c r="H43" s="4" t="inlineStr">
        <is>
          <t>Egypt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1 x 3</t>
        </is>
      </c>
      <c r="L43" s="4" t="inlineStr">
        <is>
          <t>no</t>
        </is>
      </c>
      <c r="M43" s="4" t="inlineStr">
        <is>
          <t>No</t>
        </is>
      </c>
      <c r="N43" s="4" t="inlineStr">
        <is>
          <t>https://en.wikipedia.org/wiki/2026_FIFA_World_Cup_Group_G</t>
        </is>
      </c>
    </row>
    <row r="44">
      <c r="A44" s="4" t="inlineStr">
        <is>
          <t>M-2026-045</t>
        </is>
      </c>
      <c r="B44" s="4" t="inlineStr">
        <is>
          <t>2026</t>
        </is>
      </c>
      <c r="C44" s="4" t="inlineStr">
        <is>
          <t>fase de grupos</t>
        </is>
      </c>
      <c r="D44" s="4" t="inlineStr">
        <is>
          <t>group-h</t>
        </is>
      </c>
      <c r="E44" s="4" t="inlineStr">
        <is>
          <t>2</t>
        </is>
      </c>
      <c r="F44" s="4" t="inlineStr">
        <is>
          <t>21-06-26</t>
        </is>
      </c>
      <c r="G44" s="4" t="inlineStr">
        <is>
          <t>Spain</t>
        </is>
      </c>
      <c r="H44" s="4" t="inlineStr">
        <is>
          <t>Saudi-Arabia</t>
        </is>
      </c>
      <c r="I44" s="4" t="inlineStr">
        <is>
          <t>4</t>
        </is>
      </c>
      <c r="J44" s="4" t="inlineStr">
        <is>
          <t>0</t>
        </is>
      </c>
      <c r="K44" s="4" t="inlineStr">
        <is>
          <t>4—0</t>
        </is>
      </c>
      <c r="L44" s="4" t="inlineStr">
        <is>
          <t>No</t>
        </is>
      </c>
      <c r="M44" s="4" t="inlineStr">
        <is>
          <t>0</t>
        </is>
      </c>
      <c r="N44" s="4" t="inlineStr">
        <is>
          <t>https://en.wikipedia.org/wiki/2026_FIFA_World_Cup_Group_H</t>
        </is>
      </c>
    </row>
    <row r="45">
      <c r="A45" s="4" t="inlineStr">
        <is>
          <t>M-2026-046</t>
        </is>
      </c>
      <c r="B45" s="4" t="inlineStr">
        <is>
          <t>2026</t>
        </is>
      </c>
      <c r="C45" s="4" t="inlineStr">
        <is>
          <t>GS</t>
        </is>
      </c>
      <c r="D45" s="4" t="inlineStr">
        <is>
          <t>H</t>
        </is>
      </c>
      <c r="E45" s="4" t="inlineStr">
        <is>
          <t>2</t>
        </is>
      </c>
      <c r="F45" s="4" t="inlineStr">
        <is>
          <t>Jun 21, 2026</t>
        </is>
      </c>
      <c r="G45" s="4" t="inlineStr">
        <is>
          <t>Uruguay</t>
        </is>
      </c>
      <c r="H45" s="4" t="inlineStr">
        <is>
          <t>Cabo Verde</t>
        </is>
      </c>
      <c r="I45" s="4" t="inlineStr">
        <is>
          <t>-1</t>
        </is>
      </c>
      <c r="J45" s="4" t="inlineStr">
        <is>
          <t>2</t>
        </is>
      </c>
      <c r="K45" s="4" t="inlineStr">
        <is>
          <t>2-2</t>
        </is>
      </c>
      <c r="L45" s="4" t="inlineStr">
        <is>
          <t>0</t>
        </is>
      </c>
      <c r="M45" s="4" t="inlineStr">
        <is>
          <t>FALSE</t>
        </is>
      </c>
      <c r="N45" s="4" t="inlineStr">
        <is>
          <t>https://en.wikipedia.org/wiki/2026_FIFA_World_Cup_Group_H</t>
        </is>
      </c>
    </row>
    <row r="46">
      <c r="A46" s="4" t="inlineStr">
        <is>
          <t>M-2026-051</t>
        </is>
      </c>
      <c r="B46" s="4" t="inlineStr">
        <is>
          <t>2026</t>
        </is>
      </c>
      <c r="C46" s="4" t="inlineStr">
        <is>
          <t>group stage</t>
        </is>
      </c>
      <c r="D46" s="4" t="inlineStr">
        <is>
          <t>I</t>
        </is>
      </c>
      <c r="E46" s="4" t="inlineStr">
        <is>
          <t>2</t>
        </is>
      </c>
      <c r="F46" s="4" t="inlineStr">
        <is>
          <t>2026-06-22</t>
        </is>
      </c>
      <c r="G46" s="4" t="inlineStr">
        <is>
          <t>FRANCE</t>
        </is>
      </c>
      <c r="H46" s="4" t="inlineStr">
        <is>
          <t>Iraq</t>
        </is>
      </c>
      <c r="I46" s="4" t="n"/>
      <c r="J46" s="4" t="inlineStr">
        <is>
          <t>0</t>
        </is>
      </c>
      <c r="K46" s="4" t="inlineStr">
        <is>
          <t>3–0</t>
        </is>
      </c>
      <c r="L46" s="4" t="inlineStr">
        <is>
          <t>FALSE</t>
        </is>
      </c>
      <c r="M46" s="4" t="inlineStr">
        <is>
          <t>no</t>
        </is>
      </c>
      <c r="N46" s="4" t="inlineStr">
        <is>
          <t>https://en.wikipedia.org/wiki/2026_FIFA_World_Cup_Group_I</t>
        </is>
      </c>
    </row>
    <row r="47">
      <c r="A47" s="4" t="inlineStr">
        <is>
          <t>M-2026-052</t>
        </is>
      </c>
      <c r="B47" s="4" t="inlineStr">
        <is>
          <t>2026</t>
        </is>
      </c>
      <c r="C47" s="4" t="inlineStr">
        <is>
          <t>fase de grupos</t>
        </is>
      </c>
      <c r="D47" s="4" t="inlineStr">
        <is>
          <t>Grupo I</t>
        </is>
      </c>
      <c r="E47" s="4" t="inlineStr">
        <is>
          <t>2</t>
        </is>
      </c>
      <c r="F47" s="4" t="inlineStr">
        <is>
          <t>22/06/2026</t>
        </is>
      </c>
      <c r="G47" s="4" t="inlineStr">
        <is>
          <t>Norway</t>
        </is>
      </c>
      <c r="H47" s="4" t="inlineStr">
        <is>
          <t>Senegal</t>
        </is>
      </c>
      <c r="I47" s="4" t="inlineStr">
        <is>
          <t>3</t>
        </is>
      </c>
      <c r="J47" s="4" t="inlineStr">
        <is>
          <t>2</t>
        </is>
      </c>
      <c r="K47" s="4" t="inlineStr">
        <is>
          <t>3 : 2</t>
        </is>
      </c>
      <c r="L47" s="4" t="inlineStr">
        <is>
          <t>no</t>
        </is>
      </c>
      <c r="M47" s="4" t="inlineStr">
        <is>
          <t>No</t>
        </is>
      </c>
      <c r="N47" s="4" t="inlineStr">
        <is>
          <t>https://en.wikipedia.org/wiki/2026_FIFA_World_Cup_Group_I</t>
        </is>
      </c>
    </row>
    <row r="48">
      <c r="A48" s="4" t="inlineStr">
        <is>
          <t>M-2026-057</t>
        </is>
      </c>
      <c r="B48" s="4" t="inlineStr">
        <is>
          <t>2026</t>
        </is>
      </c>
      <c r="C48" s="4" t="inlineStr">
        <is>
          <t>GS</t>
        </is>
      </c>
      <c r="D48" s="4" t="inlineStr">
        <is>
          <t>group-j</t>
        </is>
      </c>
      <c r="E48" s="4" t="inlineStr">
        <is>
          <t>2</t>
        </is>
      </c>
      <c r="F48" s="4" t="inlineStr">
        <is>
          <t>06/22/2026</t>
        </is>
      </c>
      <c r="G48" s="4" t="inlineStr">
        <is>
          <t>Argentina</t>
        </is>
      </c>
      <c r="H48" s="4" t="inlineStr">
        <is>
          <t>Austria</t>
        </is>
      </c>
      <c r="I48" s="4" t="inlineStr">
        <is>
          <t>2</t>
        </is>
      </c>
      <c r="J48" s="4" t="inlineStr">
        <is>
          <t>s/d</t>
        </is>
      </c>
      <c r="K48" s="4" t="inlineStr">
        <is>
          <t>2 x 0</t>
        </is>
      </c>
      <c r="L48" s="4" t="inlineStr">
        <is>
          <t>No</t>
        </is>
      </c>
      <c r="M48" s="4" t="inlineStr">
        <is>
          <t>0</t>
        </is>
      </c>
      <c r="N48" s="4" t="inlineStr">
        <is>
          <t>https://en.wikipedia.org/wiki/2026_FIFA_World_Cup_Group_J</t>
        </is>
      </c>
    </row>
    <row r="49">
      <c r="A49" s="4" t="inlineStr">
        <is>
          <t>M-2026-058</t>
        </is>
      </c>
      <c r="B49" s="4" t="inlineStr">
        <is>
          <t>2026</t>
        </is>
      </c>
      <c r="C49" s="4" t="inlineStr">
        <is>
          <t>group stage</t>
        </is>
      </c>
      <c r="D49" s="4" t="inlineStr">
        <is>
          <t>J</t>
        </is>
      </c>
      <c r="E49" s="4" t="inlineStr">
        <is>
          <t>2</t>
        </is>
      </c>
      <c r="F49" s="4" t="inlineStr">
        <is>
          <t>22-06-26</t>
        </is>
      </c>
      <c r="G49" s="4" t="inlineStr">
        <is>
          <t>Jordan</t>
        </is>
      </c>
      <c r="H49" s="4" t="inlineStr">
        <is>
          <t>Algeria</t>
        </is>
      </c>
      <c r="I49" s="4" t="inlineStr">
        <is>
          <t>1</t>
        </is>
      </c>
      <c r="J49" s="4" t="inlineStr">
        <is>
          <t>2</t>
        </is>
      </c>
      <c r="K49" s="4" t="inlineStr">
        <is>
          <t>1—2</t>
        </is>
      </c>
      <c r="L49" s="4" t="inlineStr">
        <is>
          <t>0</t>
        </is>
      </c>
      <c r="M49" s="4" t="inlineStr">
        <is>
          <t>FALSE</t>
        </is>
      </c>
      <c r="N49" s="4" t="inlineStr">
        <is>
          <t>https://en.wikipedia.org/wiki/2026_FIFA_World_Cup_Group_J</t>
        </is>
      </c>
    </row>
    <row r="50">
      <c r="A50" s="4" t="inlineStr">
        <is>
          <t>M-2026-063</t>
        </is>
      </c>
      <c r="B50" s="4" t="inlineStr">
        <is>
          <t>2026</t>
        </is>
      </c>
      <c r="C50" s="4" t="inlineStr">
        <is>
          <t>fase de grupos</t>
        </is>
      </c>
      <c r="D50" s="4" t="inlineStr">
        <is>
          <t>K</t>
        </is>
      </c>
      <c r="E50" s="4" t="inlineStr">
        <is>
          <t>2</t>
        </is>
      </c>
      <c r="F50" s="4" t="inlineStr">
        <is>
          <t>Jun 23, 2026</t>
        </is>
      </c>
      <c r="G50" s="4" t="inlineStr">
        <is>
          <t>Portugal</t>
        </is>
      </c>
      <c r="H50" s="4" t="inlineStr">
        <is>
          <t>Uzbekistan</t>
        </is>
      </c>
      <c r="I50" s="4" t="inlineStr">
        <is>
          <t>5</t>
        </is>
      </c>
      <c r="J50" s="4" t="inlineStr">
        <is>
          <t>0</t>
        </is>
      </c>
      <c r="K50" s="4" t="inlineStr">
        <is>
          <t>5-0</t>
        </is>
      </c>
      <c r="L50" s="4" t="inlineStr">
        <is>
          <t>FALSE</t>
        </is>
      </c>
      <c r="M50" s="4" t="inlineStr">
        <is>
          <t>no</t>
        </is>
      </c>
      <c r="N50" s="4" t="inlineStr">
        <is>
          <t>https://en.wikipedia.org/wiki/2026_FIFA_World_Cup_Group_K</t>
        </is>
      </c>
    </row>
    <row r="51">
      <c r="A51" s="4" t="inlineStr">
        <is>
          <t>M-2026-064</t>
        </is>
      </c>
      <c r="B51" s="4" t="inlineStr">
        <is>
          <t>2026</t>
        </is>
      </c>
      <c r="C51" s="4" t="inlineStr">
        <is>
          <t>GS</t>
        </is>
      </c>
      <c r="D51" s="4" t="inlineStr">
        <is>
          <t>Grupo K</t>
        </is>
      </c>
      <c r="E51" s="4" t="inlineStr">
        <is>
          <t>2</t>
        </is>
      </c>
      <c r="F51" s="4" t="inlineStr">
        <is>
          <t>2026-06-23</t>
        </is>
      </c>
      <c r="G51" s="4" t="inlineStr">
        <is>
          <t>Colombia</t>
        </is>
      </c>
      <c r="H51" s="4" t="inlineStr">
        <is>
          <t>Congo DR</t>
        </is>
      </c>
      <c r="I51" s="4" t="inlineStr">
        <is>
          <t>1</t>
        </is>
      </c>
      <c r="J51" s="4" t="inlineStr">
        <is>
          <t>0</t>
        </is>
      </c>
      <c r="K51" s="4" t="inlineStr">
        <is>
          <t>1–0</t>
        </is>
      </c>
      <c r="L51" s="4" t="inlineStr">
        <is>
          <t>no</t>
        </is>
      </c>
      <c r="M51" s="4" t="inlineStr">
        <is>
          <t>No</t>
        </is>
      </c>
      <c r="N51" s="4" t="inlineStr">
        <is>
          <t>https://en.wikipedia.org/wiki/2026_FIFA_World_Cup_Group_K</t>
        </is>
      </c>
    </row>
    <row r="52">
      <c r="A52" s="4" t="inlineStr">
        <is>
          <t>M-2026-069</t>
        </is>
      </c>
      <c r="B52" s="4" t="inlineStr">
        <is>
          <t>2026</t>
        </is>
      </c>
      <c r="C52" s="4" t="inlineStr">
        <is>
          <t>group stage</t>
        </is>
      </c>
      <c r="D52" s="4" t="inlineStr">
        <is>
          <t>group-l</t>
        </is>
      </c>
      <c r="E52" s="4" t="inlineStr">
        <is>
          <t>2</t>
        </is>
      </c>
      <c r="F52" s="4" t="inlineStr">
        <is>
          <t>23/06/2026</t>
        </is>
      </c>
      <c r="G52" s="4" t="inlineStr">
        <is>
          <t>England</t>
        </is>
      </c>
      <c r="H52" s="4" t="inlineStr">
        <is>
          <t>Ghana</t>
        </is>
      </c>
      <c r="I52" s="4" t="inlineStr">
        <is>
          <t>0</t>
        </is>
      </c>
      <c r="J52" s="4" t="inlineStr">
        <is>
          <t>0</t>
        </is>
      </c>
      <c r="K52" s="4" t="inlineStr">
        <is>
          <t>0 : 0</t>
        </is>
      </c>
      <c r="L52" s="4" t="inlineStr">
        <is>
          <t>No</t>
        </is>
      </c>
      <c r="M52" s="4" t="inlineStr">
        <is>
          <t>0</t>
        </is>
      </c>
      <c r="N52" s="4" t="inlineStr">
        <is>
          <t>https://en.wikipedia.org/wiki/2026_FIFA_World_Cup_Group_L</t>
        </is>
      </c>
    </row>
    <row r="53">
      <c r="A53" s="4" t="inlineStr">
        <is>
          <t>M-2026-070</t>
        </is>
      </c>
      <c r="B53" s="4" t="inlineStr">
        <is>
          <t>2026</t>
        </is>
      </c>
      <c r="C53" s="4" t="inlineStr">
        <is>
          <t>fase de grupos</t>
        </is>
      </c>
      <c r="D53" s="4" t="inlineStr">
        <is>
          <t>L</t>
        </is>
      </c>
      <c r="E53" s="4" t="inlineStr">
        <is>
          <t>2</t>
        </is>
      </c>
      <c r="F53" s="4" t="inlineStr">
        <is>
          <t>06/23/2026</t>
        </is>
      </c>
      <c r="G53" s="4" t="inlineStr">
        <is>
          <t>Panama</t>
        </is>
      </c>
      <c r="H53" s="4" t="inlineStr">
        <is>
          <t>Croatia</t>
        </is>
      </c>
      <c r="I53" s="4" t="inlineStr">
        <is>
          <t>0</t>
        </is>
      </c>
      <c r="J53" s="4" t="inlineStr">
        <is>
          <t>1</t>
        </is>
      </c>
      <c r="K53" s="4" t="inlineStr">
        <is>
          <t>0 x 1</t>
        </is>
      </c>
      <c r="L53" s="4" t="inlineStr">
        <is>
          <t>0</t>
        </is>
      </c>
      <c r="M53" s="4" t="inlineStr">
        <is>
          <t>FALSE</t>
        </is>
      </c>
      <c r="N53" s="4" t="inlineStr">
        <is>
          <t>https://en.wikipedia.org/wiki/2026_FIFA_World_Cup_Group_L</t>
        </is>
      </c>
    </row>
    <row r="54">
      <c r="A54" s="4" t="inlineStr">
        <is>
          <t>M-2026-005</t>
        </is>
      </c>
      <c r="B54" s="4" t="inlineStr">
        <is>
          <t>2026</t>
        </is>
      </c>
      <c r="C54" s="4" t="inlineStr">
        <is>
          <t>GS</t>
        </is>
      </c>
      <c r="D54" s="4" t="inlineStr">
        <is>
          <t>A</t>
        </is>
      </c>
      <c r="E54" s="4" t="inlineStr">
        <is>
          <t>3</t>
        </is>
      </c>
      <c r="F54" s="4" t="inlineStr">
        <is>
          <t>24-06-26</t>
        </is>
      </c>
      <c r="G54" s="4" t="inlineStr">
        <is>
          <t>Czechia</t>
        </is>
      </c>
      <c r="H54" s="4" t="inlineStr">
        <is>
          <t>México</t>
        </is>
      </c>
      <c r="I54" s="4" t="inlineStr">
        <is>
          <t>0</t>
        </is>
      </c>
      <c r="J54" s="4" t="inlineStr">
        <is>
          <t>3</t>
        </is>
      </c>
      <c r="K54" s="4" t="inlineStr">
        <is>
          <t>0—3</t>
        </is>
      </c>
      <c r="L54" s="4" t="inlineStr">
        <is>
          <t>FALSE</t>
        </is>
      </c>
      <c r="M54" s="4" t="inlineStr">
        <is>
          <t>si</t>
        </is>
      </c>
      <c r="N54" s="4" t="inlineStr">
        <is>
          <t>https://en.wikipedia.org/wiki/2026_FIFA_World_Cup_Group_A</t>
        </is>
      </c>
    </row>
    <row r="55">
      <c r="A55" s="4" t="inlineStr">
        <is>
          <t>M-2026-006</t>
        </is>
      </c>
      <c r="B55" s="4" t="inlineStr">
        <is>
          <t>2026</t>
        </is>
      </c>
      <c r="C55" s="4" t="inlineStr">
        <is>
          <t>group stage</t>
        </is>
      </c>
      <c r="D55" s="4" t="inlineStr">
        <is>
          <t>Grupo A</t>
        </is>
      </c>
      <c r="E55" s="4" t="inlineStr">
        <is>
          <t>3</t>
        </is>
      </c>
      <c r="F55" s="4" t="inlineStr">
        <is>
          <t>Jun 24, 2026</t>
        </is>
      </c>
      <c r="G55" s="4" t="inlineStr">
        <is>
          <t>South Africa</t>
        </is>
      </c>
      <c r="H55" s="4" t="inlineStr">
        <is>
          <t>Korea Rep.</t>
        </is>
      </c>
      <c r="I55" s="4" t="inlineStr">
        <is>
          <t>1</t>
        </is>
      </c>
      <c r="J55" s="4" t="inlineStr">
        <is>
          <t>0</t>
        </is>
      </c>
      <c r="K55" s="4" t="inlineStr">
        <is>
          <t>1-0</t>
        </is>
      </c>
      <c r="L55" s="4" t="inlineStr">
        <is>
          <t>no</t>
        </is>
      </c>
      <c r="M55" s="4" t="inlineStr">
        <is>
          <t>No</t>
        </is>
      </c>
      <c r="N55" s="4" t="inlineStr">
        <is>
          <t>https://en.wikipedia.org/wiki/2026_FIFA_World_Cup_Group_A</t>
        </is>
      </c>
    </row>
    <row r="56">
      <c r="A56" s="4" t="inlineStr">
        <is>
          <t>M-2026-011</t>
        </is>
      </c>
      <c r="B56" s="4" t="inlineStr">
        <is>
          <t>2026</t>
        </is>
      </c>
      <c r="C56" s="4" t="inlineStr">
        <is>
          <t>fase de grupos</t>
        </is>
      </c>
      <c r="D56" s="4" t="inlineStr">
        <is>
          <t>group-b</t>
        </is>
      </c>
      <c r="E56" s="4" t="inlineStr">
        <is>
          <t>3</t>
        </is>
      </c>
      <c r="F56" s="4" t="inlineStr">
        <is>
          <t>2026-06-24</t>
        </is>
      </c>
      <c r="G56" s="4" t="inlineStr">
        <is>
          <t>Switzerland</t>
        </is>
      </c>
      <c r="H56" s="4" t="inlineStr">
        <is>
          <t>Canada</t>
        </is>
      </c>
      <c r="I56" s="4" t="n"/>
      <c r="J56" s="4" t="inlineStr">
        <is>
          <t>1</t>
        </is>
      </c>
      <c r="K56" s="4" t="inlineStr">
        <is>
          <t>2–1</t>
        </is>
      </c>
      <c r="L56" s="4" t="inlineStr">
        <is>
          <t>No</t>
        </is>
      </c>
      <c r="M56" s="4" t="inlineStr">
        <is>
          <t>1</t>
        </is>
      </c>
      <c r="N56" s="4" t="inlineStr">
        <is>
          <t>https://en.wikipedia.org/wiki/2026_FIFA_World_Cup_Group_B</t>
        </is>
      </c>
    </row>
    <row r="57">
      <c r="A57" s="4" t="inlineStr">
        <is>
          <t>M-2026-012</t>
        </is>
      </c>
      <c r="B57" s="4" t="inlineStr">
        <is>
          <t>2026</t>
        </is>
      </c>
      <c r="C57" s="4" t="inlineStr">
        <is>
          <t>GS</t>
        </is>
      </c>
      <c r="D57" s="4" t="inlineStr">
        <is>
          <t>B</t>
        </is>
      </c>
      <c r="E57" s="4" t="inlineStr">
        <is>
          <t>3</t>
        </is>
      </c>
      <c r="F57" s="4" t="inlineStr">
        <is>
          <t>24/06/2026</t>
        </is>
      </c>
      <c r="G57" s="4" t="inlineStr">
        <is>
          <t>Bosnia and Herzegovina</t>
        </is>
      </c>
      <c r="H57" s="4" t="inlineStr">
        <is>
          <t>Qatar</t>
        </is>
      </c>
      <c r="I57" s="4" t="inlineStr">
        <is>
          <t>3</t>
        </is>
      </c>
      <c r="J57" s="4" t="inlineStr">
        <is>
          <t>1</t>
        </is>
      </c>
      <c r="K57" s="4" t="inlineStr">
        <is>
          <t>3 : 1</t>
        </is>
      </c>
      <c r="L57" s="4" t="inlineStr">
        <is>
          <t>0</t>
        </is>
      </c>
      <c r="M57" s="4" t="inlineStr">
        <is>
          <t>FALSE</t>
        </is>
      </c>
      <c r="N57" s="4" t="inlineStr">
        <is>
          <t>https://en.wikipedia.org/wiki/2026_FIFA_World_Cup_Group_B</t>
        </is>
      </c>
    </row>
    <row r="58">
      <c r="A58" s="4" t="inlineStr">
        <is>
          <t>M-2026-017</t>
        </is>
      </c>
      <c r="B58" s="4" t="inlineStr">
        <is>
          <t>2026</t>
        </is>
      </c>
      <c r="C58" s="4" t="inlineStr">
        <is>
          <t>group stage</t>
        </is>
      </c>
      <c r="D58" s="4" t="inlineStr">
        <is>
          <t>C</t>
        </is>
      </c>
      <c r="E58" s="4" t="inlineStr">
        <is>
          <t>3</t>
        </is>
      </c>
      <c r="F58" s="4" t="inlineStr">
        <is>
          <t>06/25/2026</t>
        </is>
      </c>
      <c r="G58" s="4" t="inlineStr">
        <is>
          <t>Scotland</t>
        </is>
      </c>
      <c r="H58" s="4" t="inlineStr">
        <is>
          <t>Brazil</t>
        </is>
      </c>
      <c r="I58" s="4" t="inlineStr">
        <is>
          <t>0</t>
        </is>
      </c>
      <c r="J58" s="4" t="inlineStr">
        <is>
          <t>3</t>
        </is>
      </c>
      <c r="K58" s="4" t="inlineStr">
        <is>
          <t>0 x 3</t>
        </is>
      </c>
      <c r="L58" s="4" t="inlineStr">
        <is>
          <t>FALSE</t>
        </is>
      </c>
      <c r="M58" s="4" t="inlineStr">
        <is>
          <t>no</t>
        </is>
      </c>
      <c r="N58" s="4" t="inlineStr">
        <is>
          <t>https://en.wikipedia.org/wiki/2026_FIFA_World_Cup_Group_C</t>
        </is>
      </c>
    </row>
    <row r="59">
      <c r="A59" s="4" t="inlineStr">
        <is>
          <t>M-2026-018</t>
        </is>
      </c>
      <c r="B59" s="4" t="inlineStr">
        <is>
          <t>2026</t>
        </is>
      </c>
      <c r="C59" s="4" t="inlineStr">
        <is>
          <t>fase de grupos</t>
        </is>
      </c>
      <c r="D59" s="4" t="inlineStr">
        <is>
          <t>Grupo C</t>
        </is>
      </c>
      <c r="E59" s="4" t="inlineStr">
        <is>
          <t>3</t>
        </is>
      </c>
      <c r="F59" s="4" t="inlineStr">
        <is>
          <t>25-06-26</t>
        </is>
      </c>
      <c r="G59" s="4" t="inlineStr">
        <is>
          <t>Morocco</t>
        </is>
      </c>
      <c r="H59" s="4" t="inlineStr">
        <is>
          <t>HAITI</t>
        </is>
      </c>
      <c r="I59" s="4" t="inlineStr">
        <is>
          <t>4</t>
        </is>
      </c>
      <c r="J59" s="4" t="inlineStr">
        <is>
          <t>2</t>
        </is>
      </c>
      <c r="K59" s="4" t="inlineStr">
        <is>
          <t>4—2</t>
        </is>
      </c>
      <c r="L59" s="4" t="inlineStr">
        <is>
          <t>no</t>
        </is>
      </c>
      <c r="M59" s="4" t="inlineStr">
        <is>
          <t>No</t>
        </is>
      </c>
      <c r="N59" s="4" t="inlineStr">
        <is>
          <t>https://en.wikipedia.org/wiki/2026_FIFA_World_Cup_Group_C</t>
        </is>
      </c>
    </row>
    <row r="60">
      <c r="A60" s="4" t="inlineStr">
        <is>
          <t>M-2026-023</t>
        </is>
      </c>
      <c r="B60" s="4" t="inlineStr">
        <is>
          <t>2026</t>
        </is>
      </c>
      <c r="C60" s="4" t="inlineStr">
        <is>
          <t>GS</t>
        </is>
      </c>
      <c r="D60" s="4" t="inlineStr">
        <is>
          <t>group-d</t>
        </is>
      </c>
      <c r="E60" s="4" t="inlineStr">
        <is>
          <t>3</t>
        </is>
      </c>
      <c r="F60" s="4" t="inlineStr">
        <is>
          <t>Jun 25, 2026</t>
        </is>
      </c>
      <c r="G60" s="4" t="inlineStr">
        <is>
          <t>Türkiye</t>
        </is>
      </c>
      <c r="H60" s="4" t="inlineStr">
        <is>
          <t>united states of america</t>
        </is>
      </c>
      <c r="I60" s="4" t="inlineStr">
        <is>
          <t>3</t>
        </is>
      </c>
      <c r="J60" s="4" t="inlineStr">
        <is>
          <t>2</t>
        </is>
      </c>
      <c r="K60" s="4" t="inlineStr">
        <is>
          <t>3-2</t>
        </is>
      </c>
      <c r="L60" s="4" t="inlineStr">
        <is>
          <t>No</t>
        </is>
      </c>
      <c r="M60" s="4" t="inlineStr">
        <is>
          <t>1</t>
        </is>
      </c>
      <c r="N60" s="4" t="inlineStr">
        <is>
          <t>https://en.wikipedia.org/wiki/2026_FIFA_World_Cup_Group_D</t>
        </is>
      </c>
    </row>
    <row r="61">
      <c r="A61" s="4" t="inlineStr">
        <is>
          <t>M-2026-024</t>
        </is>
      </c>
      <c r="B61" s="4" t="inlineStr">
        <is>
          <t>2026</t>
        </is>
      </c>
      <c r="C61" s="4" t="inlineStr">
        <is>
          <t>group stage</t>
        </is>
      </c>
      <c r="D61" s="4" t="inlineStr">
        <is>
          <t>D</t>
        </is>
      </c>
      <c r="E61" s="4" t="inlineStr">
        <is>
          <t>3</t>
        </is>
      </c>
      <c r="F61" s="4" t="inlineStr">
        <is>
          <t>N/D</t>
        </is>
      </c>
      <c r="G61" s="4" t="inlineStr">
        <is>
          <t>Paraguay</t>
        </is>
      </c>
      <c r="H61" s="4" t="inlineStr">
        <is>
          <t>Australia</t>
        </is>
      </c>
      <c r="I61" s="4" t="inlineStr">
        <is>
          <t>0</t>
        </is>
      </c>
      <c r="J61" s="4" t="inlineStr">
        <is>
          <t>0</t>
        </is>
      </c>
      <c r="K61" s="4" t="inlineStr">
        <is>
          <t>0–0</t>
        </is>
      </c>
      <c r="L61" s="4" t="inlineStr">
        <is>
          <t>0</t>
        </is>
      </c>
      <c r="M61" s="4" t="inlineStr">
        <is>
          <t>FALSE</t>
        </is>
      </c>
      <c r="N61" s="4" t="inlineStr">
        <is>
          <t>https://en.wikipedia.org/wiki/2026_FIFA_World_Cup_Group_D</t>
        </is>
      </c>
    </row>
    <row r="62">
      <c r="A62" s="4" t="inlineStr">
        <is>
          <t>M-2026-029</t>
        </is>
      </c>
      <c r="B62" s="4" t="inlineStr">
        <is>
          <t>2026</t>
        </is>
      </c>
      <c r="C62" s="4" t="inlineStr">
        <is>
          <t>fase de grupos</t>
        </is>
      </c>
      <c r="D62" s="4" t="inlineStr">
        <is>
          <t>E</t>
        </is>
      </c>
      <c r="E62" s="4" t="inlineStr">
        <is>
          <t>3</t>
        </is>
      </c>
      <c r="F62" s="4" t="inlineStr">
        <is>
          <t>25/06/2026</t>
        </is>
      </c>
      <c r="G62" s="4" t="inlineStr">
        <is>
          <t>Curaçao</t>
        </is>
      </c>
      <c r="H62" s="4" t="inlineStr">
        <is>
          <t>Ivory Coast</t>
        </is>
      </c>
      <c r="I62" s="4" t="inlineStr">
        <is>
          <t>0</t>
        </is>
      </c>
      <c r="J62" s="4" t="inlineStr">
        <is>
          <t>s/d</t>
        </is>
      </c>
      <c r="K62" s="4" t="inlineStr">
        <is>
          <t>0 : 2</t>
        </is>
      </c>
      <c r="L62" s="4" t="inlineStr">
        <is>
          <t>FALSE</t>
        </is>
      </c>
      <c r="M62" s="4" t="inlineStr">
        <is>
          <t>no</t>
        </is>
      </c>
      <c r="N62" s="4" t="inlineStr">
        <is>
          <t>https://en.wikipedia.org/wiki/2026_FIFA_World_Cup_Group_E</t>
        </is>
      </c>
    </row>
    <row r="63">
      <c r="A63" s="4" t="inlineStr">
        <is>
          <t>M-2026-030</t>
        </is>
      </c>
      <c r="B63" s="4" t="inlineStr">
        <is>
          <t>2026</t>
        </is>
      </c>
      <c r="C63" s="4" t="inlineStr">
        <is>
          <t>GS</t>
        </is>
      </c>
      <c r="D63" s="4" t="inlineStr">
        <is>
          <t>Grupo E</t>
        </is>
      </c>
      <c r="E63" s="4" t="inlineStr">
        <is>
          <t>3</t>
        </is>
      </c>
      <c r="F63" s="4" t="inlineStr">
        <is>
          <t>06/25/2026</t>
        </is>
      </c>
      <c r="G63" s="4" t="inlineStr">
        <is>
          <t>ECUADOR</t>
        </is>
      </c>
      <c r="H63" s="4" t="inlineStr">
        <is>
          <t>Deutschland</t>
        </is>
      </c>
      <c r="I63" s="4" t="inlineStr">
        <is>
          <t>2</t>
        </is>
      </c>
      <c r="J63" s="4" t="inlineStr">
        <is>
          <t>1</t>
        </is>
      </c>
      <c r="K63" s="4" t="inlineStr">
        <is>
          <t>2 x 1</t>
        </is>
      </c>
      <c r="L63" s="4" t="inlineStr">
        <is>
          <t>no</t>
        </is>
      </c>
      <c r="M63" s="4" t="inlineStr">
        <is>
          <t>No</t>
        </is>
      </c>
      <c r="N63" s="4" t="inlineStr">
        <is>
          <t>https://en.wikipedia.org/wiki/2026_FIFA_World_Cup_Group_E</t>
        </is>
      </c>
    </row>
    <row r="64">
      <c r="A64" s="4" t="inlineStr">
        <is>
          <t>M-2026-035</t>
        </is>
      </c>
      <c r="B64" s="4" t="inlineStr">
        <is>
          <t>2026</t>
        </is>
      </c>
      <c r="C64" s="4" t="inlineStr">
        <is>
          <t>group stage</t>
        </is>
      </c>
      <c r="D64" s="4" t="inlineStr">
        <is>
          <t>group-f</t>
        </is>
      </c>
      <c r="E64" s="4" t="inlineStr">
        <is>
          <t>3</t>
        </is>
      </c>
      <c r="F64" s="4" t="inlineStr">
        <is>
          <t>26-06-26</t>
        </is>
      </c>
      <c r="G64" s="4" t="inlineStr">
        <is>
          <t>japan</t>
        </is>
      </c>
      <c r="H64" s="4" t="inlineStr">
        <is>
          <t>Sweden</t>
        </is>
      </c>
      <c r="I64" s="4" t="inlineStr">
        <is>
          <t>1</t>
        </is>
      </c>
      <c r="J64" s="4" t="inlineStr">
        <is>
          <t>1</t>
        </is>
      </c>
      <c r="K64" s="4" t="inlineStr">
        <is>
          <t>1—1</t>
        </is>
      </c>
      <c r="L64" s="4" t="inlineStr">
        <is>
          <t>No</t>
        </is>
      </c>
      <c r="M64" s="4" t="inlineStr">
        <is>
          <t>0</t>
        </is>
      </c>
      <c r="N64" s="4" t="inlineStr">
        <is>
          <t>https://en.wikipedia.org/wiki/2026_FIFA_World_Cup_Group_F</t>
        </is>
      </c>
    </row>
    <row r="65">
      <c r="A65" s="4" t="inlineStr">
        <is>
          <t>M-2026-036</t>
        </is>
      </c>
      <c r="B65" s="4" t="inlineStr">
        <is>
          <t>2026</t>
        </is>
      </c>
      <c r="C65" s="4" t="inlineStr">
        <is>
          <t>fase de grupos</t>
        </is>
      </c>
      <c r="D65" s="4" t="inlineStr">
        <is>
          <t>F</t>
        </is>
      </c>
      <c r="E65" s="4" t="inlineStr">
        <is>
          <t>3</t>
        </is>
      </c>
      <c r="F65" s="4" t="inlineStr">
        <is>
          <t>Jun 26, 2026</t>
        </is>
      </c>
      <c r="G65" s="4" t="inlineStr">
        <is>
          <t>Tunisia</t>
        </is>
      </c>
      <c r="H65" s="4" t="inlineStr">
        <is>
          <t>The Netherlands</t>
        </is>
      </c>
      <c r="I65" s="4" t="inlineStr">
        <is>
          <t>1</t>
        </is>
      </c>
      <c r="J65" s="4" t="inlineStr">
        <is>
          <t>3</t>
        </is>
      </c>
      <c r="K65" s="4" t="inlineStr">
        <is>
          <t>1-3</t>
        </is>
      </c>
      <c r="L65" s="4" t="inlineStr">
        <is>
          <t>0</t>
        </is>
      </c>
      <c r="M65" s="4" t="inlineStr">
        <is>
          <t>FALSE</t>
        </is>
      </c>
      <c r="N65" s="4" t="inlineStr">
        <is>
          <t>https://en.wikipedia.org/wiki/2026_FIFA_World_Cup_Group_F</t>
        </is>
      </c>
    </row>
    <row r="66">
      <c r="A66" s="4" t="inlineStr">
        <is>
          <t>M-2026-041</t>
        </is>
      </c>
      <c r="B66" s="4" t="inlineStr">
        <is>
          <t>2026</t>
        </is>
      </c>
      <c r="C66" s="4" t="inlineStr">
        <is>
          <t>GS</t>
        </is>
      </c>
      <c r="D66" s="4" t="inlineStr">
        <is>
          <t>G</t>
        </is>
      </c>
      <c r="E66" s="4" t="inlineStr">
        <is>
          <t>3</t>
        </is>
      </c>
      <c r="F66" s="4" t="inlineStr">
        <is>
          <t>2026-06-26</t>
        </is>
      </c>
      <c r="G66" s="4" t="inlineStr">
        <is>
          <t>Egypt</t>
        </is>
      </c>
      <c r="H66" s="4" t="inlineStr">
        <is>
          <t>IR Iran</t>
        </is>
      </c>
      <c r="I66" s="4" t="n"/>
      <c r="J66" s="4" t="inlineStr">
        <is>
          <t>1</t>
        </is>
      </c>
      <c r="K66" s="4" t="inlineStr">
        <is>
          <t>1–1</t>
        </is>
      </c>
      <c r="L66" s="4" t="inlineStr">
        <is>
          <t>FALSE</t>
        </is>
      </c>
      <c r="M66" s="4" t="inlineStr">
        <is>
          <t>no</t>
        </is>
      </c>
      <c r="N66" s="4" t="inlineStr">
        <is>
          <t>https://en.wikipedia.org/wiki/2026_FIFA_World_Cup_Group_G</t>
        </is>
      </c>
    </row>
    <row r="67">
      <c r="A67" s="4" t="inlineStr">
        <is>
          <t>M-2026-042</t>
        </is>
      </c>
      <c r="B67" s="4" t="inlineStr">
        <is>
          <t>2026</t>
        </is>
      </c>
      <c r="C67" s="4" t="inlineStr">
        <is>
          <t>group stage</t>
        </is>
      </c>
      <c r="D67" s="4" t="inlineStr">
        <is>
          <t>Grupo G</t>
        </is>
      </c>
      <c r="E67" s="4" t="inlineStr">
        <is>
          <t>3</t>
        </is>
      </c>
      <c r="F67" s="4" t="inlineStr">
        <is>
          <t>26/06/2026</t>
        </is>
      </c>
      <c r="G67" s="4" t="inlineStr">
        <is>
          <t>New Zealand</t>
        </is>
      </c>
      <c r="H67" s="4" t="inlineStr">
        <is>
          <t>Belgium</t>
        </is>
      </c>
      <c r="I67" s="4" t="inlineStr">
        <is>
          <t>1</t>
        </is>
      </c>
      <c r="J67" s="4" t="inlineStr">
        <is>
          <t>5</t>
        </is>
      </c>
      <c r="K67" s="4" t="inlineStr">
        <is>
          <t>1 : 5</t>
        </is>
      </c>
      <c r="L67" s="4" t="inlineStr">
        <is>
          <t>no</t>
        </is>
      </c>
      <c r="M67" s="4" t="inlineStr">
        <is>
          <t>No</t>
        </is>
      </c>
      <c r="N67" s="4" t="inlineStr">
        <is>
          <t>https://en.wikipedia.org/wiki/2026_FIFA_World_Cup_Group_G</t>
        </is>
      </c>
    </row>
    <row r="68">
      <c r="A68" s="4" t="inlineStr">
        <is>
          <t>M-2026-047</t>
        </is>
      </c>
      <c r="B68" s="4" t="inlineStr">
        <is>
          <t>2026</t>
        </is>
      </c>
      <c r="C68" s="4" t="inlineStr">
        <is>
          <t>fase de grupos</t>
        </is>
      </c>
      <c r="D68" s="4" t="inlineStr">
        <is>
          <t>group-h</t>
        </is>
      </c>
      <c r="E68" s="4" t="inlineStr">
        <is>
          <t>3</t>
        </is>
      </c>
      <c r="F68" s="4" t="inlineStr">
        <is>
          <t>06/26/2026</t>
        </is>
      </c>
      <c r="G68" s="4" t="inlineStr">
        <is>
          <t>Cape Verde</t>
        </is>
      </c>
      <c r="H68" s="4" t="inlineStr">
        <is>
          <t>Saudi-Arabia</t>
        </is>
      </c>
      <c r="I68" s="4" t="inlineStr">
        <is>
          <t>0</t>
        </is>
      </c>
      <c r="J68" s="4" t="inlineStr">
        <is>
          <t>0</t>
        </is>
      </c>
      <c r="K68" s="4" t="inlineStr">
        <is>
          <t>0 x 0</t>
        </is>
      </c>
      <c r="L68" s="4" t="inlineStr">
        <is>
          <t>No</t>
        </is>
      </c>
      <c r="M68" s="4" t="inlineStr">
        <is>
          <t>0</t>
        </is>
      </c>
      <c r="N68" s="4" t="inlineStr">
        <is>
          <t>https://en.wikipedia.org/wiki/2026_FIFA_World_Cup_Group_H</t>
        </is>
      </c>
    </row>
    <row r="69">
      <c r="A69" s="4" t="inlineStr">
        <is>
          <t>M-2026-048</t>
        </is>
      </c>
      <c r="B69" s="4" t="inlineStr">
        <is>
          <t>2026</t>
        </is>
      </c>
      <c r="C69" s="4" t="inlineStr">
        <is>
          <t>GS</t>
        </is>
      </c>
      <c r="D69" s="4" t="inlineStr">
        <is>
          <t>H</t>
        </is>
      </c>
      <c r="E69" s="4" t="inlineStr">
        <is>
          <t>3</t>
        </is>
      </c>
      <c r="F69" s="4" t="inlineStr">
        <is>
          <t>26-06-26</t>
        </is>
      </c>
      <c r="G69" s="4" t="inlineStr">
        <is>
          <t>Uruguay</t>
        </is>
      </c>
      <c r="H69" s="4" t="inlineStr">
        <is>
          <t>España</t>
        </is>
      </c>
      <c r="I69" s="4" t="inlineStr">
        <is>
          <t>0</t>
        </is>
      </c>
      <c r="J69" s="4" t="inlineStr">
        <is>
          <t>1</t>
        </is>
      </c>
      <c r="K69" s="4" t="inlineStr">
        <is>
          <t>0—1</t>
        </is>
      </c>
      <c r="L69" s="4" t="inlineStr">
        <is>
          <t>0</t>
        </is>
      </c>
      <c r="M69" s="4" t="inlineStr">
        <is>
          <t>FALSE</t>
        </is>
      </c>
      <c r="N69" s="4" t="inlineStr">
        <is>
          <t>https://en.wikipedia.org/wiki/2026_FIFA_World_Cup_Group_H</t>
        </is>
      </c>
    </row>
    <row r="70">
      <c r="A70" s="4" t="inlineStr">
        <is>
          <t>M-2026-053</t>
        </is>
      </c>
      <c r="B70" s="4" t="inlineStr">
        <is>
          <t>2026</t>
        </is>
      </c>
      <c r="C70" s="4" t="inlineStr">
        <is>
          <t>group stage</t>
        </is>
      </c>
      <c r="D70" s="4" t="inlineStr">
        <is>
          <t>I</t>
        </is>
      </c>
      <c r="E70" s="4" t="inlineStr">
        <is>
          <t>3</t>
        </is>
      </c>
      <c r="F70" s="4" t="inlineStr">
        <is>
          <t>Jun 26, 2026</t>
        </is>
      </c>
      <c r="G70" s="4" t="inlineStr">
        <is>
          <t>Norway</t>
        </is>
      </c>
      <c r="H70" s="4" t="inlineStr">
        <is>
          <t>France</t>
        </is>
      </c>
      <c r="I70" s="4" t="inlineStr">
        <is>
          <t>1</t>
        </is>
      </c>
      <c r="J70" s="4" t="inlineStr">
        <is>
          <t>4</t>
        </is>
      </c>
      <c r="K70" s="4" t="inlineStr">
        <is>
          <t>1-4</t>
        </is>
      </c>
      <c r="L70" s="4" t="inlineStr">
        <is>
          <t>FALSE</t>
        </is>
      </c>
      <c r="M70" s="4" t="inlineStr">
        <is>
          <t>no</t>
        </is>
      </c>
      <c r="N70" s="4" t="inlineStr">
        <is>
          <t>https://en.wikipedia.org/wiki/2026_FIFA_World_Cup_Group_I</t>
        </is>
      </c>
    </row>
    <row r="71">
      <c r="A71" s="4" t="inlineStr">
        <is>
          <t>M-2026-054</t>
        </is>
      </c>
      <c r="B71" s="4" t="inlineStr">
        <is>
          <t>2026</t>
        </is>
      </c>
      <c r="C71" s="4" t="inlineStr">
        <is>
          <t>fase de grupos</t>
        </is>
      </c>
      <c r="D71" s="4" t="inlineStr">
        <is>
          <t>Grupo I</t>
        </is>
      </c>
      <c r="E71" s="4" t="inlineStr">
        <is>
          <t>3</t>
        </is>
      </c>
      <c r="F71" s="4" t="inlineStr">
        <is>
          <t>2026-06-26</t>
        </is>
      </c>
      <c r="G71" s="4" t="inlineStr">
        <is>
          <t>Senegal</t>
        </is>
      </c>
      <c r="H71" s="4" t="inlineStr">
        <is>
          <t>Iraq</t>
        </is>
      </c>
      <c r="I71" s="4" t="inlineStr">
        <is>
          <t>5</t>
        </is>
      </c>
      <c r="J71" s="4" t="inlineStr">
        <is>
          <t>0</t>
        </is>
      </c>
      <c r="K71" s="4" t="inlineStr">
        <is>
          <t>5–0</t>
        </is>
      </c>
      <c r="L71" s="4" t="inlineStr">
        <is>
          <t>no</t>
        </is>
      </c>
      <c r="M71" s="4" t="inlineStr">
        <is>
          <t>No</t>
        </is>
      </c>
      <c r="N71" s="4" t="inlineStr">
        <is>
          <t>https://en.wikipedia.org/wiki/2026_FIFA_World_Cup_Group_I</t>
        </is>
      </c>
    </row>
    <row r="72">
      <c r="A72" s="4" t="inlineStr">
        <is>
          <t>M-2026-059</t>
        </is>
      </c>
      <c r="B72" s="4" t="inlineStr">
        <is>
          <t>2026</t>
        </is>
      </c>
      <c r="C72" s="4" t="inlineStr">
        <is>
          <t>GS</t>
        </is>
      </c>
      <c r="D72" s="4" t="inlineStr">
        <is>
          <t>group-j</t>
        </is>
      </c>
      <c r="E72" s="4" t="inlineStr">
        <is>
          <t>3</t>
        </is>
      </c>
      <c r="F72" s="4" t="inlineStr">
        <is>
          <t>27/06/2026</t>
        </is>
      </c>
      <c r="G72" s="4" t="inlineStr">
        <is>
          <t>Algeria</t>
        </is>
      </c>
      <c r="H72" s="4" t="inlineStr">
        <is>
          <t>Austria</t>
        </is>
      </c>
      <c r="I72" s="4" t="inlineStr">
        <is>
          <t>3</t>
        </is>
      </c>
      <c r="J72" s="4" t="inlineStr">
        <is>
          <t>3</t>
        </is>
      </c>
      <c r="K72" s="4" t="inlineStr">
        <is>
          <t>3 : 3</t>
        </is>
      </c>
      <c r="L72" s="4" t="inlineStr">
        <is>
          <t>No</t>
        </is>
      </c>
      <c r="M72" s="4" t="inlineStr">
        <is>
          <t>0</t>
        </is>
      </c>
      <c r="N72" s="4" t="inlineStr">
        <is>
          <t>https://en.wikipedia.org/wiki/2026_FIFA_World_Cup_Group_J</t>
        </is>
      </c>
    </row>
    <row r="73">
      <c r="A73" s="4" t="inlineStr">
        <is>
          <t>M-2026-060</t>
        </is>
      </c>
      <c r="B73" s="4" t="inlineStr">
        <is>
          <t>2026</t>
        </is>
      </c>
      <c r="C73" s="4" t="inlineStr">
        <is>
          <t>group stage</t>
        </is>
      </c>
      <c r="D73" s="4" t="inlineStr">
        <is>
          <t>J</t>
        </is>
      </c>
      <c r="E73" s="4" t="inlineStr">
        <is>
          <t>3</t>
        </is>
      </c>
      <c r="F73" s="4" t="inlineStr">
        <is>
          <t>06/27/2026</t>
        </is>
      </c>
      <c r="G73" s="4" t="inlineStr">
        <is>
          <t>Jordan</t>
        </is>
      </c>
      <c r="H73" s="4" t="inlineStr">
        <is>
          <t>Argentina</t>
        </is>
      </c>
      <c r="I73" s="4" t="inlineStr">
        <is>
          <t>1</t>
        </is>
      </c>
      <c r="J73" s="4" t="inlineStr">
        <is>
          <t>3</t>
        </is>
      </c>
      <c r="K73" s="4" t="inlineStr">
        <is>
          <t>1 x 3</t>
        </is>
      </c>
      <c r="L73" s="4" t="inlineStr">
        <is>
          <t>0</t>
        </is>
      </c>
      <c r="M73" s="4" t="inlineStr">
        <is>
          <t>FALSE</t>
        </is>
      </c>
      <c r="N73" s="4" t="inlineStr">
        <is>
          <t>https://en.wikipedia.org/wiki/2026_FIFA_World_Cup_Group_J</t>
        </is>
      </c>
    </row>
    <row r="74">
      <c r="A74" s="4" t="inlineStr">
        <is>
          <t>M-2026-065</t>
        </is>
      </c>
      <c r="B74" s="4" t="inlineStr">
        <is>
          <t>2026</t>
        </is>
      </c>
      <c r="C74" s="4" t="inlineStr">
        <is>
          <t>fase de grupos</t>
        </is>
      </c>
      <c r="D74" s="4" t="inlineStr">
        <is>
          <t>K</t>
        </is>
      </c>
      <c r="E74" s="4" t="inlineStr">
        <is>
          <t>3</t>
        </is>
      </c>
      <c r="F74" s="4" t="inlineStr">
        <is>
          <t>27-06-26</t>
        </is>
      </c>
      <c r="G74" s="4" t="inlineStr">
        <is>
          <t>Colombia</t>
        </is>
      </c>
      <c r="H74" s="4" t="inlineStr">
        <is>
          <t>Portugal</t>
        </is>
      </c>
      <c r="I74" s="4" t="inlineStr">
        <is>
          <t>0</t>
        </is>
      </c>
      <c r="J74" s="4" t="inlineStr">
        <is>
          <t>0</t>
        </is>
      </c>
      <c r="K74" s="4" t="inlineStr">
        <is>
          <t>0—0</t>
        </is>
      </c>
      <c r="L74" s="4" t="inlineStr">
        <is>
          <t>FALSE</t>
        </is>
      </c>
      <c r="M74" s="4" t="inlineStr">
        <is>
          <t>no</t>
        </is>
      </c>
      <c r="N74" s="4" t="inlineStr">
        <is>
          <t>https://en.wikipedia.org/wiki/2026_FIFA_World_Cup_Group_K</t>
        </is>
      </c>
    </row>
    <row r="75">
      <c r="A75" s="4" t="inlineStr">
        <is>
          <t>M-2026-066</t>
        </is>
      </c>
      <c r="B75" s="4" t="inlineStr">
        <is>
          <t>2026</t>
        </is>
      </c>
      <c r="C75" s="4" t="inlineStr">
        <is>
          <t>GS</t>
        </is>
      </c>
      <c r="D75" s="4" t="inlineStr">
        <is>
          <t>Grupo K</t>
        </is>
      </c>
      <c r="E75" s="4" t="inlineStr">
        <is>
          <t>3</t>
        </is>
      </c>
      <c r="F75" s="4" t="inlineStr">
        <is>
          <t>Jun 27, 2026</t>
        </is>
      </c>
      <c r="G75" s="4" t="inlineStr">
        <is>
          <t>Congo DR</t>
        </is>
      </c>
      <c r="H75" s="4" t="inlineStr">
        <is>
          <t>Uzbekistan</t>
        </is>
      </c>
      <c r="I75" s="4" t="inlineStr">
        <is>
          <t>3</t>
        </is>
      </c>
      <c r="J75" s="4" t="inlineStr">
        <is>
          <t>1</t>
        </is>
      </c>
      <c r="K75" s="4" t="inlineStr">
        <is>
          <t>3-1</t>
        </is>
      </c>
      <c r="L75" s="4" t="inlineStr">
        <is>
          <t>no</t>
        </is>
      </c>
      <c r="M75" s="4" t="inlineStr">
        <is>
          <t>No</t>
        </is>
      </c>
      <c r="N75" s="4" t="inlineStr">
        <is>
          <t>https://en.wikipedia.org/wiki/2026_FIFA_World_Cup_Group_K</t>
        </is>
      </c>
    </row>
    <row r="76">
      <c r="A76" s="4" t="inlineStr">
        <is>
          <t>M-2026-071</t>
        </is>
      </c>
      <c r="B76" s="4" t="inlineStr">
        <is>
          <t>2026</t>
        </is>
      </c>
      <c r="C76" s="4" t="inlineStr">
        <is>
          <t>group stage</t>
        </is>
      </c>
      <c r="D76" s="4" t="inlineStr">
        <is>
          <t>group-l</t>
        </is>
      </c>
      <c r="E76" s="4" t="inlineStr">
        <is>
          <t>3</t>
        </is>
      </c>
      <c r="F76" s="4" t="inlineStr">
        <is>
          <t>2026-06-27</t>
        </is>
      </c>
      <c r="G76" s="4" t="inlineStr">
        <is>
          <t>Panama</t>
        </is>
      </c>
      <c r="H76" s="4" t="inlineStr">
        <is>
          <t>ENGLAND</t>
        </is>
      </c>
      <c r="I76" s="4" t="n"/>
      <c r="J76" s="4" t="inlineStr">
        <is>
          <t>s/d</t>
        </is>
      </c>
      <c r="K76" s="4" t="inlineStr">
        <is>
          <t>0–2</t>
        </is>
      </c>
      <c r="L76" s="4" t="inlineStr">
        <is>
          <t>No</t>
        </is>
      </c>
      <c r="M76" s="4" t="inlineStr">
        <is>
          <t>0</t>
        </is>
      </c>
      <c r="N76" s="4" t="inlineStr">
        <is>
          <t>https://en.wikipedia.org/wiki/2026_FIFA_World_Cup_Group_L</t>
        </is>
      </c>
    </row>
    <row r="77">
      <c r="A77" s="4" t="inlineStr">
        <is>
          <t>M-2026-072</t>
        </is>
      </c>
      <c r="B77" s="4" t="inlineStr">
        <is>
          <t>2026</t>
        </is>
      </c>
      <c r="C77" s="4" t="inlineStr">
        <is>
          <t>fase de grupos</t>
        </is>
      </c>
      <c r="D77" s="4" t="inlineStr">
        <is>
          <t>L</t>
        </is>
      </c>
      <c r="E77" s="4" t="inlineStr">
        <is>
          <t>3</t>
        </is>
      </c>
      <c r="F77" s="4" t="inlineStr">
        <is>
          <t>27/06/2026</t>
        </is>
      </c>
      <c r="G77" s="4" t="inlineStr">
        <is>
          <t>Croatia</t>
        </is>
      </c>
      <c r="H77" s="4" t="inlineStr">
        <is>
          <t>Ghana</t>
        </is>
      </c>
      <c r="I77" s="4" t="inlineStr">
        <is>
          <t>2</t>
        </is>
      </c>
      <c r="J77" s="4" t="inlineStr">
        <is>
          <t>1</t>
        </is>
      </c>
      <c r="K77" s="4" t="inlineStr">
        <is>
          <t>2 : 1</t>
        </is>
      </c>
      <c r="L77" s="4" t="inlineStr">
        <is>
          <t>0</t>
        </is>
      </c>
      <c r="M77" s="4" t="inlineStr">
        <is>
          <t>FALSE</t>
        </is>
      </c>
      <c r="N77" s="4" t="inlineStr">
        <is>
          <t>https://en.wikipedia.org/wiki/2026_FIFA_World_Cup_Group_L</t>
        </is>
      </c>
    </row>
    <row r="78">
      <c r="A78" s="4" t="inlineStr">
        <is>
          <t>M-2026-019</t>
        </is>
      </c>
      <c r="B78" s="4" t="inlineStr">
        <is>
          <t>2026</t>
        </is>
      </c>
      <c r="C78" s="4" t="inlineStr">
        <is>
          <t>GS</t>
        </is>
      </c>
      <c r="D78" s="4" t="inlineStr">
        <is>
          <t>group-d</t>
        </is>
      </c>
      <c r="E78" s="4" t="inlineStr">
        <is>
          <t>1</t>
        </is>
      </c>
      <c r="F78" s="4" t="inlineStr">
        <is>
          <t>13/06/2026</t>
        </is>
      </c>
      <c r="G78" s="4" t="inlineStr">
        <is>
          <t>USA</t>
        </is>
      </c>
      <c r="H78" s="4" t="inlineStr">
        <is>
          <t>Paraguay</t>
        </is>
      </c>
      <c r="I78" s="4" t="inlineStr">
        <is>
          <t>4</t>
        </is>
      </c>
      <c r="J78" s="4" t="inlineStr">
        <is>
          <t>1</t>
        </is>
      </c>
      <c r="K78" s="4" t="inlineStr">
        <is>
          <t>4 : 1</t>
        </is>
      </c>
      <c r="L78" s="4" t="inlineStr">
        <is>
          <t>Sí</t>
        </is>
      </c>
      <c r="M78" s="4" t="inlineStr">
        <is>
          <t>0</t>
        </is>
      </c>
      <c r="N78" s="4" t="inlineStr">
        <is>
          <t>https://en.wikipedia.org/wiki/2026_FIFA_World_Cup_Group_D</t>
        </is>
      </c>
    </row>
    <row r="79">
      <c r="A79" s="4" t="inlineStr">
        <is>
          <t>M-2026-051</t>
        </is>
      </c>
      <c r="B79" s="4" t="inlineStr">
        <is>
          <t>2026</t>
        </is>
      </c>
      <c r="C79" s="4" t="inlineStr">
        <is>
          <t>group stage</t>
        </is>
      </c>
      <c r="D79" s="4" t="inlineStr">
        <is>
          <t>I</t>
        </is>
      </c>
      <c r="E79" s="4" t="inlineStr">
        <is>
          <t>2</t>
        </is>
      </c>
      <c r="F79" s="4" t="inlineStr">
        <is>
          <t>2026-06-22</t>
        </is>
      </c>
      <c r="G79" s="4" t="inlineStr">
        <is>
          <t>FRANCE</t>
        </is>
      </c>
      <c r="H79" s="4" t="inlineStr">
        <is>
          <t>Iraq</t>
        </is>
      </c>
      <c r="I79" s="4" t="n"/>
      <c r="J79" s="4" t="inlineStr">
        <is>
          <t>0</t>
        </is>
      </c>
      <c r="K79" s="4" t="inlineStr">
        <is>
          <t>3–0</t>
        </is>
      </c>
      <c r="L79" s="4" t="inlineStr">
        <is>
          <t>FALSE</t>
        </is>
      </c>
      <c r="M79" s="4" t="inlineStr">
        <is>
          <t>no</t>
        </is>
      </c>
      <c r="N79" s="4" t="inlineStr">
        <is>
          <t>https://en.wikipedia.org/wiki/2026_FIFA_World_Cup_Group_I</t>
        </is>
      </c>
    </row>
    <row r="80">
      <c r="A80" s="4" t="inlineStr">
        <is>
          <t>M-2026-065</t>
        </is>
      </c>
      <c r="B80" s="4" t="inlineStr">
        <is>
          <t>2026</t>
        </is>
      </c>
      <c r="C80" s="4" t="inlineStr">
        <is>
          <t>fase de grupos</t>
        </is>
      </c>
      <c r="D80" s="4" t="inlineStr">
        <is>
          <t>K</t>
        </is>
      </c>
      <c r="E80" s="4" t="inlineStr">
        <is>
          <t>3</t>
        </is>
      </c>
      <c r="F80" s="4" t="inlineStr">
        <is>
          <t>27-06-26</t>
        </is>
      </c>
      <c r="G80" s="4" t="inlineStr">
        <is>
          <t>Colombia</t>
        </is>
      </c>
      <c r="H80" s="4" t="inlineStr">
        <is>
          <t>Portugal</t>
        </is>
      </c>
      <c r="I80" s="4" t="inlineStr">
        <is>
          <t>0</t>
        </is>
      </c>
      <c r="J80" s="4" t="inlineStr">
        <is>
          <t>0</t>
        </is>
      </c>
      <c r="K80" s="4" t="inlineStr">
        <is>
          <t>0—0</t>
        </is>
      </c>
      <c r="L80" s="4" t="inlineStr">
        <is>
          <t>FALSE</t>
        </is>
      </c>
      <c r="M80" s="4" t="inlineStr">
        <is>
          <t>no</t>
        </is>
      </c>
      <c r="N80" s="4" t="inlineStr">
        <is>
          <t>https://en.wikipedia.org/wiki/2026_FIFA_World_Cup_Group_K</t>
        </is>
      </c>
    </row>
  </sheetData>
  <mergeCells count="2">
    <mergeCell ref="A1:P1"/>
    <mergeCell ref="A2:P3"/>
  </mergeCells>
  <conditionalFormatting sqref="A6:N80">
    <cfRule type="expression" priority="1" dxfId="1">
      <formula>OR(A6="",COUNTIF($A:$A,A6)&gt;1)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9" defaultRowHeight="14.25"/>
  <cols>
    <col width="17" customWidth="1" min="1" max="1"/>
    <col width="38" customWidth="1" min="2" max="2"/>
    <col width="32" customWidth="1" min="3" max="3"/>
    <col width="34" customWidth="1" min="4" max="4"/>
    <col width="18" customWidth="1" min="5" max="5"/>
    <col width="42" customWidth="1" min="6" max="6"/>
    <col width="38" customWidth="1" min="7" max="7"/>
  </cols>
  <sheetData>
    <row r="1" ht="30" customHeight="1">
      <c r="A1" s="10" t="inlineStr">
        <is>
          <t>Bitácora y control de calidad</t>
        </is>
      </c>
    </row>
    <row r="2" ht="21.95" customHeight="1">
      <c r="A2" s="11" t="inlineStr">
        <is>
          <t>Completa las columnas amarillas durante el laboratorio. Una corrección sin evidencia no está terminada.</t>
        </is>
      </c>
    </row>
    <row r="3" ht="21.95" customHeight="1"/>
    <row r="5" ht="15" customHeight="1">
      <c r="A5" s="1" t="inlineStr">
        <is>
          <t>Dimensión</t>
        </is>
      </c>
      <c r="B5" s="1" t="inlineStr">
        <is>
          <t>Problema</t>
        </is>
      </c>
      <c r="C5" s="1" t="inlineStr">
        <is>
          <t>Cómo detectarlo</t>
        </is>
      </c>
      <c r="D5" s="1" t="inlineStr">
        <is>
          <t>Criterio de aceptación</t>
        </is>
      </c>
      <c r="E5" s="1" t="inlineStr">
        <is>
          <t>Resultado</t>
        </is>
      </c>
      <c r="F5" s="1" t="inlineStr">
        <is>
          <t>Decisión aplicada</t>
        </is>
      </c>
      <c r="G5" s="1" t="inlineStr">
        <is>
          <t>Evidencia / fórmula</t>
        </is>
      </c>
    </row>
    <row r="6">
      <c r="A6" s="4" t="inlineStr">
        <is>
          <t>Estructura</t>
        </is>
      </c>
      <c r="B6" s="4" t="inlineStr">
        <is>
          <t>Columnas equivalentes con nombres diferentes</t>
        </is>
      </c>
      <c r="C6" s="4" t="inlineStr">
        <is>
          <t>Comparar encabezados</t>
        </is>
      </c>
      <c r="D6" s="4" t="inlineStr">
        <is>
          <t>Esquema canónico definido</t>
        </is>
      </c>
      <c r="E6" s="13" t="inlineStr">
        <is>
          <t>OK</t>
        </is>
      </c>
      <c r="F6" s="13" t="inlineStr">
        <is>
          <t>Esquema canonico de 19 campos; renombrado por ano (rename_maps)</t>
        </is>
      </c>
      <c r="G6" s="13" t="inlineStr">
        <is>
          <t>notebook: rename_maps</t>
        </is>
      </c>
    </row>
    <row r="7">
      <c r="A7" s="4" t="inlineStr">
        <is>
          <t>Completitud</t>
        </is>
      </c>
      <c r="B7" s="4" t="inlineStr">
        <is>
          <t>Valores vacíos en campos críticos</t>
        </is>
      </c>
      <c r="C7" s="4" t="inlineStr">
        <is>
          <t>Filtros / CONTAR.BLANCO</t>
        </is>
      </c>
      <c r="D7" s="4" t="inlineStr">
        <is>
          <t>0 nulos en equipo, grupo y goles</t>
        </is>
      </c>
      <c r="E7" s="13" t="inlineStr">
        <is>
          <t>0 nulos en equipo, grupo y goles</t>
        </is>
      </c>
      <c r="F7" s="13" t="inlineStr">
        <is>
          <t>Goles vacios reparados con el marcador</t>
        </is>
      </c>
      <c r="G7" s="13" t="inlineStr">
        <is>
          <t>assert isna().sum()==0</t>
        </is>
      </c>
    </row>
    <row r="8">
      <c r="A8" s="4" t="inlineStr">
        <is>
          <t>Unicidad</t>
        </is>
      </c>
      <c r="B8" s="4" t="inlineStr">
        <is>
          <t>Partidos repetidos</t>
        </is>
      </c>
      <c r="C8" s="4" t="inlineStr">
        <is>
          <t>Formato condicional / CONTAR.SI</t>
        </is>
      </c>
      <c r="D8" s="4" t="inlineStr">
        <is>
          <t>168 IDs únicos</t>
        </is>
      </c>
      <c r="E8" s="13" t="inlineStr">
        <is>
          <t>168 IDs unicos (8 duplicados eliminados)</t>
        </is>
      </c>
      <c r="F8" s="13" t="inlineStr">
        <is>
          <t>drop_duplicates por partido_id</t>
        </is>
      </c>
      <c r="G8" s="13" t="inlineStr">
        <is>
          <t>2018:2, 2022:3, 2026:3</t>
        </is>
      </c>
    </row>
    <row r="9">
      <c r="A9" s="4" t="inlineStr">
        <is>
          <t>Validez</t>
        </is>
      </c>
      <c r="B9" s="4" t="inlineStr">
        <is>
          <t>Goles negativos o texto</t>
        </is>
      </c>
      <c r="C9" s="4" t="inlineStr">
        <is>
          <t>Filtros y conversión numérica</t>
        </is>
      </c>
      <c r="D9" s="4" t="inlineStr">
        <is>
          <t>Todos enteros &gt;= 0</t>
        </is>
      </c>
      <c r="E9" s="13" t="inlineStr">
        <is>
          <t>Todos enteros &gt;= 0</t>
        </is>
      </c>
      <c r="F9" s="13" t="inlineStr">
        <is>
          <t>Goles negativos (-1) reparados con el marcador</t>
        </is>
      </c>
      <c r="G9" s="13" t="inlineStr">
        <is>
          <t>extraer_numero + regla Paso 7</t>
        </is>
      </c>
    </row>
    <row r="10">
      <c r="A10" s="4" t="inlineStr">
        <is>
          <t>Consistencia</t>
        </is>
      </c>
      <c r="B10" s="4" t="inlineStr">
        <is>
          <t>Marcador y goles separados no coinciden</t>
        </is>
      </c>
      <c r="C10" s="4" t="inlineStr">
        <is>
          <t>Comparar ambos campos</t>
        </is>
      </c>
      <c r="D10" s="4" t="inlineStr">
        <is>
          <t>0 conflictos pendientes</t>
        </is>
      </c>
      <c r="E10" s="13" t="inlineStr">
        <is>
          <t>0 conflictos pendientes</t>
        </is>
      </c>
      <c r="F10" s="13" t="inlineStr">
        <is>
          <t>Se prefirio el marcador como fuente oficial</t>
        </is>
      </c>
      <c r="G10" s="13" t="inlineStr">
        <is>
          <t>separar_marcador</t>
        </is>
      </c>
    </row>
    <row r="11">
      <c r="A11" s="4" t="inlineStr">
        <is>
          <t>Consistencia</t>
        </is>
      </c>
      <c r="B11" s="4" t="inlineStr">
        <is>
          <t>Fechas mezcladas o seriales</t>
        </is>
      </c>
      <c r="C11" s="4" t="inlineStr">
        <is>
          <t>Formato de celda y rango del torneo</t>
        </is>
      </c>
      <c r="D11" s="4" t="inlineStr">
        <is>
          <t>Todas son fechas válidas</t>
        </is>
      </c>
      <c r="E11" s="13" t="inlineStr">
        <is>
          <t>Todas validas (2 vacias en el origen)</t>
        </is>
      </c>
      <c r="F11" s="13" t="inlineStr">
        <is>
          <t>Serial de Excel + rango del torneo</t>
        </is>
      </c>
      <c r="G11" s="13" t="inlineStr">
        <is>
          <t>convertir_fecha</t>
        </is>
      </c>
    </row>
    <row r="12">
      <c r="A12" s="4" t="inlineStr">
        <is>
          <t>Categorías</t>
        </is>
      </c>
      <c r="B12" s="4" t="inlineStr">
        <is>
          <t>Nombres de equipos con variantes</t>
        </is>
      </c>
      <c r="C12" s="4" t="inlineStr">
        <is>
          <t>Catálogo + BUSCARX</t>
        </is>
      </c>
      <c r="D12" s="4" t="inlineStr">
        <is>
          <t>Una forma canónica por equipo</t>
        </is>
      </c>
      <c r="E12" s="13" t="inlineStr">
        <is>
          <t>Una forma canonica por equipo</t>
        </is>
      </c>
      <c r="F12" s="13" t="inlineStr">
        <is>
          <t>Clave sin acentos vs catalogo (BUSCARX)</t>
        </is>
      </c>
      <c r="G12" s="13" t="inlineStr">
        <is>
          <t>canonizar_equipo</t>
        </is>
      </c>
    </row>
    <row r="13">
      <c r="A13" s="4" t="inlineStr">
        <is>
          <t>Categorías</t>
        </is>
      </c>
      <c r="B13" s="4" t="inlineStr">
        <is>
          <t>Grupos escritos de formas distintas</t>
        </is>
      </c>
      <c r="C13" s="4" t="inlineStr">
        <is>
          <t>Extraer letra A-L</t>
        </is>
      </c>
      <c r="D13" s="4" t="inlineStr">
        <is>
          <t>Solo A-L</t>
        </is>
      </c>
      <c r="E13" s="13" t="inlineStr">
        <is>
          <t>Solo A-L; 3 grupos inferidos</t>
        </is>
      </c>
      <c r="F13" s="13" t="inlineStr">
        <is>
          <t>Extraer letra e inferir por equipos</t>
        </is>
      </c>
      <c r="G13" s="13" t="inlineStr">
        <is>
          <t>M-2018-10:F, M-2018-32:H, M-2022-12:F, M-2026-037:G</t>
        </is>
      </c>
    </row>
    <row r="14">
      <c r="A14" s="4" t="inlineStr">
        <is>
          <t>Comparabilidad</t>
        </is>
      </c>
      <c r="B14" s="4" t="inlineStr">
        <is>
          <t>2026 tiene más partidos</t>
        </is>
      </c>
      <c r="C14" s="4" t="inlineStr">
        <is>
          <t>Calcular tasas</t>
        </is>
      </c>
      <c r="D14" s="4" t="inlineStr">
        <is>
          <t>Usar goles/partido y porcentajes</t>
        </is>
      </c>
      <c r="E14" s="13" t="inlineStr">
        <is>
          <t>Se usan tasas</t>
        </is>
      </c>
      <c r="F14" s="13" t="inlineStr">
        <is>
          <t>goles/partido y porcentajes (hoja 08)</t>
        </is>
      </c>
      <c r="G14" s="13" t="inlineStr">
        <is>
          <t>2.99 vs 2.54 vs 2.50 goles/partido</t>
        </is>
      </c>
    </row>
    <row r="15">
      <c r="A15" s="4" t="inlineStr">
        <is>
          <t>Trazabilidad</t>
        </is>
      </c>
      <c r="B15" s="4" t="inlineStr">
        <is>
          <t>Cambios sin justificar</t>
        </is>
      </c>
      <c r="C15" s="4" t="inlineStr">
        <is>
          <t>Bitácora</t>
        </is>
      </c>
      <c r="D15" s="4" t="inlineStr">
        <is>
          <t>Cada regla tiene evidencia</t>
        </is>
      </c>
      <c r="E15" s="13" t="inlineStr">
        <is>
          <t>Cada regla documentada</t>
        </is>
      </c>
      <c r="F15" s="13" t="inlineStr">
        <is>
          <t>Bitacora de incidencias</t>
        </is>
      </c>
      <c r="G15" s="13" t="inlineStr">
        <is>
          <t>salidas/bitacora_incidencias.csv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05"/>
  <sheetViews>
    <sheetView workbookViewId="0">
      <selection activeCell="A1" sqref="A1:S1"/>
    </sheetView>
  </sheetViews>
  <sheetFormatPr baseColWidth="10" defaultColWidth="9" defaultRowHeight="14.25"/>
  <cols>
    <col width="19" customWidth="1" min="1" max="1"/>
    <col width="11" customWidth="1" min="2" max="2"/>
    <col width="19" customWidth="1" min="3" max="3"/>
    <col width="9" customWidth="1" min="4" max="4"/>
    <col width="10" customWidth="1" min="5" max="5"/>
    <col width="14" customWidth="1" min="6" max="6"/>
    <col width="26" customWidth="1" min="7" max="8"/>
    <col width="12" customWidth="1" min="9" max="9"/>
    <col width="14" customWidth="1" min="10" max="10"/>
    <col width="12" customWidth="1" min="11" max="11"/>
    <col width="15" customWidth="1" min="12" max="12"/>
    <col width="16" customWidth="1" min="13" max="13"/>
    <col width="19" customWidth="1" min="14" max="14"/>
    <col width="13" customWidth="1" min="15" max="15"/>
    <col width="15" customWidth="1" min="16" max="16"/>
    <col width="13" customWidth="1" min="17" max="17"/>
    <col width="15" customWidth="1" min="18" max="18"/>
    <col width="44" customWidth="1" min="19" max="19"/>
  </cols>
  <sheetData>
    <row r="1" ht="30" customHeight="1">
      <c r="A1" s="10" t="inlineStr">
        <is>
          <t>Base integrada limpia</t>
        </is>
      </c>
    </row>
    <row r="2" ht="21.95" customHeight="1">
      <c r="A2" s="11" t="inlineStr">
        <is>
          <t>Pega únicamente los campos de entrada. Las columnas azules se calculan con fórmulas.</t>
        </is>
      </c>
    </row>
    <row r="3" ht="21.95" customHeight="1"/>
    <row r="5" ht="30" customHeight="1">
      <c r="A5" s="1" t="inlineStr">
        <is>
          <t>partido_id</t>
        </is>
      </c>
      <c r="B5" s="1" t="inlineStr">
        <is>
          <t>mundial</t>
        </is>
      </c>
      <c r="C5" s="1" t="inlineStr">
        <is>
          <t>fase</t>
        </is>
      </c>
      <c r="D5" s="1" t="inlineStr">
        <is>
          <t>grupo</t>
        </is>
      </c>
      <c r="E5" s="1" t="inlineStr">
        <is>
          <t>jornada</t>
        </is>
      </c>
      <c r="F5" s="1" t="inlineStr">
        <is>
          <t>fecha</t>
        </is>
      </c>
      <c r="G5" s="1" t="inlineStr">
        <is>
          <t>equipo_local</t>
        </is>
      </c>
      <c r="H5" s="1" t="inlineStr">
        <is>
          <t>equipo_visitante</t>
        </is>
      </c>
      <c r="I5" s="1" t="inlineStr">
        <is>
          <t>goles_local</t>
        </is>
      </c>
      <c r="J5" s="1" t="inlineStr">
        <is>
          <t>goles_visitante</t>
        </is>
      </c>
      <c r="K5" s="1" t="inlineStr">
        <is>
          <t>marcador</t>
        </is>
      </c>
      <c r="L5" s="1" t="inlineStr">
        <is>
          <t>resultado_local</t>
        </is>
      </c>
      <c r="M5" s="1" t="inlineStr">
        <is>
          <t>local_es_anfitrion</t>
        </is>
      </c>
      <c r="N5" s="1" t="inlineStr">
        <is>
          <t>visitante_es_anfitrion</t>
        </is>
      </c>
      <c r="O5" s="1" t="inlineStr">
        <is>
          <t>goles_totales</t>
        </is>
      </c>
      <c r="P5" s="1" t="inlineStr">
        <is>
          <t>diferencia_goles</t>
        </is>
      </c>
      <c r="Q5" s="1" t="inlineStr">
        <is>
          <t>puntos_local</t>
        </is>
      </c>
      <c r="R5" s="1" t="inlineStr">
        <is>
          <t>puntos_visitante</t>
        </is>
      </c>
      <c r="S5" s="1" t="inlineStr">
        <is>
          <t>fuente</t>
        </is>
      </c>
    </row>
    <row r="6">
      <c r="A6" s="4" t="inlineStr">
        <is>
          <t>M-2018-01</t>
        </is>
      </c>
      <c r="B6" s="4" t="n">
        <v>2018</v>
      </c>
      <c r="C6" s="4" t="inlineStr">
        <is>
          <t>Fase de grupos</t>
        </is>
      </c>
      <c r="D6" s="4" t="inlineStr">
        <is>
          <t>A</t>
        </is>
      </c>
      <c r="E6" s="4" t="n">
        <v>1</v>
      </c>
      <c r="F6" s="14" t="n">
        <v>43265</v>
      </c>
      <c r="G6" s="4" t="inlineStr">
        <is>
          <t>Russia</t>
        </is>
      </c>
      <c r="H6" s="4" t="inlineStr">
        <is>
          <t>Saudi Arabia</t>
        </is>
      </c>
      <c r="I6" s="4" t="n">
        <v>5</v>
      </c>
      <c r="J6" s="4" t="n">
        <v>0</v>
      </c>
      <c r="K6" s="6">
        <f>IF(OR(I6="",J6=""),"",I6&amp;"-"&amp;J6)</f>
        <v/>
      </c>
      <c r="L6" s="6">
        <f>IF(OR(I6="",J6=""),"",IF(I6&gt;J6,"Gana",IF(I6=J6,"Empata","Pierde")))</f>
        <v/>
      </c>
      <c r="M6" s="4" t="b">
        <v>1</v>
      </c>
      <c r="N6" s="4" t="b">
        <v>0</v>
      </c>
      <c r="O6" s="6">
        <f>IF(OR(I6="",J6=""),"",I6+J6)</f>
        <v/>
      </c>
      <c r="P6" s="6">
        <f>IF(OR(I6="",J6=""),"",I6-J6)</f>
        <v/>
      </c>
      <c r="Q6" s="6">
        <f>IF(L6="","",IF(L6="Gana",3,IF(L6="Empata",1,0)))</f>
        <v/>
      </c>
      <c r="R6" s="6">
        <f>IF(L6="","",IF(L6="Pierde",3,IF(L6="Empata",1,0)))</f>
        <v/>
      </c>
      <c r="S6" s="4" t="inlineStr">
        <is>
          <t>https://github.com/jfjelstul/worldcup</t>
        </is>
      </c>
    </row>
    <row r="7">
      <c r="A7" s="4" t="inlineStr">
        <is>
          <t>M-2018-02</t>
        </is>
      </c>
      <c r="B7" s="4" t="n">
        <v>2018</v>
      </c>
      <c r="C7" s="4" t="inlineStr">
        <is>
          <t>Fase de grupos</t>
        </is>
      </c>
      <c r="D7" s="4" t="inlineStr">
        <is>
          <t>A</t>
        </is>
      </c>
      <c r="E7" s="4" t="n">
        <v>1</v>
      </c>
      <c r="F7" s="14" t="n">
        <v>43266</v>
      </c>
      <c r="G7" s="4" t="inlineStr">
        <is>
          <t>Egypt</t>
        </is>
      </c>
      <c r="H7" s="4" t="inlineStr">
        <is>
          <t>Uruguay</t>
        </is>
      </c>
      <c r="I7" s="4" t="n">
        <v>0</v>
      </c>
      <c r="J7" s="4" t="n">
        <v>1</v>
      </c>
      <c r="K7" s="6">
        <f>IF(OR(I7="",J7=""),"",I7&amp;"-"&amp;J7)</f>
        <v/>
      </c>
      <c r="L7" s="6">
        <f>IF(OR(I7="",J7=""),"",IF(I7&gt;J7,"Gana",IF(I7=J7,"Empata","Pierde")))</f>
        <v/>
      </c>
      <c r="M7" s="4" t="b">
        <v>0</v>
      </c>
      <c r="N7" s="4" t="b">
        <v>0</v>
      </c>
      <c r="O7" s="6">
        <f>IF(OR(I7="",J7=""),"",I7+J7)</f>
        <v/>
      </c>
      <c r="P7" s="6">
        <f>IF(OR(I7="",J7=""),"",I7-J7)</f>
        <v/>
      </c>
      <c r="Q7" s="6">
        <f>IF(L7="","",IF(L7="Gana",3,IF(L7="Empata",1,0)))</f>
        <v/>
      </c>
      <c r="R7" s="6">
        <f>IF(L7="","",IF(L7="Pierde",3,IF(L7="Empata",1,0)))</f>
        <v/>
      </c>
      <c r="S7" s="4" t="inlineStr">
        <is>
          <t>https://github.com/jfjelstul/worldcup</t>
        </is>
      </c>
    </row>
    <row r="8">
      <c r="A8" s="4" t="inlineStr">
        <is>
          <t>M-2018-03</t>
        </is>
      </c>
      <c r="B8" s="4" t="n">
        <v>2018</v>
      </c>
      <c r="C8" s="4" t="inlineStr">
        <is>
          <t>Fase de grupos</t>
        </is>
      </c>
      <c r="D8" s="4" t="inlineStr">
        <is>
          <t>B</t>
        </is>
      </c>
      <c r="E8" s="4" t="n">
        <v>1</v>
      </c>
      <c r="F8" s="14" t="n">
        <v>43266</v>
      </c>
      <c r="G8" s="4" t="inlineStr">
        <is>
          <t>Morocco</t>
        </is>
      </c>
      <c r="H8" s="4" t="inlineStr">
        <is>
          <t>Iran</t>
        </is>
      </c>
      <c r="I8" s="4" t="n">
        <v>0</v>
      </c>
      <c r="J8" s="4" t="n">
        <v>1</v>
      </c>
      <c r="K8" s="6">
        <f>IF(OR(I8="",J8=""),"",I8&amp;"-"&amp;J8)</f>
        <v/>
      </c>
      <c r="L8" s="6">
        <f>IF(OR(I8="",J8=""),"",IF(I8&gt;J8,"Gana",IF(I8=J8,"Empata","Pierde")))</f>
        <v/>
      </c>
      <c r="M8" s="4" t="b">
        <v>0</v>
      </c>
      <c r="N8" s="4" t="b">
        <v>0</v>
      </c>
      <c r="O8" s="6">
        <f>IF(OR(I8="",J8=""),"",I8+J8)</f>
        <v/>
      </c>
      <c r="P8" s="6">
        <f>IF(OR(I8="",J8=""),"",I8-J8)</f>
        <v/>
      </c>
      <c r="Q8" s="6">
        <f>IF(L8="","",IF(L8="Gana",3,IF(L8="Empata",1,0)))</f>
        <v/>
      </c>
      <c r="R8" s="6">
        <f>IF(L8="","",IF(L8="Pierde",3,IF(L8="Empata",1,0)))</f>
        <v/>
      </c>
      <c r="S8" s="4" t="inlineStr">
        <is>
          <t>https://github.com/jfjelstul/worldcup</t>
        </is>
      </c>
    </row>
    <row r="9">
      <c r="A9" s="4" t="inlineStr">
        <is>
          <t>M-2018-04</t>
        </is>
      </c>
      <c r="B9" s="4" t="n">
        <v>2018</v>
      </c>
      <c r="C9" s="4" t="inlineStr">
        <is>
          <t>Fase de grupos</t>
        </is>
      </c>
      <c r="D9" s="4" t="inlineStr">
        <is>
          <t>B</t>
        </is>
      </c>
      <c r="E9" s="4" t="n">
        <v>1</v>
      </c>
      <c r="F9" s="14" t="n">
        <v>43266</v>
      </c>
      <c r="G9" s="4" t="inlineStr">
        <is>
          <t>Portugal</t>
        </is>
      </c>
      <c r="H9" s="4" t="inlineStr">
        <is>
          <t>Spain</t>
        </is>
      </c>
      <c r="I9" s="4" t="n">
        <v>3</v>
      </c>
      <c r="J9" s="4" t="n">
        <v>3</v>
      </c>
      <c r="K9" s="6">
        <f>IF(OR(I9="",J9=""),"",I9&amp;"-"&amp;J9)</f>
        <v/>
      </c>
      <c r="L9" s="6">
        <f>IF(OR(I9="",J9=""),"",IF(I9&gt;J9,"Gana",IF(I9=J9,"Empata","Pierde")))</f>
        <v/>
      </c>
      <c r="M9" s="4" t="b">
        <v>0</v>
      </c>
      <c r="N9" s="4" t="b">
        <v>0</v>
      </c>
      <c r="O9" s="6">
        <f>IF(OR(I9="",J9=""),"",I9+J9)</f>
        <v/>
      </c>
      <c r="P9" s="6">
        <f>IF(OR(I9="",J9=""),"",I9-J9)</f>
        <v/>
      </c>
      <c r="Q9" s="6">
        <f>IF(L9="","",IF(L9="Gana",3,IF(L9="Empata",1,0)))</f>
        <v/>
      </c>
      <c r="R9" s="6">
        <f>IF(L9="","",IF(L9="Pierde",3,IF(L9="Empata",1,0)))</f>
        <v/>
      </c>
      <c r="S9" s="4" t="inlineStr">
        <is>
          <t>https://github.com/jfjelstul/worldcup</t>
        </is>
      </c>
    </row>
    <row r="10">
      <c r="A10" s="4" t="inlineStr">
        <is>
          <t>M-2018-05</t>
        </is>
      </c>
      <c r="B10" s="4" t="n">
        <v>2018</v>
      </c>
      <c r="C10" s="4" t="inlineStr">
        <is>
          <t>Fase de grupos</t>
        </is>
      </c>
      <c r="D10" s="4" t="inlineStr">
        <is>
          <t>C</t>
        </is>
      </c>
      <c r="E10" s="4" t="n">
        <v>1</v>
      </c>
      <c r="F10" s="14" t="n">
        <v>43267</v>
      </c>
      <c r="G10" s="4" t="inlineStr">
        <is>
          <t>France</t>
        </is>
      </c>
      <c r="H10" s="4" t="inlineStr">
        <is>
          <t>Australia</t>
        </is>
      </c>
      <c r="I10" s="4" t="n">
        <v>2</v>
      </c>
      <c r="J10" s="4" t="n">
        <v>1</v>
      </c>
      <c r="K10" s="6">
        <f>IF(OR(I10="",J10=""),"",I10&amp;"-"&amp;J10)</f>
        <v/>
      </c>
      <c r="L10" s="6">
        <f>IF(OR(I10="",J10=""),"",IF(I10&gt;J10,"Gana",IF(I10=J10,"Empata","Pierde")))</f>
        <v/>
      </c>
      <c r="M10" s="4" t="b">
        <v>0</v>
      </c>
      <c r="N10" s="4" t="b">
        <v>0</v>
      </c>
      <c r="O10" s="6">
        <f>IF(OR(I10="",J10=""),"",I10+J10)</f>
        <v/>
      </c>
      <c r="P10" s="6">
        <f>IF(OR(I10="",J10=""),"",I10-J10)</f>
        <v/>
      </c>
      <c r="Q10" s="6">
        <f>IF(L10="","",IF(L10="Gana",3,IF(L10="Empata",1,0)))</f>
        <v/>
      </c>
      <c r="R10" s="6">
        <f>IF(L10="","",IF(L10="Pierde",3,IF(L10="Empata",1,0)))</f>
        <v/>
      </c>
      <c r="S10" s="4" t="inlineStr">
        <is>
          <t>https://github.com/jfjelstul/worldcup</t>
        </is>
      </c>
    </row>
    <row r="11">
      <c r="A11" s="4" t="inlineStr">
        <is>
          <t>M-2018-06</t>
        </is>
      </c>
      <c r="B11" s="4" t="n">
        <v>2018</v>
      </c>
      <c r="C11" s="4" t="inlineStr">
        <is>
          <t>Fase de grupos</t>
        </is>
      </c>
      <c r="D11" s="4" t="inlineStr">
        <is>
          <t>D</t>
        </is>
      </c>
      <c r="E11" s="4" t="n">
        <v>1</v>
      </c>
      <c r="F11" s="14" t="n">
        <v>43267</v>
      </c>
      <c r="G11" s="4" t="inlineStr">
        <is>
          <t>Argentina</t>
        </is>
      </c>
      <c r="H11" s="4" t="inlineStr">
        <is>
          <t>Iceland</t>
        </is>
      </c>
      <c r="I11" s="4" t="n">
        <v>1</v>
      </c>
      <c r="J11" s="4" t="n">
        <v>1</v>
      </c>
      <c r="K11" s="6">
        <f>IF(OR(I11="",J11=""),"",I11&amp;"-"&amp;J11)</f>
        <v/>
      </c>
      <c r="L11" s="6">
        <f>IF(OR(I11="",J11=""),"",IF(I11&gt;J11,"Gana",IF(I11=J11,"Empata","Pierde")))</f>
        <v/>
      </c>
      <c r="M11" s="4" t="b">
        <v>0</v>
      </c>
      <c r="N11" s="4" t="b">
        <v>0</v>
      </c>
      <c r="O11" s="6">
        <f>IF(OR(I11="",J11=""),"",I11+J11)</f>
        <v/>
      </c>
      <c r="P11" s="6">
        <f>IF(OR(I11="",J11=""),"",I11-J11)</f>
        <v/>
      </c>
      <c r="Q11" s="6">
        <f>IF(L11="","",IF(L11="Gana",3,IF(L11="Empata",1,0)))</f>
        <v/>
      </c>
      <c r="R11" s="6">
        <f>IF(L11="","",IF(L11="Pierde",3,IF(L11="Empata",1,0)))</f>
        <v/>
      </c>
      <c r="S11" s="4" t="inlineStr">
        <is>
          <t>https://github.com/jfjelstul/worldcup</t>
        </is>
      </c>
    </row>
    <row r="12">
      <c r="A12" s="4" t="inlineStr">
        <is>
          <t>M-2018-07</t>
        </is>
      </c>
      <c r="B12" s="4" t="n">
        <v>2018</v>
      </c>
      <c r="C12" s="4" t="inlineStr">
        <is>
          <t>Fase de grupos</t>
        </is>
      </c>
      <c r="D12" s="4" t="inlineStr">
        <is>
          <t>C</t>
        </is>
      </c>
      <c r="E12" s="4" t="n">
        <v>1</v>
      </c>
      <c r="F12" s="14" t="n">
        <v>43267</v>
      </c>
      <c r="G12" s="4" t="inlineStr">
        <is>
          <t>Peru</t>
        </is>
      </c>
      <c r="H12" s="4" t="inlineStr">
        <is>
          <t>Denmark</t>
        </is>
      </c>
      <c r="I12" s="4" t="n">
        <v>0</v>
      </c>
      <c r="J12" s="4" t="n">
        <v>1</v>
      </c>
      <c r="K12" s="6">
        <f>IF(OR(I12="",J12=""),"",I12&amp;"-"&amp;J12)</f>
        <v/>
      </c>
      <c r="L12" s="6">
        <f>IF(OR(I12="",J12=""),"",IF(I12&gt;J12,"Gana",IF(I12=J12,"Empata","Pierde")))</f>
        <v/>
      </c>
      <c r="M12" s="4" t="b">
        <v>0</v>
      </c>
      <c r="N12" s="4" t="b">
        <v>0</v>
      </c>
      <c r="O12" s="6">
        <f>IF(OR(I12="",J12=""),"",I12+J12)</f>
        <v/>
      </c>
      <c r="P12" s="6">
        <f>IF(OR(I12="",J12=""),"",I12-J12)</f>
        <v/>
      </c>
      <c r="Q12" s="6">
        <f>IF(L12="","",IF(L12="Gana",3,IF(L12="Empata",1,0)))</f>
        <v/>
      </c>
      <c r="R12" s="6">
        <f>IF(L12="","",IF(L12="Pierde",3,IF(L12="Empata",1,0)))</f>
        <v/>
      </c>
      <c r="S12" s="4" t="inlineStr">
        <is>
          <t>https://github.com/jfjelstul/worldcup</t>
        </is>
      </c>
    </row>
    <row r="13">
      <c r="A13" s="4" t="inlineStr">
        <is>
          <t>M-2018-08</t>
        </is>
      </c>
      <c r="B13" s="4" t="n">
        <v>2018</v>
      </c>
      <c r="C13" s="4" t="inlineStr">
        <is>
          <t>Fase de grupos</t>
        </is>
      </c>
      <c r="D13" s="4" t="inlineStr">
        <is>
          <t>D</t>
        </is>
      </c>
      <c r="E13" s="4" t="n">
        <v>1</v>
      </c>
      <c r="F13" s="14" t="n">
        <v>43267</v>
      </c>
      <c r="G13" s="4" t="inlineStr">
        <is>
          <t>Croatia</t>
        </is>
      </c>
      <c r="H13" s="4" t="inlineStr">
        <is>
          <t>Nigeria</t>
        </is>
      </c>
      <c r="I13" s="4" t="n">
        <v>2</v>
      </c>
      <c r="J13" s="4" t="n">
        <v>0</v>
      </c>
      <c r="K13" s="6">
        <f>IF(OR(I13="",J13=""),"",I13&amp;"-"&amp;J13)</f>
        <v/>
      </c>
      <c r="L13" s="6">
        <f>IF(OR(I13="",J13=""),"",IF(I13&gt;J13,"Gana",IF(I13=J13,"Empata","Pierde")))</f>
        <v/>
      </c>
      <c r="M13" s="4" t="b">
        <v>0</v>
      </c>
      <c r="N13" s="4" t="b">
        <v>0</v>
      </c>
      <c r="O13" s="6">
        <f>IF(OR(I13="",J13=""),"",I13+J13)</f>
        <v/>
      </c>
      <c r="P13" s="6">
        <f>IF(OR(I13="",J13=""),"",I13-J13)</f>
        <v/>
      </c>
      <c r="Q13" s="6">
        <f>IF(L13="","",IF(L13="Gana",3,IF(L13="Empata",1,0)))</f>
        <v/>
      </c>
      <c r="R13" s="6">
        <f>IF(L13="","",IF(L13="Pierde",3,IF(L13="Empata",1,0)))</f>
        <v/>
      </c>
      <c r="S13" s="4" t="inlineStr">
        <is>
          <t>https://github.com/jfjelstul/worldcup</t>
        </is>
      </c>
    </row>
    <row r="14">
      <c r="A14" s="4" t="inlineStr">
        <is>
          <t>M-2018-09</t>
        </is>
      </c>
      <c r="B14" s="4" t="n">
        <v>2018</v>
      </c>
      <c r="C14" s="4" t="inlineStr">
        <is>
          <t>Fase de grupos</t>
        </is>
      </c>
      <c r="D14" s="4" t="inlineStr">
        <is>
          <t>E</t>
        </is>
      </c>
      <c r="E14" s="4" t="n">
        <v>1</v>
      </c>
      <c r="F14" s="14" t="n">
        <v>43268</v>
      </c>
      <c r="G14" s="4" t="inlineStr">
        <is>
          <t>Costa Rica</t>
        </is>
      </c>
      <c r="H14" s="4" t="inlineStr">
        <is>
          <t>Serbia</t>
        </is>
      </c>
      <c r="I14" s="4" t="n">
        <v>0</v>
      </c>
      <c r="J14" s="4" t="n">
        <v>1</v>
      </c>
      <c r="K14" s="6">
        <f>IF(OR(I14="",J14=""),"",I14&amp;"-"&amp;J14)</f>
        <v/>
      </c>
      <c r="L14" s="6">
        <f>IF(OR(I14="",J14=""),"",IF(I14&gt;J14,"Gana",IF(I14=J14,"Empata","Pierde")))</f>
        <v/>
      </c>
      <c r="M14" s="4" t="b">
        <v>0</v>
      </c>
      <c r="N14" s="4" t="b">
        <v>0</v>
      </c>
      <c r="O14" s="6">
        <f>IF(OR(I14="",J14=""),"",I14+J14)</f>
        <v/>
      </c>
      <c r="P14" s="6">
        <f>IF(OR(I14="",J14=""),"",I14-J14)</f>
        <v/>
      </c>
      <c r="Q14" s="6">
        <f>IF(L14="","",IF(L14="Gana",3,IF(L14="Empata",1,0)))</f>
        <v/>
      </c>
      <c r="R14" s="6">
        <f>IF(L14="","",IF(L14="Pierde",3,IF(L14="Empata",1,0)))</f>
        <v/>
      </c>
      <c r="S14" s="4" t="inlineStr">
        <is>
          <t>https://github.com/jfjelstul/worldcup</t>
        </is>
      </c>
    </row>
    <row r="15">
      <c r="A15" s="4" t="inlineStr">
        <is>
          <t>M-2018-10</t>
        </is>
      </c>
      <c r="B15" s="4" t="n">
        <v>2018</v>
      </c>
      <c r="C15" s="4" t="inlineStr">
        <is>
          <t>Fase de grupos</t>
        </is>
      </c>
      <c r="D15" s="4" t="inlineStr">
        <is>
          <t>F</t>
        </is>
      </c>
      <c r="E15" s="4" t="n">
        <v>1</v>
      </c>
      <c r="F15" s="14" t="n">
        <v>43268</v>
      </c>
      <c r="G15" s="4" t="inlineStr">
        <is>
          <t>Germany</t>
        </is>
      </c>
      <c r="H15" s="4" t="inlineStr">
        <is>
          <t>Mexico</t>
        </is>
      </c>
      <c r="I15" s="4" t="n">
        <v>0</v>
      </c>
      <c r="J15" s="4" t="n">
        <v>1</v>
      </c>
      <c r="K15" s="6">
        <f>IF(OR(I15="",J15=""),"",I15&amp;"-"&amp;J15)</f>
        <v/>
      </c>
      <c r="L15" s="6">
        <f>IF(OR(I15="",J15=""),"",IF(I15&gt;J15,"Gana",IF(I15=J15,"Empata","Pierde")))</f>
        <v/>
      </c>
      <c r="M15" s="4" t="b">
        <v>0</v>
      </c>
      <c r="N15" s="4" t="b">
        <v>0</v>
      </c>
      <c r="O15" s="6">
        <f>IF(OR(I15="",J15=""),"",I15+J15)</f>
        <v/>
      </c>
      <c r="P15" s="6">
        <f>IF(OR(I15="",J15=""),"",I15-J15)</f>
        <v/>
      </c>
      <c r="Q15" s="6">
        <f>IF(L15="","",IF(L15="Gana",3,IF(L15="Empata",1,0)))</f>
        <v/>
      </c>
      <c r="R15" s="6">
        <f>IF(L15="","",IF(L15="Pierde",3,IF(L15="Empata",1,0)))</f>
        <v/>
      </c>
      <c r="S15" s="4" t="inlineStr">
        <is>
          <t>https://github.com/jfjelstul/worldcup</t>
        </is>
      </c>
    </row>
    <row r="16">
      <c r="A16" s="4" t="inlineStr">
        <is>
          <t>M-2018-11</t>
        </is>
      </c>
      <c r="B16" s="4" t="n">
        <v>2018</v>
      </c>
      <c r="C16" s="4" t="inlineStr">
        <is>
          <t>Fase de grupos</t>
        </is>
      </c>
      <c r="D16" s="4" t="inlineStr">
        <is>
          <t>E</t>
        </is>
      </c>
      <c r="E16" s="4" t="n">
        <v>1</v>
      </c>
      <c r="F16" s="14" t="n">
        <v>43268</v>
      </c>
      <c r="G16" s="4" t="inlineStr">
        <is>
          <t>Brazil</t>
        </is>
      </c>
      <c r="H16" s="4" t="inlineStr">
        <is>
          <t>Switzerland</t>
        </is>
      </c>
      <c r="I16" s="4" t="n">
        <v>1</v>
      </c>
      <c r="J16" s="4" t="n">
        <v>1</v>
      </c>
      <c r="K16" s="6">
        <f>IF(OR(I16="",J16=""),"",I16&amp;"-"&amp;J16)</f>
        <v/>
      </c>
      <c r="L16" s="6">
        <f>IF(OR(I16="",J16=""),"",IF(I16&gt;J16,"Gana",IF(I16=J16,"Empata","Pierde")))</f>
        <v/>
      </c>
      <c r="M16" s="4" t="b">
        <v>0</v>
      </c>
      <c r="N16" s="4" t="b">
        <v>0</v>
      </c>
      <c r="O16" s="6">
        <f>IF(OR(I16="",J16=""),"",I16+J16)</f>
        <v/>
      </c>
      <c r="P16" s="6">
        <f>IF(OR(I16="",J16=""),"",I16-J16)</f>
        <v/>
      </c>
      <c r="Q16" s="6">
        <f>IF(L16="","",IF(L16="Gana",3,IF(L16="Empata",1,0)))</f>
        <v/>
      </c>
      <c r="R16" s="6">
        <f>IF(L16="","",IF(L16="Pierde",3,IF(L16="Empata",1,0)))</f>
        <v/>
      </c>
      <c r="S16" s="4" t="inlineStr">
        <is>
          <t>https://github.com/jfjelstul/worldcup</t>
        </is>
      </c>
    </row>
    <row r="17">
      <c r="A17" s="4" t="inlineStr">
        <is>
          <t>M-2018-12</t>
        </is>
      </c>
      <c r="B17" s="4" t="n">
        <v>2018</v>
      </c>
      <c r="C17" s="4" t="inlineStr">
        <is>
          <t>Fase de grupos</t>
        </is>
      </c>
      <c r="D17" s="4" t="inlineStr">
        <is>
          <t>F</t>
        </is>
      </c>
      <c r="E17" s="4" t="n">
        <v>1</v>
      </c>
      <c r="F17" s="14" t="n">
        <v>43269</v>
      </c>
      <c r="G17" s="4" t="inlineStr">
        <is>
          <t>Sweden</t>
        </is>
      </c>
      <c r="H17" s="4" t="inlineStr">
        <is>
          <t>South Korea</t>
        </is>
      </c>
      <c r="I17" s="4" t="n">
        <v>1</v>
      </c>
      <c r="J17" s="4" t="n">
        <v>0</v>
      </c>
      <c r="K17" s="6">
        <f>IF(OR(I17="",J17=""),"",I17&amp;"-"&amp;J17)</f>
        <v/>
      </c>
      <c r="L17" s="6">
        <f>IF(OR(I17="",J17=""),"",IF(I17&gt;J17,"Gana",IF(I17=J17,"Empata","Pierde")))</f>
        <v/>
      </c>
      <c r="M17" s="4" t="b">
        <v>0</v>
      </c>
      <c r="N17" s="4" t="b">
        <v>0</v>
      </c>
      <c r="O17" s="6">
        <f>IF(OR(I17="",J17=""),"",I17+J17)</f>
        <v/>
      </c>
      <c r="P17" s="6">
        <f>IF(OR(I17="",J17=""),"",I17-J17)</f>
        <v/>
      </c>
      <c r="Q17" s="6">
        <f>IF(L17="","",IF(L17="Gana",3,IF(L17="Empata",1,0)))</f>
        <v/>
      </c>
      <c r="R17" s="6">
        <f>IF(L17="","",IF(L17="Pierde",3,IF(L17="Empata",1,0)))</f>
        <v/>
      </c>
      <c r="S17" s="4" t="inlineStr">
        <is>
          <t>https://github.com/jfjelstul/worldcup</t>
        </is>
      </c>
    </row>
    <row r="18">
      <c r="A18" s="4" t="inlineStr">
        <is>
          <t>M-2018-13</t>
        </is>
      </c>
      <c r="B18" s="4" t="n">
        <v>2018</v>
      </c>
      <c r="C18" s="4" t="inlineStr">
        <is>
          <t>Fase de grupos</t>
        </is>
      </c>
      <c r="D18" s="4" t="inlineStr">
        <is>
          <t>G</t>
        </is>
      </c>
      <c r="E18" s="4" t="n">
        <v>1</v>
      </c>
      <c r="F18" s="14" t="n">
        <v>43269</v>
      </c>
      <c r="G18" s="4" t="inlineStr">
        <is>
          <t>Belgium</t>
        </is>
      </c>
      <c r="H18" s="4" t="inlineStr">
        <is>
          <t>Panama</t>
        </is>
      </c>
      <c r="I18" s="4" t="n">
        <v>3</v>
      </c>
      <c r="J18" s="4" t="n">
        <v>0</v>
      </c>
      <c r="K18" s="6">
        <f>IF(OR(I18="",J18=""),"",I18&amp;"-"&amp;J18)</f>
        <v/>
      </c>
      <c r="L18" s="6">
        <f>IF(OR(I18="",J18=""),"",IF(I18&gt;J18,"Gana",IF(I18=J18,"Empata","Pierde")))</f>
        <v/>
      </c>
      <c r="M18" s="4" t="b">
        <v>0</v>
      </c>
      <c r="N18" s="4" t="b">
        <v>0</v>
      </c>
      <c r="O18" s="6">
        <f>IF(OR(I18="",J18=""),"",I18+J18)</f>
        <v/>
      </c>
      <c r="P18" s="6">
        <f>IF(OR(I18="",J18=""),"",I18-J18)</f>
        <v/>
      </c>
      <c r="Q18" s="6">
        <f>IF(L18="","",IF(L18="Gana",3,IF(L18="Empata",1,0)))</f>
        <v/>
      </c>
      <c r="R18" s="6">
        <f>IF(L18="","",IF(L18="Pierde",3,IF(L18="Empata",1,0)))</f>
        <v/>
      </c>
      <c r="S18" s="4" t="inlineStr">
        <is>
          <t>https://github.com/jfjelstul/worldcup</t>
        </is>
      </c>
    </row>
    <row r="19">
      <c r="A19" s="4" t="inlineStr">
        <is>
          <t>M-2018-14</t>
        </is>
      </c>
      <c r="B19" s="4" t="n">
        <v>2018</v>
      </c>
      <c r="C19" s="4" t="inlineStr">
        <is>
          <t>Fase de grupos</t>
        </is>
      </c>
      <c r="D19" s="4" t="inlineStr">
        <is>
          <t>G</t>
        </is>
      </c>
      <c r="E19" s="4" t="n">
        <v>1</v>
      </c>
      <c r="F19" s="14" t="n">
        <v>43269</v>
      </c>
      <c r="G19" s="4" t="inlineStr">
        <is>
          <t>Tunisia</t>
        </is>
      </c>
      <c r="H19" s="4" t="inlineStr">
        <is>
          <t>England</t>
        </is>
      </c>
      <c r="I19" s="4" t="n">
        <v>1</v>
      </c>
      <c r="J19" s="4" t="n">
        <v>2</v>
      </c>
      <c r="K19" s="6">
        <f>IF(OR(I19="",J19=""),"",I19&amp;"-"&amp;J19)</f>
        <v/>
      </c>
      <c r="L19" s="6">
        <f>IF(OR(I19="",J19=""),"",IF(I19&gt;J19,"Gana",IF(I19=J19,"Empata","Pierde")))</f>
        <v/>
      </c>
      <c r="M19" s="4" t="b">
        <v>0</v>
      </c>
      <c r="N19" s="4" t="b">
        <v>0</v>
      </c>
      <c r="O19" s="6">
        <f>IF(OR(I19="",J19=""),"",I19+J19)</f>
        <v/>
      </c>
      <c r="P19" s="6">
        <f>IF(OR(I19="",J19=""),"",I19-J19)</f>
        <v/>
      </c>
      <c r="Q19" s="6">
        <f>IF(L19="","",IF(L19="Gana",3,IF(L19="Empata",1,0)))</f>
        <v/>
      </c>
      <c r="R19" s="6">
        <f>IF(L19="","",IF(L19="Pierde",3,IF(L19="Empata",1,0)))</f>
        <v/>
      </c>
      <c r="S19" s="4" t="inlineStr">
        <is>
          <t>https://github.com/jfjelstul/worldcup</t>
        </is>
      </c>
    </row>
    <row r="20">
      <c r="A20" s="4" t="inlineStr">
        <is>
          <t>M-2018-15</t>
        </is>
      </c>
      <c r="B20" s="4" t="n">
        <v>2018</v>
      </c>
      <c r="C20" s="4" t="inlineStr">
        <is>
          <t>Fase de grupos</t>
        </is>
      </c>
      <c r="D20" s="4" t="inlineStr">
        <is>
          <t>H</t>
        </is>
      </c>
      <c r="E20" s="4" t="n">
        <v>1</v>
      </c>
      <c r="F20" s="14" t="n">
        <v>43270</v>
      </c>
      <c r="G20" s="4" t="inlineStr">
        <is>
          <t>Colombia</t>
        </is>
      </c>
      <c r="H20" s="4" t="inlineStr">
        <is>
          <t>Japan</t>
        </is>
      </c>
      <c r="I20" s="4" t="n">
        <v>1</v>
      </c>
      <c r="J20" s="4" t="n">
        <v>2</v>
      </c>
      <c r="K20" s="6">
        <f>IF(OR(I20="",J20=""),"",I20&amp;"-"&amp;J20)</f>
        <v/>
      </c>
      <c r="L20" s="6">
        <f>IF(OR(I20="",J20=""),"",IF(I20&gt;J20,"Gana",IF(I20=J20,"Empata","Pierde")))</f>
        <v/>
      </c>
      <c r="M20" s="4" t="b">
        <v>0</v>
      </c>
      <c r="N20" s="4" t="b">
        <v>0</v>
      </c>
      <c r="O20" s="6">
        <f>IF(OR(I20="",J20=""),"",I20+J20)</f>
        <v/>
      </c>
      <c r="P20" s="6">
        <f>IF(OR(I20="",J20=""),"",I20-J20)</f>
        <v/>
      </c>
      <c r="Q20" s="6">
        <f>IF(L20="","",IF(L20="Gana",3,IF(L20="Empata",1,0)))</f>
        <v/>
      </c>
      <c r="R20" s="6">
        <f>IF(L20="","",IF(L20="Pierde",3,IF(L20="Empata",1,0)))</f>
        <v/>
      </c>
      <c r="S20" s="4" t="inlineStr">
        <is>
          <t>https://github.com/jfjelstul/worldcup</t>
        </is>
      </c>
    </row>
    <row r="21">
      <c r="A21" s="4" t="inlineStr">
        <is>
          <t>M-2018-16</t>
        </is>
      </c>
      <c r="B21" s="4" t="n">
        <v>2018</v>
      </c>
      <c r="C21" s="4" t="inlineStr">
        <is>
          <t>Fase de grupos</t>
        </is>
      </c>
      <c r="D21" s="4" t="inlineStr">
        <is>
          <t>H</t>
        </is>
      </c>
      <c r="E21" s="4" t="n">
        <v>1</v>
      </c>
      <c r="F21" s="14" t="n">
        <v>43270</v>
      </c>
      <c r="G21" s="4" t="inlineStr">
        <is>
          <t>Poland</t>
        </is>
      </c>
      <c r="H21" s="4" t="inlineStr">
        <is>
          <t>Senegal</t>
        </is>
      </c>
      <c r="I21" s="4" t="n">
        <v>1</v>
      </c>
      <c r="J21" s="4" t="n">
        <v>2</v>
      </c>
      <c r="K21" s="6">
        <f>IF(OR(I21="",J21=""),"",I21&amp;"-"&amp;J21)</f>
        <v/>
      </c>
      <c r="L21" s="6">
        <f>IF(OR(I21="",J21=""),"",IF(I21&gt;J21,"Gana",IF(I21=J21,"Empata","Pierde")))</f>
        <v/>
      </c>
      <c r="M21" s="4" t="b">
        <v>0</v>
      </c>
      <c r="N21" s="4" t="b">
        <v>0</v>
      </c>
      <c r="O21" s="6">
        <f>IF(OR(I21="",J21=""),"",I21+J21)</f>
        <v/>
      </c>
      <c r="P21" s="6">
        <f>IF(OR(I21="",J21=""),"",I21-J21)</f>
        <v/>
      </c>
      <c r="Q21" s="6">
        <f>IF(L21="","",IF(L21="Gana",3,IF(L21="Empata",1,0)))</f>
        <v/>
      </c>
      <c r="R21" s="6">
        <f>IF(L21="","",IF(L21="Pierde",3,IF(L21="Empata",1,0)))</f>
        <v/>
      </c>
      <c r="S21" s="4" t="inlineStr">
        <is>
          <t>https://github.com/jfjelstul/worldcup</t>
        </is>
      </c>
    </row>
    <row r="22">
      <c r="A22" s="4" t="inlineStr">
        <is>
          <t>M-2018-17</t>
        </is>
      </c>
      <c r="B22" s="4" t="n">
        <v>2018</v>
      </c>
      <c r="C22" s="4" t="inlineStr">
        <is>
          <t>Fase de grupos</t>
        </is>
      </c>
      <c r="D22" s="4" t="inlineStr">
        <is>
          <t>A</t>
        </is>
      </c>
      <c r="E22" s="4" t="n">
        <v>2</v>
      </c>
      <c r="F22" s="14" t="n">
        <v>43270</v>
      </c>
      <c r="G22" s="4" t="inlineStr">
        <is>
          <t>Russia</t>
        </is>
      </c>
      <c r="H22" s="4" t="inlineStr">
        <is>
          <t>Egypt</t>
        </is>
      </c>
      <c r="I22" s="4" t="n">
        <v>3</v>
      </c>
      <c r="J22" s="4" t="n">
        <v>1</v>
      </c>
      <c r="K22" s="6">
        <f>IF(OR(I22="",J22=""),"",I22&amp;"-"&amp;J22)</f>
        <v/>
      </c>
      <c r="L22" s="6">
        <f>IF(OR(I22="",J22=""),"",IF(I22&gt;J22,"Gana",IF(I22=J22,"Empata","Pierde")))</f>
        <v/>
      </c>
      <c r="M22" s="4" t="b">
        <v>1</v>
      </c>
      <c r="N22" s="4" t="b">
        <v>0</v>
      </c>
      <c r="O22" s="6">
        <f>IF(OR(I22="",J22=""),"",I22+J22)</f>
        <v/>
      </c>
      <c r="P22" s="6">
        <f>IF(OR(I22="",J22=""),"",I22-J22)</f>
        <v/>
      </c>
      <c r="Q22" s="6">
        <f>IF(L22="","",IF(L22="Gana",3,IF(L22="Empata",1,0)))</f>
        <v/>
      </c>
      <c r="R22" s="6">
        <f>IF(L22="","",IF(L22="Pierde",3,IF(L22="Empata",1,0)))</f>
        <v/>
      </c>
      <c r="S22" s="4" t="inlineStr">
        <is>
          <t>https://github.com/jfjelstul/worldcup</t>
        </is>
      </c>
    </row>
    <row r="23">
      <c r="A23" s="4" t="inlineStr">
        <is>
          <t>M-2018-18</t>
        </is>
      </c>
      <c r="B23" s="4" t="n">
        <v>2018</v>
      </c>
      <c r="C23" s="4" t="inlineStr">
        <is>
          <t>Fase de grupos</t>
        </is>
      </c>
      <c r="D23" s="4" t="inlineStr">
        <is>
          <t>B</t>
        </is>
      </c>
      <c r="E23" s="4" t="n">
        <v>2</v>
      </c>
      <c r="F23" s="14" t="n">
        <v>43271</v>
      </c>
      <c r="G23" s="4" t="inlineStr">
        <is>
          <t>Portugal</t>
        </is>
      </c>
      <c r="H23" s="4" t="inlineStr">
        <is>
          <t>Morocco</t>
        </is>
      </c>
      <c r="I23" s="4" t="n">
        <v>1</v>
      </c>
      <c r="J23" s="4" t="n">
        <v>0</v>
      </c>
      <c r="K23" s="6">
        <f>IF(OR(I23="",J23=""),"",I23&amp;"-"&amp;J23)</f>
        <v/>
      </c>
      <c r="L23" s="6">
        <f>IF(OR(I23="",J23=""),"",IF(I23&gt;J23,"Gana",IF(I23=J23,"Empata","Pierde")))</f>
        <v/>
      </c>
      <c r="M23" s="4" t="b">
        <v>0</v>
      </c>
      <c r="N23" s="4" t="b">
        <v>0</v>
      </c>
      <c r="O23" s="6">
        <f>IF(OR(I23="",J23=""),"",I23+J23)</f>
        <v/>
      </c>
      <c r="P23" s="6">
        <f>IF(OR(I23="",J23=""),"",I23-J23)</f>
        <v/>
      </c>
      <c r="Q23" s="6">
        <f>IF(L23="","",IF(L23="Gana",3,IF(L23="Empata",1,0)))</f>
        <v/>
      </c>
      <c r="R23" s="6">
        <f>IF(L23="","",IF(L23="Pierde",3,IF(L23="Empata",1,0)))</f>
        <v/>
      </c>
      <c r="S23" s="4" t="inlineStr">
        <is>
          <t>https://github.com/jfjelstul/worldcup</t>
        </is>
      </c>
    </row>
    <row r="24">
      <c r="A24" s="4" t="inlineStr">
        <is>
          <t>M-2018-19</t>
        </is>
      </c>
      <c r="B24" s="4" t="n">
        <v>2018</v>
      </c>
      <c r="C24" s="4" t="inlineStr">
        <is>
          <t>Fase de grupos</t>
        </is>
      </c>
      <c r="D24" s="4" t="inlineStr">
        <is>
          <t>A</t>
        </is>
      </c>
      <c r="E24" s="4" t="n">
        <v>2</v>
      </c>
      <c r="F24" s="14" t="n">
        <v>43271</v>
      </c>
      <c r="G24" s="4" t="inlineStr">
        <is>
          <t>Uruguay</t>
        </is>
      </c>
      <c r="H24" s="4" t="inlineStr">
        <is>
          <t>Saudi Arabia</t>
        </is>
      </c>
      <c r="I24" s="4" t="n">
        <v>1</v>
      </c>
      <c r="J24" s="4" t="n">
        <v>0</v>
      </c>
      <c r="K24" s="6">
        <f>IF(OR(I24="",J24=""),"",I24&amp;"-"&amp;J24)</f>
        <v/>
      </c>
      <c r="L24" s="6">
        <f>IF(OR(I24="",J24=""),"",IF(I24&gt;J24,"Gana",IF(I24=J24,"Empata","Pierde")))</f>
        <v/>
      </c>
      <c r="M24" s="4" t="b">
        <v>0</v>
      </c>
      <c r="N24" s="4" t="b">
        <v>0</v>
      </c>
      <c r="O24" s="6">
        <f>IF(OR(I24="",J24=""),"",I24+J24)</f>
        <v/>
      </c>
      <c r="P24" s="6">
        <f>IF(OR(I24="",J24=""),"",I24-J24)</f>
        <v/>
      </c>
      <c r="Q24" s="6">
        <f>IF(L24="","",IF(L24="Gana",3,IF(L24="Empata",1,0)))</f>
        <v/>
      </c>
      <c r="R24" s="6">
        <f>IF(L24="","",IF(L24="Pierde",3,IF(L24="Empata",1,0)))</f>
        <v/>
      </c>
      <c r="S24" s="4" t="inlineStr">
        <is>
          <t>https://github.com/jfjelstul/worldcup</t>
        </is>
      </c>
    </row>
    <row r="25">
      <c r="A25" s="4" t="inlineStr">
        <is>
          <t>M-2018-20</t>
        </is>
      </c>
      <c r="B25" s="4" t="n">
        <v>2018</v>
      </c>
      <c r="C25" s="4" t="inlineStr">
        <is>
          <t>Fase de grupos</t>
        </is>
      </c>
      <c r="D25" s="4" t="inlineStr">
        <is>
          <t>B</t>
        </is>
      </c>
      <c r="E25" s="4" t="n">
        <v>2</v>
      </c>
      <c r="F25" s="14" t="n">
        <v>43271</v>
      </c>
      <c r="G25" s="4" t="inlineStr">
        <is>
          <t>Iran</t>
        </is>
      </c>
      <c r="H25" s="4" t="inlineStr">
        <is>
          <t>Spain</t>
        </is>
      </c>
      <c r="I25" s="4" t="n">
        <v>0</v>
      </c>
      <c r="J25" s="4" t="n">
        <v>1</v>
      </c>
      <c r="K25" s="6">
        <f>IF(OR(I25="",J25=""),"",I25&amp;"-"&amp;J25)</f>
        <v/>
      </c>
      <c r="L25" s="6">
        <f>IF(OR(I25="",J25=""),"",IF(I25&gt;J25,"Gana",IF(I25=J25,"Empata","Pierde")))</f>
        <v/>
      </c>
      <c r="M25" s="4" t="b">
        <v>0</v>
      </c>
      <c r="N25" s="4" t="b">
        <v>0</v>
      </c>
      <c r="O25" s="6">
        <f>IF(OR(I25="",J25=""),"",I25+J25)</f>
        <v/>
      </c>
      <c r="P25" s="6">
        <f>IF(OR(I25="",J25=""),"",I25-J25)</f>
        <v/>
      </c>
      <c r="Q25" s="6">
        <f>IF(L25="","",IF(L25="Gana",3,IF(L25="Empata",1,0)))</f>
        <v/>
      </c>
      <c r="R25" s="6">
        <f>IF(L25="","",IF(L25="Pierde",3,IF(L25="Empata",1,0)))</f>
        <v/>
      </c>
      <c r="S25" s="4" t="inlineStr">
        <is>
          <t>https://github.com/jfjelstul/worldcup</t>
        </is>
      </c>
    </row>
    <row r="26">
      <c r="A26" s="4" t="inlineStr">
        <is>
          <t>M-2018-21</t>
        </is>
      </c>
      <c r="B26" s="4" t="n">
        <v>2018</v>
      </c>
      <c r="C26" s="4" t="inlineStr">
        <is>
          <t>Fase de grupos</t>
        </is>
      </c>
      <c r="D26" s="4" t="inlineStr">
        <is>
          <t>C</t>
        </is>
      </c>
      <c r="E26" s="4" t="n">
        <v>2</v>
      </c>
      <c r="F26" s="14" t="n">
        <v>43272</v>
      </c>
      <c r="G26" s="4" t="inlineStr">
        <is>
          <t>Denmark</t>
        </is>
      </c>
      <c r="H26" s="4" t="inlineStr">
        <is>
          <t>Australia</t>
        </is>
      </c>
      <c r="I26" s="4" t="n">
        <v>1</v>
      </c>
      <c r="J26" s="4" t="n">
        <v>1</v>
      </c>
      <c r="K26" s="6">
        <f>IF(OR(I26="",J26=""),"",I26&amp;"-"&amp;J26)</f>
        <v/>
      </c>
      <c r="L26" s="6">
        <f>IF(OR(I26="",J26=""),"",IF(I26&gt;J26,"Gana",IF(I26=J26,"Empata","Pierde")))</f>
        <v/>
      </c>
      <c r="M26" s="4" t="b">
        <v>0</v>
      </c>
      <c r="N26" s="4" t="b">
        <v>0</v>
      </c>
      <c r="O26" s="6">
        <f>IF(OR(I26="",J26=""),"",I26+J26)</f>
        <v/>
      </c>
      <c r="P26" s="6">
        <f>IF(OR(I26="",J26=""),"",I26-J26)</f>
        <v/>
      </c>
      <c r="Q26" s="6">
        <f>IF(L26="","",IF(L26="Gana",3,IF(L26="Empata",1,0)))</f>
        <v/>
      </c>
      <c r="R26" s="6">
        <f>IF(L26="","",IF(L26="Pierde",3,IF(L26="Empata",1,0)))</f>
        <v/>
      </c>
      <c r="S26" s="4" t="inlineStr">
        <is>
          <t>https://github.com/jfjelstul/worldcup</t>
        </is>
      </c>
    </row>
    <row r="27">
      <c r="A27" s="4" t="inlineStr">
        <is>
          <t>M-2018-22</t>
        </is>
      </c>
      <c r="B27" s="4" t="n">
        <v>2018</v>
      </c>
      <c r="C27" s="4" t="inlineStr">
        <is>
          <t>Fase de grupos</t>
        </is>
      </c>
      <c r="D27" s="4" t="inlineStr">
        <is>
          <t>C</t>
        </is>
      </c>
      <c r="E27" s="4" t="n">
        <v>2</v>
      </c>
      <c r="F27" s="14" t="n">
        <v>43272</v>
      </c>
      <c r="G27" s="4" t="inlineStr">
        <is>
          <t>France</t>
        </is>
      </c>
      <c r="H27" s="4" t="inlineStr">
        <is>
          <t>Peru</t>
        </is>
      </c>
      <c r="I27" s="4" t="n">
        <v>1</v>
      </c>
      <c r="J27" s="4" t="n">
        <v>0</v>
      </c>
      <c r="K27" s="6">
        <f>IF(OR(I27="",J27=""),"",I27&amp;"-"&amp;J27)</f>
        <v/>
      </c>
      <c r="L27" s="6">
        <f>IF(OR(I27="",J27=""),"",IF(I27&gt;J27,"Gana",IF(I27=J27,"Empata","Pierde")))</f>
        <v/>
      </c>
      <c r="M27" s="4" t="b">
        <v>0</v>
      </c>
      <c r="N27" s="4" t="b">
        <v>0</v>
      </c>
      <c r="O27" s="6">
        <f>IF(OR(I27="",J27=""),"",I27+J27)</f>
        <v/>
      </c>
      <c r="P27" s="6">
        <f>IF(OR(I27="",J27=""),"",I27-J27)</f>
        <v/>
      </c>
      <c r="Q27" s="6">
        <f>IF(L27="","",IF(L27="Gana",3,IF(L27="Empata",1,0)))</f>
        <v/>
      </c>
      <c r="R27" s="6">
        <f>IF(L27="","",IF(L27="Pierde",3,IF(L27="Empata",1,0)))</f>
        <v/>
      </c>
      <c r="S27" s="4" t="inlineStr">
        <is>
          <t>https://github.com/jfjelstul/worldcup</t>
        </is>
      </c>
    </row>
    <row r="28">
      <c r="A28" s="4" t="inlineStr">
        <is>
          <t>M-2018-23</t>
        </is>
      </c>
      <c r="B28" s="4" t="n">
        <v>2018</v>
      </c>
      <c r="C28" s="4" t="inlineStr">
        <is>
          <t>Fase de grupos</t>
        </is>
      </c>
      <c r="D28" s="4" t="inlineStr">
        <is>
          <t>D</t>
        </is>
      </c>
      <c r="E28" s="4" t="n">
        <v>2</v>
      </c>
      <c r="F28" s="14" t="n">
        <v>43272</v>
      </c>
      <c r="G28" s="4" t="inlineStr">
        <is>
          <t>Argentina</t>
        </is>
      </c>
      <c r="H28" s="4" t="inlineStr">
        <is>
          <t>Croatia</t>
        </is>
      </c>
      <c r="I28" s="4" t="n">
        <v>0</v>
      </c>
      <c r="J28" s="4" t="n">
        <v>3</v>
      </c>
      <c r="K28" s="6">
        <f>IF(OR(I28="",J28=""),"",I28&amp;"-"&amp;J28)</f>
        <v/>
      </c>
      <c r="L28" s="6">
        <f>IF(OR(I28="",J28=""),"",IF(I28&gt;J28,"Gana",IF(I28=J28,"Empata","Pierde")))</f>
        <v/>
      </c>
      <c r="M28" s="4" t="b">
        <v>0</v>
      </c>
      <c r="N28" s="4" t="b">
        <v>0</v>
      </c>
      <c r="O28" s="6">
        <f>IF(OR(I28="",J28=""),"",I28+J28)</f>
        <v/>
      </c>
      <c r="P28" s="6">
        <f>IF(OR(I28="",J28=""),"",I28-J28)</f>
        <v/>
      </c>
      <c r="Q28" s="6">
        <f>IF(L28="","",IF(L28="Gana",3,IF(L28="Empata",1,0)))</f>
        <v/>
      </c>
      <c r="R28" s="6">
        <f>IF(L28="","",IF(L28="Pierde",3,IF(L28="Empata",1,0)))</f>
        <v/>
      </c>
      <c r="S28" s="4" t="inlineStr">
        <is>
          <t>https://github.com/jfjelstul/worldcup</t>
        </is>
      </c>
    </row>
    <row r="29">
      <c r="A29" s="4" t="inlineStr">
        <is>
          <t>M-2018-24</t>
        </is>
      </c>
      <c r="B29" s="4" t="n">
        <v>2018</v>
      </c>
      <c r="C29" s="4" t="inlineStr">
        <is>
          <t>Fase de grupos</t>
        </is>
      </c>
      <c r="D29" s="4" t="inlineStr">
        <is>
          <t>E</t>
        </is>
      </c>
      <c r="E29" s="4" t="n">
        <v>2</v>
      </c>
      <c r="F29" s="14" t="n">
        <v>43273</v>
      </c>
      <c r="G29" s="4" t="inlineStr">
        <is>
          <t>Brazil</t>
        </is>
      </c>
      <c r="H29" s="4" t="inlineStr">
        <is>
          <t>Costa Rica</t>
        </is>
      </c>
      <c r="I29" s="4" t="n">
        <v>2</v>
      </c>
      <c r="J29" s="4" t="n">
        <v>0</v>
      </c>
      <c r="K29" s="6">
        <f>IF(OR(I29="",J29=""),"",I29&amp;"-"&amp;J29)</f>
        <v/>
      </c>
      <c r="L29" s="6">
        <f>IF(OR(I29="",J29=""),"",IF(I29&gt;J29,"Gana",IF(I29=J29,"Empata","Pierde")))</f>
        <v/>
      </c>
      <c r="M29" s="4" t="b">
        <v>0</v>
      </c>
      <c r="N29" s="4" t="b">
        <v>0</v>
      </c>
      <c r="O29" s="6">
        <f>IF(OR(I29="",J29=""),"",I29+J29)</f>
        <v/>
      </c>
      <c r="P29" s="6">
        <f>IF(OR(I29="",J29=""),"",I29-J29)</f>
        <v/>
      </c>
      <c r="Q29" s="6">
        <f>IF(L29="","",IF(L29="Gana",3,IF(L29="Empata",1,0)))</f>
        <v/>
      </c>
      <c r="R29" s="6">
        <f>IF(L29="","",IF(L29="Pierde",3,IF(L29="Empata",1,0)))</f>
        <v/>
      </c>
      <c r="S29" s="4" t="inlineStr">
        <is>
          <t>https://github.com/jfjelstul/worldcup</t>
        </is>
      </c>
    </row>
    <row r="30">
      <c r="A30" s="4" t="inlineStr">
        <is>
          <t>M-2018-25</t>
        </is>
      </c>
      <c r="B30" s="4" t="n">
        <v>2018</v>
      </c>
      <c r="C30" s="4" t="inlineStr">
        <is>
          <t>Fase de grupos</t>
        </is>
      </c>
      <c r="D30" s="4" t="inlineStr">
        <is>
          <t>D</t>
        </is>
      </c>
      <c r="E30" s="4" t="n">
        <v>2</v>
      </c>
      <c r="F30" s="14" t="n">
        <v>43273</v>
      </c>
      <c r="G30" s="4" t="inlineStr">
        <is>
          <t>Nigeria</t>
        </is>
      </c>
      <c r="H30" s="4" t="inlineStr">
        <is>
          <t>Iceland</t>
        </is>
      </c>
      <c r="I30" s="4" t="n">
        <v>2</v>
      </c>
      <c r="J30" s="4" t="n">
        <v>0</v>
      </c>
      <c r="K30" s="6">
        <f>IF(OR(I30="",J30=""),"",I30&amp;"-"&amp;J30)</f>
        <v/>
      </c>
      <c r="L30" s="6">
        <f>IF(OR(I30="",J30=""),"",IF(I30&gt;J30,"Gana",IF(I30=J30,"Empata","Pierde")))</f>
        <v/>
      </c>
      <c r="M30" s="4" t="b">
        <v>0</v>
      </c>
      <c r="N30" s="4" t="b">
        <v>0</v>
      </c>
      <c r="O30" s="6">
        <f>IF(OR(I30="",J30=""),"",I30+J30)</f>
        <v/>
      </c>
      <c r="P30" s="6">
        <f>IF(OR(I30="",J30=""),"",I30-J30)</f>
        <v/>
      </c>
      <c r="Q30" s="6">
        <f>IF(L30="","",IF(L30="Gana",3,IF(L30="Empata",1,0)))</f>
        <v/>
      </c>
      <c r="R30" s="6">
        <f>IF(L30="","",IF(L30="Pierde",3,IF(L30="Empata",1,0)))</f>
        <v/>
      </c>
      <c r="S30" s="4" t="inlineStr">
        <is>
          <t>https://github.com/jfjelstul/worldcup</t>
        </is>
      </c>
    </row>
    <row r="31">
      <c r="A31" s="4" t="inlineStr">
        <is>
          <t>M-2018-26</t>
        </is>
      </c>
      <c r="B31" s="4" t="n">
        <v>2018</v>
      </c>
      <c r="C31" s="4" t="inlineStr">
        <is>
          <t>Fase de grupos</t>
        </is>
      </c>
      <c r="D31" s="4" t="inlineStr">
        <is>
          <t>E</t>
        </is>
      </c>
      <c r="E31" s="4" t="n">
        <v>2</v>
      </c>
      <c r="F31" s="14" t="n">
        <v>43273</v>
      </c>
      <c r="G31" s="4" t="inlineStr">
        <is>
          <t>Serbia</t>
        </is>
      </c>
      <c r="H31" s="4" t="inlineStr">
        <is>
          <t>Switzerland</t>
        </is>
      </c>
      <c r="I31" s="4" t="n">
        <v>1</v>
      </c>
      <c r="J31" s="4" t="n">
        <v>2</v>
      </c>
      <c r="K31" s="6">
        <f>IF(OR(I31="",J31=""),"",I31&amp;"-"&amp;J31)</f>
        <v/>
      </c>
      <c r="L31" s="6">
        <f>IF(OR(I31="",J31=""),"",IF(I31&gt;J31,"Gana",IF(I31=J31,"Empata","Pierde")))</f>
        <v/>
      </c>
      <c r="M31" s="4" t="b">
        <v>0</v>
      </c>
      <c r="N31" s="4" t="b">
        <v>0</v>
      </c>
      <c r="O31" s="6">
        <f>IF(OR(I31="",J31=""),"",I31+J31)</f>
        <v/>
      </c>
      <c r="P31" s="6">
        <f>IF(OR(I31="",J31=""),"",I31-J31)</f>
        <v/>
      </c>
      <c r="Q31" s="6">
        <f>IF(L31="","",IF(L31="Gana",3,IF(L31="Empata",1,0)))</f>
        <v/>
      </c>
      <c r="R31" s="6">
        <f>IF(L31="","",IF(L31="Pierde",3,IF(L31="Empata",1,0)))</f>
        <v/>
      </c>
      <c r="S31" s="4" t="inlineStr">
        <is>
          <t>https://github.com/jfjelstul/worldcup</t>
        </is>
      </c>
    </row>
    <row r="32">
      <c r="A32" s="4" t="inlineStr">
        <is>
          <t>M-2018-27</t>
        </is>
      </c>
      <c r="B32" s="4" t="n">
        <v>2018</v>
      </c>
      <c r="C32" s="4" t="inlineStr">
        <is>
          <t>Fase de grupos</t>
        </is>
      </c>
      <c r="D32" s="4" t="inlineStr">
        <is>
          <t>G</t>
        </is>
      </c>
      <c r="E32" s="4" t="n">
        <v>2</v>
      </c>
      <c r="F32" s="14" t="n">
        <v>43274</v>
      </c>
      <c r="G32" s="4" t="inlineStr">
        <is>
          <t>Belgium</t>
        </is>
      </c>
      <c r="H32" s="4" t="inlineStr">
        <is>
          <t>Tunisia</t>
        </is>
      </c>
      <c r="I32" s="4" t="n">
        <v>5</v>
      </c>
      <c r="J32" s="4" t="n">
        <v>2</v>
      </c>
      <c r="K32" s="6">
        <f>IF(OR(I32="",J32=""),"",I32&amp;"-"&amp;J32)</f>
        <v/>
      </c>
      <c r="L32" s="6">
        <f>IF(OR(I32="",J32=""),"",IF(I32&gt;J32,"Gana",IF(I32=J32,"Empata","Pierde")))</f>
        <v/>
      </c>
      <c r="M32" s="4" t="b">
        <v>0</v>
      </c>
      <c r="N32" s="4" t="b">
        <v>0</v>
      </c>
      <c r="O32" s="6">
        <f>IF(OR(I32="",J32=""),"",I32+J32)</f>
        <v/>
      </c>
      <c r="P32" s="6">
        <f>IF(OR(I32="",J32=""),"",I32-J32)</f>
        <v/>
      </c>
      <c r="Q32" s="6">
        <f>IF(L32="","",IF(L32="Gana",3,IF(L32="Empata",1,0)))</f>
        <v/>
      </c>
      <c r="R32" s="6">
        <f>IF(L32="","",IF(L32="Pierde",3,IF(L32="Empata",1,0)))</f>
        <v/>
      </c>
      <c r="S32" s="4" t="inlineStr">
        <is>
          <t>https://github.com/jfjelstul/worldcup</t>
        </is>
      </c>
    </row>
    <row r="33">
      <c r="A33" s="4" t="inlineStr">
        <is>
          <t>M-2018-28</t>
        </is>
      </c>
      <c r="B33" s="4" t="n">
        <v>2018</v>
      </c>
      <c r="C33" s="4" t="inlineStr">
        <is>
          <t>Fase de grupos</t>
        </is>
      </c>
      <c r="D33" s="4" t="inlineStr">
        <is>
          <t>F</t>
        </is>
      </c>
      <c r="E33" s="4" t="n">
        <v>2</v>
      </c>
      <c r="F33" s="14" t="n">
        <v>43274</v>
      </c>
      <c r="G33" s="4" t="inlineStr">
        <is>
          <t>South Korea</t>
        </is>
      </c>
      <c r="H33" s="4" t="inlineStr">
        <is>
          <t>Mexico</t>
        </is>
      </c>
      <c r="I33" s="4" t="n">
        <v>1</v>
      </c>
      <c r="J33" s="4" t="n">
        <v>2</v>
      </c>
      <c r="K33" s="6">
        <f>IF(OR(I33="",J33=""),"",I33&amp;"-"&amp;J33)</f>
        <v/>
      </c>
      <c r="L33" s="6">
        <f>IF(OR(I33="",J33=""),"",IF(I33&gt;J33,"Gana",IF(I33=J33,"Empata","Pierde")))</f>
        <v/>
      </c>
      <c r="M33" s="4" t="b">
        <v>0</v>
      </c>
      <c r="N33" s="4" t="b">
        <v>0</v>
      </c>
      <c r="O33" s="6">
        <f>IF(OR(I33="",J33=""),"",I33+J33)</f>
        <v/>
      </c>
      <c r="P33" s="6">
        <f>IF(OR(I33="",J33=""),"",I33-J33)</f>
        <v/>
      </c>
      <c r="Q33" s="6">
        <f>IF(L33="","",IF(L33="Gana",3,IF(L33="Empata",1,0)))</f>
        <v/>
      </c>
      <c r="R33" s="6">
        <f>IF(L33="","",IF(L33="Pierde",3,IF(L33="Empata",1,0)))</f>
        <v/>
      </c>
      <c r="S33" s="4" t="inlineStr">
        <is>
          <t>https://github.com/jfjelstul/worldcup</t>
        </is>
      </c>
    </row>
    <row r="34">
      <c r="A34" s="4" t="inlineStr">
        <is>
          <t>M-2018-29</t>
        </is>
      </c>
      <c r="B34" s="4" t="n">
        <v>2018</v>
      </c>
      <c r="C34" s="4" t="inlineStr">
        <is>
          <t>Fase de grupos</t>
        </is>
      </c>
      <c r="D34" s="4" t="inlineStr">
        <is>
          <t>F</t>
        </is>
      </c>
      <c r="E34" s="4" t="n">
        <v>2</v>
      </c>
      <c r="F34" s="14" t="n">
        <v>43274</v>
      </c>
      <c r="G34" s="4" t="inlineStr">
        <is>
          <t>Germany</t>
        </is>
      </c>
      <c r="H34" s="4" t="inlineStr">
        <is>
          <t>Sweden</t>
        </is>
      </c>
      <c r="I34" s="4" t="n">
        <v>2</v>
      </c>
      <c r="J34" s="4" t="n">
        <v>1</v>
      </c>
      <c r="K34" s="6">
        <f>IF(OR(I34="",J34=""),"",I34&amp;"-"&amp;J34)</f>
        <v/>
      </c>
      <c r="L34" s="6">
        <f>IF(OR(I34="",J34=""),"",IF(I34&gt;J34,"Gana",IF(I34=J34,"Empata","Pierde")))</f>
        <v/>
      </c>
      <c r="M34" s="4" t="b">
        <v>0</v>
      </c>
      <c r="N34" s="4" t="b">
        <v>0</v>
      </c>
      <c r="O34" s="6">
        <f>IF(OR(I34="",J34=""),"",I34+J34)</f>
        <v/>
      </c>
      <c r="P34" s="6">
        <f>IF(OR(I34="",J34=""),"",I34-J34)</f>
        <v/>
      </c>
      <c r="Q34" s="6">
        <f>IF(L34="","",IF(L34="Gana",3,IF(L34="Empata",1,0)))</f>
        <v/>
      </c>
      <c r="R34" s="6">
        <f>IF(L34="","",IF(L34="Pierde",3,IF(L34="Empata",1,0)))</f>
        <v/>
      </c>
      <c r="S34" s="4" t="inlineStr">
        <is>
          <t>https://github.com/jfjelstul/worldcup</t>
        </is>
      </c>
    </row>
    <row r="35">
      <c r="A35" s="4" t="inlineStr">
        <is>
          <t>M-2018-30</t>
        </is>
      </c>
      <c r="B35" s="4" t="n">
        <v>2018</v>
      </c>
      <c r="C35" s="4" t="inlineStr">
        <is>
          <t>Fase de grupos</t>
        </is>
      </c>
      <c r="D35" s="4" t="inlineStr">
        <is>
          <t>G</t>
        </is>
      </c>
      <c r="E35" s="4" t="n">
        <v>2</v>
      </c>
      <c r="F35" s="14" t="n">
        <v>43275</v>
      </c>
      <c r="G35" s="4" t="inlineStr">
        <is>
          <t>England</t>
        </is>
      </c>
      <c r="H35" s="4" t="inlineStr">
        <is>
          <t>Panama</t>
        </is>
      </c>
      <c r="I35" s="4" t="n">
        <v>6</v>
      </c>
      <c r="J35" s="4" t="n">
        <v>1</v>
      </c>
      <c r="K35" s="6">
        <f>IF(OR(I35="",J35=""),"",I35&amp;"-"&amp;J35)</f>
        <v/>
      </c>
      <c r="L35" s="6">
        <f>IF(OR(I35="",J35=""),"",IF(I35&gt;J35,"Gana",IF(I35=J35,"Empata","Pierde")))</f>
        <v/>
      </c>
      <c r="M35" s="4" t="b">
        <v>0</v>
      </c>
      <c r="N35" s="4" t="b">
        <v>0</v>
      </c>
      <c r="O35" s="6">
        <f>IF(OR(I35="",J35=""),"",I35+J35)</f>
        <v/>
      </c>
      <c r="P35" s="6">
        <f>IF(OR(I35="",J35=""),"",I35-J35)</f>
        <v/>
      </c>
      <c r="Q35" s="6">
        <f>IF(L35="","",IF(L35="Gana",3,IF(L35="Empata",1,0)))</f>
        <v/>
      </c>
      <c r="R35" s="6">
        <f>IF(L35="","",IF(L35="Pierde",3,IF(L35="Empata",1,0)))</f>
        <v/>
      </c>
      <c r="S35" s="4" t="inlineStr">
        <is>
          <t>https://github.com/jfjelstul/worldcup</t>
        </is>
      </c>
    </row>
    <row r="36">
      <c r="A36" s="4" t="inlineStr">
        <is>
          <t>M-2018-31</t>
        </is>
      </c>
      <c r="B36" s="4" t="n">
        <v>2018</v>
      </c>
      <c r="C36" s="4" t="inlineStr">
        <is>
          <t>Fase de grupos</t>
        </is>
      </c>
      <c r="D36" s="4" t="inlineStr">
        <is>
          <t>H</t>
        </is>
      </c>
      <c r="E36" s="4" t="n">
        <v>2</v>
      </c>
      <c r="F36" s="14" t="n">
        <v>43275</v>
      </c>
      <c r="G36" s="4" t="inlineStr">
        <is>
          <t>Japan</t>
        </is>
      </c>
      <c r="H36" s="4" t="inlineStr">
        <is>
          <t>Senegal</t>
        </is>
      </c>
      <c r="I36" s="4" t="n">
        <v>2</v>
      </c>
      <c r="J36" s="4" t="n">
        <v>2</v>
      </c>
      <c r="K36" s="6">
        <f>IF(OR(I36="",J36=""),"",I36&amp;"-"&amp;J36)</f>
        <v/>
      </c>
      <c r="L36" s="6">
        <f>IF(OR(I36="",J36=""),"",IF(I36&gt;J36,"Gana",IF(I36=J36,"Empata","Pierde")))</f>
        <v/>
      </c>
      <c r="M36" s="4" t="b">
        <v>0</v>
      </c>
      <c r="N36" s="4" t="b">
        <v>0</v>
      </c>
      <c r="O36" s="6">
        <f>IF(OR(I36="",J36=""),"",I36+J36)</f>
        <v/>
      </c>
      <c r="P36" s="6">
        <f>IF(OR(I36="",J36=""),"",I36-J36)</f>
        <v/>
      </c>
      <c r="Q36" s="6">
        <f>IF(L36="","",IF(L36="Gana",3,IF(L36="Empata",1,0)))</f>
        <v/>
      </c>
      <c r="R36" s="6">
        <f>IF(L36="","",IF(L36="Pierde",3,IF(L36="Empata",1,0)))</f>
        <v/>
      </c>
      <c r="S36" s="4" t="inlineStr">
        <is>
          <t>https://github.com/jfjelstul/worldcup</t>
        </is>
      </c>
    </row>
    <row r="37">
      <c r="A37" s="4" t="inlineStr">
        <is>
          <t>M-2018-32</t>
        </is>
      </c>
      <c r="B37" s="4" t="n">
        <v>2018</v>
      </c>
      <c r="C37" s="4" t="inlineStr">
        <is>
          <t>Fase de grupos</t>
        </is>
      </c>
      <c r="D37" s="4" t="inlineStr">
        <is>
          <t>H</t>
        </is>
      </c>
      <c r="E37" s="4" t="n">
        <v>2</v>
      </c>
      <c r="F37" s="14" t="n">
        <v>43275</v>
      </c>
      <c r="G37" s="4" t="inlineStr">
        <is>
          <t>Poland</t>
        </is>
      </c>
      <c r="H37" s="4" t="inlineStr">
        <is>
          <t>Colombia</t>
        </is>
      </c>
      <c r="I37" s="4" t="n">
        <v>0</v>
      </c>
      <c r="J37" s="4" t="n">
        <v>3</v>
      </c>
      <c r="K37" s="6">
        <f>IF(OR(I37="",J37=""),"",I37&amp;"-"&amp;J37)</f>
        <v/>
      </c>
      <c r="L37" s="6">
        <f>IF(OR(I37="",J37=""),"",IF(I37&gt;J37,"Gana",IF(I37=J37,"Empata","Pierde")))</f>
        <v/>
      </c>
      <c r="M37" s="4" t="b">
        <v>0</v>
      </c>
      <c r="N37" s="4" t="b">
        <v>0</v>
      </c>
      <c r="O37" s="6">
        <f>IF(OR(I37="",J37=""),"",I37+J37)</f>
        <v/>
      </c>
      <c r="P37" s="6">
        <f>IF(OR(I37="",J37=""),"",I37-J37)</f>
        <v/>
      </c>
      <c r="Q37" s="6">
        <f>IF(L37="","",IF(L37="Gana",3,IF(L37="Empata",1,0)))</f>
        <v/>
      </c>
      <c r="R37" s="6">
        <f>IF(L37="","",IF(L37="Pierde",3,IF(L37="Empata",1,0)))</f>
        <v/>
      </c>
      <c r="S37" s="4" t="inlineStr">
        <is>
          <t>https://github.com/jfjelstul/worldcup</t>
        </is>
      </c>
    </row>
    <row r="38">
      <c r="A38" s="4" t="inlineStr">
        <is>
          <t>M-2018-33</t>
        </is>
      </c>
      <c r="B38" s="4" t="n">
        <v>2018</v>
      </c>
      <c r="C38" s="4" t="inlineStr">
        <is>
          <t>Fase de grupos</t>
        </is>
      </c>
      <c r="D38" s="4" t="inlineStr">
        <is>
          <t>A</t>
        </is>
      </c>
      <c r="E38" s="4" t="n">
        <v>3</v>
      </c>
      <c r="F38" s="14" t="n">
        <v>43276</v>
      </c>
      <c r="G38" s="4" t="inlineStr">
        <is>
          <t>Saudi Arabia</t>
        </is>
      </c>
      <c r="H38" s="4" t="inlineStr">
        <is>
          <t>Egypt</t>
        </is>
      </c>
      <c r="I38" s="4" t="n">
        <v>2</v>
      </c>
      <c r="J38" s="4" t="n">
        <v>1</v>
      </c>
      <c r="K38" s="6">
        <f>IF(OR(I38="",J38=""),"",I38&amp;"-"&amp;J38)</f>
        <v/>
      </c>
      <c r="L38" s="6">
        <f>IF(OR(I38="",J38=""),"",IF(I38&gt;J38,"Gana",IF(I38=J38,"Empata","Pierde")))</f>
        <v/>
      </c>
      <c r="M38" s="4" t="b">
        <v>0</v>
      </c>
      <c r="N38" s="4" t="b">
        <v>0</v>
      </c>
      <c r="O38" s="6">
        <f>IF(OR(I38="",J38=""),"",I38+J38)</f>
        <v/>
      </c>
      <c r="P38" s="6">
        <f>IF(OR(I38="",J38=""),"",I38-J38)</f>
        <v/>
      </c>
      <c r="Q38" s="6">
        <f>IF(L38="","",IF(L38="Gana",3,IF(L38="Empata",1,0)))</f>
        <v/>
      </c>
      <c r="R38" s="6">
        <f>IF(L38="","",IF(L38="Pierde",3,IF(L38="Empata",1,0)))</f>
        <v/>
      </c>
      <c r="S38" s="4" t="inlineStr">
        <is>
          <t>https://github.com/jfjelstul/worldcup</t>
        </is>
      </c>
    </row>
    <row r="39">
      <c r="A39" s="4" t="inlineStr">
        <is>
          <t>M-2018-34</t>
        </is>
      </c>
      <c r="B39" s="4" t="n">
        <v>2018</v>
      </c>
      <c r="C39" s="4" t="inlineStr">
        <is>
          <t>Fase de grupos</t>
        </is>
      </c>
      <c r="D39" s="4" t="inlineStr">
        <is>
          <t>A</t>
        </is>
      </c>
      <c r="E39" s="4" t="n">
        <v>3</v>
      </c>
      <c r="F39" s="14" t="n">
        <v>43276</v>
      </c>
      <c r="G39" s="4" t="inlineStr">
        <is>
          <t>Uruguay</t>
        </is>
      </c>
      <c r="H39" s="4" t="inlineStr">
        <is>
          <t>Russia</t>
        </is>
      </c>
      <c r="I39" s="4" t="n">
        <v>3</v>
      </c>
      <c r="J39" s="4" t="n">
        <v>0</v>
      </c>
      <c r="K39" s="6">
        <f>IF(OR(I39="",J39=""),"",I39&amp;"-"&amp;J39)</f>
        <v/>
      </c>
      <c r="L39" s="6">
        <f>IF(OR(I39="",J39=""),"",IF(I39&gt;J39,"Gana",IF(I39=J39,"Empata","Pierde")))</f>
        <v/>
      </c>
      <c r="M39" s="4" t="b">
        <v>0</v>
      </c>
      <c r="N39" s="4" t="b">
        <v>1</v>
      </c>
      <c r="O39" s="6">
        <f>IF(OR(I39="",J39=""),"",I39+J39)</f>
        <v/>
      </c>
      <c r="P39" s="6">
        <f>IF(OR(I39="",J39=""),"",I39-J39)</f>
        <v/>
      </c>
      <c r="Q39" s="6">
        <f>IF(L39="","",IF(L39="Gana",3,IF(L39="Empata",1,0)))</f>
        <v/>
      </c>
      <c r="R39" s="6">
        <f>IF(L39="","",IF(L39="Pierde",3,IF(L39="Empata",1,0)))</f>
        <v/>
      </c>
      <c r="S39" s="4" t="inlineStr">
        <is>
          <t>https://github.com/jfjelstul/worldcup</t>
        </is>
      </c>
    </row>
    <row r="40">
      <c r="A40" s="4" t="inlineStr">
        <is>
          <t>M-2018-35</t>
        </is>
      </c>
      <c r="B40" s="4" t="n">
        <v>2018</v>
      </c>
      <c r="C40" s="4" t="inlineStr">
        <is>
          <t>Fase de grupos</t>
        </is>
      </c>
      <c r="D40" s="4" t="inlineStr">
        <is>
          <t>B</t>
        </is>
      </c>
      <c r="E40" s="4" t="n">
        <v>3</v>
      </c>
      <c r="F40" s="14" t="n">
        <v>43276</v>
      </c>
      <c r="G40" s="4" t="inlineStr">
        <is>
          <t>Spain</t>
        </is>
      </c>
      <c r="H40" s="4" t="inlineStr">
        <is>
          <t>Morocco</t>
        </is>
      </c>
      <c r="I40" s="4" t="n">
        <v>2</v>
      </c>
      <c r="J40" s="4" t="n">
        <v>2</v>
      </c>
      <c r="K40" s="6">
        <f>IF(OR(I40="",J40=""),"",I40&amp;"-"&amp;J40)</f>
        <v/>
      </c>
      <c r="L40" s="6">
        <f>IF(OR(I40="",J40=""),"",IF(I40&gt;J40,"Gana",IF(I40=J40,"Empata","Pierde")))</f>
        <v/>
      </c>
      <c r="M40" s="4" t="b">
        <v>0</v>
      </c>
      <c r="N40" s="4" t="b">
        <v>0</v>
      </c>
      <c r="O40" s="6">
        <f>IF(OR(I40="",J40=""),"",I40+J40)</f>
        <v/>
      </c>
      <c r="P40" s="6">
        <f>IF(OR(I40="",J40=""),"",I40-J40)</f>
        <v/>
      </c>
      <c r="Q40" s="6">
        <f>IF(L40="","",IF(L40="Gana",3,IF(L40="Empata",1,0)))</f>
        <v/>
      </c>
      <c r="R40" s="6">
        <f>IF(L40="","",IF(L40="Pierde",3,IF(L40="Empata",1,0)))</f>
        <v/>
      </c>
      <c r="S40" s="4" t="inlineStr">
        <is>
          <t>https://github.com/jfjelstul/worldcup</t>
        </is>
      </c>
    </row>
    <row r="41">
      <c r="A41" s="4" t="inlineStr">
        <is>
          <t>M-2018-36</t>
        </is>
      </c>
      <c r="B41" s="4" t="n">
        <v>2018</v>
      </c>
      <c r="C41" s="4" t="inlineStr">
        <is>
          <t>Fase de grupos</t>
        </is>
      </c>
      <c r="D41" s="4" t="inlineStr">
        <is>
          <t>B</t>
        </is>
      </c>
      <c r="E41" s="4" t="n">
        <v>3</v>
      </c>
      <c r="F41" s="14" t="n">
        <v>43276</v>
      </c>
      <c r="G41" s="4" t="inlineStr">
        <is>
          <t>Iran</t>
        </is>
      </c>
      <c r="H41" s="4" t="inlineStr">
        <is>
          <t>Portugal</t>
        </is>
      </c>
      <c r="I41" s="4" t="n">
        <v>1</v>
      </c>
      <c r="J41" s="4" t="n">
        <v>1</v>
      </c>
      <c r="K41" s="6">
        <f>IF(OR(I41="",J41=""),"",I41&amp;"-"&amp;J41)</f>
        <v/>
      </c>
      <c r="L41" s="6">
        <f>IF(OR(I41="",J41=""),"",IF(I41&gt;J41,"Gana",IF(I41=J41,"Empata","Pierde")))</f>
        <v/>
      </c>
      <c r="M41" s="4" t="b">
        <v>0</v>
      </c>
      <c r="N41" s="4" t="b">
        <v>0</v>
      </c>
      <c r="O41" s="6">
        <f>IF(OR(I41="",J41=""),"",I41+J41)</f>
        <v/>
      </c>
      <c r="P41" s="6">
        <f>IF(OR(I41="",J41=""),"",I41-J41)</f>
        <v/>
      </c>
      <c r="Q41" s="6">
        <f>IF(L41="","",IF(L41="Gana",3,IF(L41="Empata",1,0)))</f>
        <v/>
      </c>
      <c r="R41" s="6">
        <f>IF(L41="","",IF(L41="Pierde",3,IF(L41="Empata",1,0)))</f>
        <v/>
      </c>
      <c r="S41" s="4" t="inlineStr">
        <is>
          <t>https://github.com/jfjelstul/worldcup</t>
        </is>
      </c>
    </row>
    <row r="42">
      <c r="A42" s="4" t="inlineStr">
        <is>
          <t>M-2018-37</t>
        </is>
      </c>
      <c r="B42" s="4" t="n">
        <v>2018</v>
      </c>
      <c r="C42" s="4" t="inlineStr">
        <is>
          <t>Fase de grupos</t>
        </is>
      </c>
      <c r="D42" s="4" t="inlineStr">
        <is>
          <t>C</t>
        </is>
      </c>
      <c r="E42" s="4" t="n">
        <v>3</v>
      </c>
      <c r="F42" s="14" t="n">
        <v>43277</v>
      </c>
      <c r="G42" s="4" t="inlineStr">
        <is>
          <t>Australia</t>
        </is>
      </c>
      <c r="H42" s="4" t="inlineStr">
        <is>
          <t>Peru</t>
        </is>
      </c>
      <c r="I42" s="4" t="n">
        <v>0</v>
      </c>
      <c r="J42" s="4" t="n">
        <v>2</v>
      </c>
      <c r="K42" s="6">
        <f>IF(OR(I42="",J42=""),"",I42&amp;"-"&amp;J42)</f>
        <v/>
      </c>
      <c r="L42" s="6">
        <f>IF(OR(I42="",J42=""),"",IF(I42&gt;J42,"Gana",IF(I42=J42,"Empata","Pierde")))</f>
        <v/>
      </c>
      <c r="M42" s="4" t="b">
        <v>0</v>
      </c>
      <c r="N42" s="4" t="b">
        <v>0</v>
      </c>
      <c r="O42" s="6">
        <f>IF(OR(I42="",J42=""),"",I42+J42)</f>
        <v/>
      </c>
      <c r="P42" s="6">
        <f>IF(OR(I42="",J42=""),"",I42-J42)</f>
        <v/>
      </c>
      <c r="Q42" s="6">
        <f>IF(L42="","",IF(L42="Gana",3,IF(L42="Empata",1,0)))</f>
        <v/>
      </c>
      <c r="R42" s="6">
        <f>IF(L42="","",IF(L42="Pierde",3,IF(L42="Empata",1,0)))</f>
        <v/>
      </c>
      <c r="S42" s="4" t="inlineStr">
        <is>
          <t>https://github.com/jfjelstul/worldcup</t>
        </is>
      </c>
    </row>
    <row r="43">
      <c r="A43" s="4" t="inlineStr">
        <is>
          <t>M-2018-38</t>
        </is>
      </c>
      <c r="B43" s="4" t="n">
        <v>2018</v>
      </c>
      <c r="C43" s="4" t="inlineStr">
        <is>
          <t>Fase de grupos</t>
        </is>
      </c>
      <c r="D43" s="4" t="inlineStr">
        <is>
          <t>C</t>
        </is>
      </c>
      <c r="E43" s="4" t="n">
        <v>3</v>
      </c>
      <c r="F43" s="14" t="n">
        <v>43277</v>
      </c>
      <c r="G43" s="4" t="inlineStr">
        <is>
          <t>Denmark</t>
        </is>
      </c>
      <c r="H43" s="4" t="inlineStr">
        <is>
          <t>France</t>
        </is>
      </c>
      <c r="I43" s="4" t="n">
        <v>0</v>
      </c>
      <c r="J43" s="4" t="n">
        <v>0</v>
      </c>
      <c r="K43" s="6">
        <f>IF(OR(I43="",J43=""),"",I43&amp;"-"&amp;J43)</f>
        <v/>
      </c>
      <c r="L43" s="6">
        <f>IF(OR(I43="",J43=""),"",IF(I43&gt;J43,"Gana",IF(I43=J43,"Empata","Pierde")))</f>
        <v/>
      </c>
      <c r="M43" s="4" t="b">
        <v>0</v>
      </c>
      <c r="N43" s="4" t="b">
        <v>0</v>
      </c>
      <c r="O43" s="6">
        <f>IF(OR(I43="",J43=""),"",I43+J43)</f>
        <v/>
      </c>
      <c r="P43" s="6">
        <f>IF(OR(I43="",J43=""),"",I43-J43)</f>
        <v/>
      </c>
      <c r="Q43" s="6">
        <f>IF(L43="","",IF(L43="Gana",3,IF(L43="Empata",1,0)))</f>
        <v/>
      </c>
      <c r="R43" s="6">
        <f>IF(L43="","",IF(L43="Pierde",3,IF(L43="Empata",1,0)))</f>
        <v/>
      </c>
      <c r="S43" s="4" t="inlineStr">
        <is>
          <t>https://github.com/jfjelstul/worldcup</t>
        </is>
      </c>
    </row>
    <row r="44">
      <c r="A44" s="4" t="inlineStr">
        <is>
          <t>M-2018-39</t>
        </is>
      </c>
      <c r="B44" s="4" t="n">
        <v>2018</v>
      </c>
      <c r="C44" s="4" t="inlineStr">
        <is>
          <t>Fase de grupos</t>
        </is>
      </c>
      <c r="D44" s="4" t="inlineStr">
        <is>
          <t>D</t>
        </is>
      </c>
      <c r="E44" s="4" t="n">
        <v>3</v>
      </c>
      <c r="F44" s="14" t="n">
        <v>43277</v>
      </c>
      <c r="G44" s="4" t="inlineStr">
        <is>
          <t>Iceland</t>
        </is>
      </c>
      <c r="H44" s="4" t="inlineStr">
        <is>
          <t>Croatia</t>
        </is>
      </c>
      <c r="I44" s="4" t="n">
        <v>1</v>
      </c>
      <c r="J44" s="4" t="n">
        <v>2</v>
      </c>
      <c r="K44" s="6">
        <f>IF(OR(I44="",J44=""),"",I44&amp;"-"&amp;J44)</f>
        <v/>
      </c>
      <c r="L44" s="6">
        <f>IF(OR(I44="",J44=""),"",IF(I44&gt;J44,"Gana",IF(I44=J44,"Empata","Pierde")))</f>
        <v/>
      </c>
      <c r="M44" s="4" t="b">
        <v>0</v>
      </c>
      <c r="N44" s="4" t="b">
        <v>0</v>
      </c>
      <c r="O44" s="6">
        <f>IF(OR(I44="",J44=""),"",I44+J44)</f>
        <v/>
      </c>
      <c r="P44" s="6">
        <f>IF(OR(I44="",J44=""),"",I44-J44)</f>
        <v/>
      </c>
      <c r="Q44" s="6">
        <f>IF(L44="","",IF(L44="Gana",3,IF(L44="Empata",1,0)))</f>
        <v/>
      </c>
      <c r="R44" s="6">
        <f>IF(L44="","",IF(L44="Pierde",3,IF(L44="Empata",1,0)))</f>
        <v/>
      </c>
      <c r="S44" s="4" t="inlineStr">
        <is>
          <t>https://github.com/jfjelstul/worldcup</t>
        </is>
      </c>
    </row>
    <row r="45">
      <c r="A45" s="4" t="inlineStr">
        <is>
          <t>M-2018-40</t>
        </is>
      </c>
      <c r="B45" s="4" t="n">
        <v>2018</v>
      </c>
      <c r="C45" s="4" t="inlineStr">
        <is>
          <t>Fase de grupos</t>
        </is>
      </c>
      <c r="D45" s="4" t="inlineStr">
        <is>
          <t>D</t>
        </is>
      </c>
      <c r="E45" s="4" t="n">
        <v>3</v>
      </c>
      <c r="F45" s="14" t="n">
        <v>43277</v>
      </c>
      <c r="G45" s="4" t="inlineStr">
        <is>
          <t>Nigeria</t>
        </is>
      </c>
      <c r="H45" s="4" t="inlineStr">
        <is>
          <t>Argentina</t>
        </is>
      </c>
      <c r="I45" s="4" t="n">
        <v>1</v>
      </c>
      <c r="J45" s="4" t="n">
        <v>2</v>
      </c>
      <c r="K45" s="6">
        <f>IF(OR(I45="",J45=""),"",I45&amp;"-"&amp;J45)</f>
        <v/>
      </c>
      <c r="L45" s="6">
        <f>IF(OR(I45="",J45=""),"",IF(I45&gt;J45,"Gana",IF(I45=J45,"Empata","Pierde")))</f>
        <v/>
      </c>
      <c r="M45" s="4" t="b">
        <v>0</v>
      </c>
      <c r="N45" s="4" t="b">
        <v>0</v>
      </c>
      <c r="O45" s="6">
        <f>IF(OR(I45="",J45=""),"",I45+J45)</f>
        <v/>
      </c>
      <c r="P45" s="6">
        <f>IF(OR(I45="",J45=""),"",I45-J45)</f>
        <v/>
      </c>
      <c r="Q45" s="6">
        <f>IF(L45="","",IF(L45="Gana",3,IF(L45="Empata",1,0)))</f>
        <v/>
      </c>
      <c r="R45" s="6">
        <f>IF(L45="","",IF(L45="Pierde",3,IF(L45="Empata",1,0)))</f>
        <v/>
      </c>
      <c r="S45" s="4" t="inlineStr">
        <is>
          <t>https://github.com/jfjelstul/worldcup</t>
        </is>
      </c>
    </row>
    <row r="46">
      <c r="A46" s="4" t="inlineStr">
        <is>
          <t>M-2018-41</t>
        </is>
      </c>
      <c r="B46" s="4" t="n">
        <v>2018</v>
      </c>
      <c r="C46" s="4" t="inlineStr">
        <is>
          <t>Fase de grupos</t>
        </is>
      </c>
      <c r="D46" s="4" t="inlineStr">
        <is>
          <t>F</t>
        </is>
      </c>
      <c r="E46" s="4" t="n">
        <v>3</v>
      </c>
      <c r="F46" s="14" t="n">
        <v>43278</v>
      </c>
      <c r="G46" s="4" t="inlineStr">
        <is>
          <t>South Korea</t>
        </is>
      </c>
      <c r="H46" s="4" t="inlineStr">
        <is>
          <t>Germany</t>
        </is>
      </c>
      <c r="I46" s="4" t="n">
        <v>2</v>
      </c>
      <c r="J46" s="4" t="n">
        <v>0</v>
      </c>
      <c r="K46" s="6">
        <f>IF(OR(I46="",J46=""),"",I46&amp;"-"&amp;J46)</f>
        <v/>
      </c>
      <c r="L46" s="6">
        <f>IF(OR(I46="",J46=""),"",IF(I46&gt;J46,"Gana",IF(I46=J46,"Empata","Pierde")))</f>
        <v/>
      </c>
      <c r="M46" s="4" t="b">
        <v>0</v>
      </c>
      <c r="N46" s="4" t="b">
        <v>0</v>
      </c>
      <c r="O46" s="6">
        <f>IF(OR(I46="",J46=""),"",I46+J46)</f>
        <v/>
      </c>
      <c r="P46" s="6">
        <f>IF(OR(I46="",J46=""),"",I46-J46)</f>
        <v/>
      </c>
      <c r="Q46" s="6">
        <f>IF(L46="","",IF(L46="Gana",3,IF(L46="Empata",1,0)))</f>
        <v/>
      </c>
      <c r="R46" s="6">
        <f>IF(L46="","",IF(L46="Pierde",3,IF(L46="Empata",1,0)))</f>
        <v/>
      </c>
      <c r="S46" s="4" t="inlineStr">
        <is>
          <t>https://github.com/jfjelstul/worldcup</t>
        </is>
      </c>
    </row>
    <row r="47">
      <c r="A47" s="4" t="inlineStr">
        <is>
          <t>M-2018-42</t>
        </is>
      </c>
      <c r="B47" s="4" t="n">
        <v>2018</v>
      </c>
      <c r="C47" s="4" t="inlineStr">
        <is>
          <t>Fase de grupos</t>
        </is>
      </c>
      <c r="D47" s="4" t="inlineStr">
        <is>
          <t>F</t>
        </is>
      </c>
      <c r="E47" s="4" t="n">
        <v>3</v>
      </c>
      <c r="F47" s="14" t="n">
        <v>43278</v>
      </c>
      <c r="G47" s="4" t="inlineStr">
        <is>
          <t>Mexico</t>
        </is>
      </c>
      <c r="H47" s="4" t="inlineStr">
        <is>
          <t>Sweden</t>
        </is>
      </c>
      <c r="I47" s="4" t="n">
        <v>0</v>
      </c>
      <c r="J47" s="4" t="n">
        <v>3</v>
      </c>
      <c r="K47" s="6">
        <f>IF(OR(I47="",J47=""),"",I47&amp;"-"&amp;J47)</f>
        <v/>
      </c>
      <c r="L47" s="6">
        <f>IF(OR(I47="",J47=""),"",IF(I47&gt;J47,"Gana",IF(I47=J47,"Empata","Pierde")))</f>
        <v/>
      </c>
      <c r="M47" s="4" t="b">
        <v>0</v>
      </c>
      <c r="N47" s="4" t="b">
        <v>0</v>
      </c>
      <c r="O47" s="6">
        <f>IF(OR(I47="",J47=""),"",I47+J47)</f>
        <v/>
      </c>
      <c r="P47" s="6">
        <f>IF(OR(I47="",J47=""),"",I47-J47)</f>
        <v/>
      </c>
      <c r="Q47" s="6">
        <f>IF(L47="","",IF(L47="Gana",3,IF(L47="Empata",1,0)))</f>
        <v/>
      </c>
      <c r="R47" s="6">
        <f>IF(L47="","",IF(L47="Pierde",3,IF(L47="Empata",1,0)))</f>
        <v/>
      </c>
      <c r="S47" s="4" t="inlineStr">
        <is>
          <t>https://github.com/jfjelstul/worldcup</t>
        </is>
      </c>
    </row>
    <row r="48">
      <c r="A48" s="4" t="inlineStr">
        <is>
          <t>M-2018-43</t>
        </is>
      </c>
      <c r="B48" s="4" t="n">
        <v>2018</v>
      </c>
      <c r="C48" s="4" t="inlineStr">
        <is>
          <t>Fase de grupos</t>
        </is>
      </c>
      <c r="D48" s="4" t="inlineStr">
        <is>
          <t>E</t>
        </is>
      </c>
      <c r="E48" s="4" t="n">
        <v>3</v>
      </c>
      <c r="F48" s="14" t="n">
        <v>43278</v>
      </c>
      <c r="G48" s="4" t="inlineStr">
        <is>
          <t>Serbia</t>
        </is>
      </c>
      <c r="H48" s="4" t="inlineStr">
        <is>
          <t>Brazil</t>
        </is>
      </c>
      <c r="I48" s="4" t="n">
        <v>0</v>
      </c>
      <c r="J48" s="4" t="n">
        <v>2</v>
      </c>
      <c r="K48" s="6">
        <f>IF(OR(I48="",J48=""),"",I48&amp;"-"&amp;J48)</f>
        <v/>
      </c>
      <c r="L48" s="6">
        <f>IF(OR(I48="",J48=""),"",IF(I48&gt;J48,"Gana",IF(I48=J48,"Empata","Pierde")))</f>
        <v/>
      </c>
      <c r="M48" s="4" t="b">
        <v>0</v>
      </c>
      <c r="N48" s="4" t="b">
        <v>0</v>
      </c>
      <c r="O48" s="6">
        <f>IF(OR(I48="",J48=""),"",I48+J48)</f>
        <v/>
      </c>
      <c r="P48" s="6">
        <f>IF(OR(I48="",J48=""),"",I48-J48)</f>
        <v/>
      </c>
      <c r="Q48" s="6">
        <f>IF(L48="","",IF(L48="Gana",3,IF(L48="Empata",1,0)))</f>
        <v/>
      </c>
      <c r="R48" s="6">
        <f>IF(L48="","",IF(L48="Pierde",3,IF(L48="Empata",1,0)))</f>
        <v/>
      </c>
      <c r="S48" s="4" t="inlineStr">
        <is>
          <t>https://github.com/jfjelstul/worldcup</t>
        </is>
      </c>
    </row>
    <row r="49">
      <c r="A49" s="4" t="inlineStr">
        <is>
          <t>M-2018-44</t>
        </is>
      </c>
      <c r="B49" s="4" t="n">
        <v>2018</v>
      </c>
      <c r="C49" s="4" t="inlineStr">
        <is>
          <t>Fase de grupos</t>
        </is>
      </c>
      <c r="D49" s="4" t="inlineStr">
        <is>
          <t>E</t>
        </is>
      </c>
      <c r="E49" s="4" t="n">
        <v>3</v>
      </c>
      <c r="F49" s="14" t="n">
        <v>43278</v>
      </c>
      <c r="G49" s="4" t="inlineStr">
        <is>
          <t>Switzerland</t>
        </is>
      </c>
      <c r="H49" s="4" t="inlineStr">
        <is>
          <t>Costa Rica</t>
        </is>
      </c>
      <c r="I49" s="4" t="n">
        <v>2</v>
      </c>
      <c r="J49" s="4" t="n">
        <v>2</v>
      </c>
      <c r="K49" s="6">
        <f>IF(OR(I49="",J49=""),"",I49&amp;"-"&amp;J49)</f>
        <v/>
      </c>
      <c r="L49" s="6">
        <f>IF(OR(I49="",J49=""),"",IF(I49&gt;J49,"Gana",IF(I49=J49,"Empata","Pierde")))</f>
        <v/>
      </c>
      <c r="M49" s="4" t="b">
        <v>0</v>
      </c>
      <c r="N49" s="4" t="b">
        <v>0</v>
      </c>
      <c r="O49" s="6">
        <f>IF(OR(I49="",J49=""),"",I49+J49)</f>
        <v/>
      </c>
      <c r="P49" s="6">
        <f>IF(OR(I49="",J49=""),"",I49-J49)</f>
        <v/>
      </c>
      <c r="Q49" s="6">
        <f>IF(L49="","",IF(L49="Gana",3,IF(L49="Empata",1,0)))</f>
        <v/>
      </c>
      <c r="R49" s="6">
        <f>IF(L49="","",IF(L49="Pierde",3,IF(L49="Empata",1,0)))</f>
        <v/>
      </c>
      <c r="S49" s="4" t="inlineStr">
        <is>
          <t>https://github.com/jfjelstul/worldcup</t>
        </is>
      </c>
    </row>
    <row r="50">
      <c r="A50" s="4" t="inlineStr">
        <is>
          <t>M-2018-45</t>
        </is>
      </c>
      <c r="B50" s="4" t="n">
        <v>2018</v>
      </c>
      <c r="C50" s="4" t="inlineStr">
        <is>
          <t>Fase de grupos</t>
        </is>
      </c>
      <c r="D50" s="4" t="inlineStr">
        <is>
          <t>H</t>
        </is>
      </c>
      <c r="E50" s="4" t="n">
        <v>3</v>
      </c>
      <c r="F50" s="14" t="n">
        <v>43279</v>
      </c>
      <c r="G50" s="4" t="inlineStr">
        <is>
          <t>Japan</t>
        </is>
      </c>
      <c r="H50" s="4" t="inlineStr">
        <is>
          <t>Poland</t>
        </is>
      </c>
      <c r="I50" s="4" t="n">
        <v>0</v>
      </c>
      <c r="J50" s="4" t="n">
        <v>1</v>
      </c>
      <c r="K50" s="6">
        <f>IF(OR(I50="",J50=""),"",I50&amp;"-"&amp;J50)</f>
        <v/>
      </c>
      <c r="L50" s="6">
        <f>IF(OR(I50="",J50=""),"",IF(I50&gt;J50,"Gana",IF(I50=J50,"Empata","Pierde")))</f>
        <v/>
      </c>
      <c r="M50" s="4" t="b">
        <v>0</v>
      </c>
      <c r="N50" s="4" t="b">
        <v>0</v>
      </c>
      <c r="O50" s="6">
        <f>IF(OR(I50="",J50=""),"",I50+J50)</f>
        <v/>
      </c>
      <c r="P50" s="6">
        <f>IF(OR(I50="",J50=""),"",I50-J50)</f>
        <v/>
      </c>
      <c r="Q50" s="6">
        <f>IF(L50="","",IF(L50="Gana",3,IF(L50="Empata",1,0)))</f>
        <v/>
      </c>
      <c r="R50" s="6">
        <f>IF(L50="","",IF(L50="Pierde",3,IF(L50="Empata",1,0)))</f>
        <v/>
      </c>
      <c r="S50" s="4" t="inlineStr">
        <is>
          <t>https://github.com/jfjelstul/worldcup</t>
        </is>
      </c>
    </row>
    <row r="51">
      <c r="A51" s="4" t="inlineStr">
        <is>
          <t>M-2018-46</t>
        </is>
      </c>
      <c r="B51" s="4" t="n">
        <v>2018</v>
      </c>
      <c r="C51" s="4" t="inlineStr">
        <is>
          <t>Fase de grupos</t>
        </is>
      </c>
      <c r="D51" s="4" t="inlineStr">
        <is>
          <t>H</t>
        </is>
      </c>
      <c r="E51" s="4" t="n">
        <v>3</v>
      </c>
      <c r="F51" s="14" t="n">
        <v>43279</v>
      </c>
      <c r="G51" s="4" t="inlineStr">
        <is>
          <t>Senegal</t>
        </is>
      </c>
      <c r="H51" s="4" t="inlineStr">
        <is>
          <t>Colombia</t>
        </is>
      </c>
      <c r="I51" s="4" t="n">
        <v>0</v>
      </c>
      <c r="J51" s="4" t="n">
        <v>1</v>
      </c>
      <c r="K51" s="6">
        <f>IF(OR(I51="",J51=""),"",I51&amp;"-"&amp;J51)</f>
        <v/>
      </c>
      <c r="L51" s="6">
        <f>IF(OR(I51="",J51=""),"",IF(I51&gt;J51,"Gana",IF(I51=J51,"Empata","Pierde")))</f>
        <v/>
      </c>
      <c r="M51" s="4" t="b">
        <v>0</v>
      </c>
      <c r="N51" s="4" t="b">
        <v>0</v>
      </c>
      <c r="O51" s="6">
        <f>IF(OR(I51="",J51=""),"",I51+J51)</f>
        <v/>
      </c>
      <c r="P51" s="6">
        <f>IF(OR(I51="",J51=""),"",I51-J51)</f>
        <v/>
      </c>
      <c r="Q51" s="6">
        <f>IF(L51="","",IF(L51="Gana",3,IF(L51="Empata",1,0)))</f>
        <v/>
      </c>
      <c r="R51" s="6">
        <f>IF(L51="","",IF(L51="Pierde",3,IF(L51="Empata",1,0)))</f>
        <v/>
      </c>
      <c r="S51" s="4" t="inlineStr">
        <is>
          <t>https://github.com/jfjelstul/worldcup</t>
        </is>
      </c>
    </row>
    <row r="52">
      <c r="A52" s="4" t="inlineStr">
        <is>
          <t>M-2018-47</t>
        </is>
      </c>
      <c r="B52" s="4" t="n">
        <v>2018</v>
      </c>
      <c r="C52" s="4" t="inlineStr">
        <is>
          <t>Fase de grupos</t>
        </is>
      </c>
      <c r="D52" s="4" t="inlineStr">
        <is>
          <t>G</t>
        </is>
      </c>
      <c r="E52" s="4" t="n">
        <v>3</v>
      </c>
      <c r="F52" s="14" t="n">
        <v>43279</v>
      </c>
      <c r="G52" s="4" t="inlineStr">
        <is>
          <t>England</t>
        </is>
      </c>
      <c r="H52" s="4" t="inlineStr">
        <is>
          <t>Belgium</t>
        </is>
      </c>
      <c r="I52" s="4" t="n">
        <v>0</v>
      </c>
      <c r="J52" s="4" t="n">
        <v>1</v>
      </c>
      <c r="K52" s="6">
        <f>IF(OR(I52="",J52=""),"",I52&amp;"-"&amp;J52)</f>
        <v/>
      </c>
      <c r="L52" s="6">
        <f>IF(OR(I52="",J52=""),"",IF(I52&gt;J52,"Gana",IF(I52=J52,"Empata","Pierde")))</f>
        <v/>
      </c>
      <c r="M52" s="4" t="b">
        <v>0</v>
      </c>
      <c r="N52" s="4" t="b">
        <v>0</v>
      </c>
      <c r="O52" s="6">
        <f>IF(OR(I52="",J52=""),"",I52+J52)</f>
        <v/>
      </c>
      <c r="P52" s="6">
        <f>IF(OR(I52="",J52=""),"",I52-J52)</f>
        <v/>
      </c>
      <c r="Q52" s="6">
        <f>IF(L52="","",IF(L52="Gana",3,IF(L52="Empata",1,0)))</f>
        <v/>
      </c>
      <c r="R52" s="6">
        <f>IF(L52="","",IF(L52="Pierde",3,IF(L52="Empata",1,0)))</f>
        <v/>
      </c>
      <c r="S52" s="4" t="inlineStr">
        <is>
          <t>https://github.com/jfjelstul/worldcup</t>
        </is>
      </c>
    </row>
    <row r="53">
      <c r="A53" s="4" t="inlineStr">
        <is>
          <t>M-2018-48</t>
        </is>
      </c>
      <c r="B53" s="4" t="n">
        <v>2018</v>
      </c>
      <c r="C53" s="4" t="inlineStr">
        <is>
          <t>Fase de grupos</t>
        </is>
      </c>
      <c r="D53" s="4" t="inlineStr">
        <is>
          <t>G</t>
        </is>
      </c>
      <c r="E53" s="4" t="n">
        <v>3</v>
      </c>
      <c r="F53" s="14" t="n">
        <v>43279</v>
      </c>
      <c r="G53" s="4" t="inlineStr">
        <is>
          <t>Panama</t>
        </is>
      </c>
      <c r="H53" s="4" t="inlineStr">
        <is>
          <t>Tunisia</t>
        </is>
      </c>
      <c r="I53" s="4" t="n">
        <v>1</v>
      </c>
      <c r="J53" s="4" t="n">
        <v>2</v>
      </c>
      <c r="K53" s="6">
        <f>IF(OR(I53="",J53=""),"",I53&amp;"-"&amp;J53)</f>
        <v/>
      </c>
      <c r="L53" s="6">
        <f>IF(OR(I53="",J53=""),"",IF(I53&gt;J53,"Gana",IF(I53=J53,"Empata","Pierde")))</f>
        <v/>
      </c>
      <c r="M53" s="4" t="b">
        <v>0</v>
      </c>
      <c r="N53" s="4" t="b">
        <v>0</v>
      </c>
      <c r="O53" s="6">
        <f>IF(OR(I53="",J53=""),"",I53+J53)</f>
        <v/>
      </c>
      <c r="P53" s="6">
        <f>IF(OR(I53="",J53=""),"",I53-J53)</f>
        <v/>
      </c>
      <c r="Q53" s="6">
        <f>IF(L53="","",IF(L53="Gana",3,IF(L53="Empata",1,0)))</f>
        <v/>
      </c>
      <c r="R53" s="6">
        <f>IF(L53="","",IF(L53="Pierde",3,IF(L53="Empata",1,0)))</f>
        <v/>
      </c>
      <c r="S53" s="4" t="inlineStr">
        <is>
          <t>https://github.com/jfjelstul/worldcup</t>
        </is>
      </c>
    </row>
    <row r="54">
      <c r="A54" s="4" t="inlineStr">
        <is>
          <t>M-2022-01</t>
        </is>
      </c>
      <c r="B54" s="4" t="n">
        <v>2022</v>
      </c>
      <c r="C54" s="4" t="inlineStr">
        <is>
          <t>Fase de grupos</t>
        </is>
      </c>
      <c r="D54" s="4" t="inlineStr">
        <is>
          <t>A</t>
        </is>
      </c>
      <c r="E54" s="4" t="n">
        <v>1</v>
      </c>
      <c r="F54" s="14" t="n">
        <v>44885</v>
      </c>
      <c r="G54" s="4" t="inlineStr">
        <is>
          <t>Qatar</t>
        </is>
      </c>
      <c r="H54" s="4" t="inlineStr">
        <is>
          <t>Ecuador</t>
        </is>
      </c>
      <c r="I54" s="4" t="n">
        <v>0</v>
      </c>
      <c r="J54" s="4" t="n">
        <v>2</v>
      </c>
      <c r="K54" s="6">
        <f>IF(OR(I54="",J54=""),"",I54&amp;"-"&amp;J54)</f>
        <v/>
      </c>
      <c r="L54" s="6">
        <f>IF(OR(I54="",J54=""),"",IF(I54&gt;J54,"Gana",IF(I54=J54,"Empata","Pierde")))</f>
        <v/>
      </c>
      <c r="M54" s="4" t="b">
        <v>1</v>
      </c>
      <c r="N54" s="4" t="b">
        <v>0</v>
      </c>
      <c r="O54" s="6">
        <f>IF(OR(I54="",J54=""),"",I54+J54)</f>
        <v/>
      </c>
      <c r="P54" s="6">
        <f>IF(OR(I54="",J54=""),"",I54-J54)</f>
        <v/>
      </c>
      <c r="Q54" s="6">
        <f>IF(L54="","",IF(L54="Gana",3,IF(L54="Empata",1,0)))</f>
        <v/>
      </c>
      <c r="R54" s="6">
        <f>IF(L54="","",IF(L54="Pierde",3,IF(L54="Empata",1,0)))</f>
        <v/>
      </c>
      <c r="S54" s="4" t="inlineStr">
        <is>
          <t>https://github.com/jfjelstul/worldcup</t>
        </is>
      </c>
    </row>
    <row r="55">
      <c r="A55" s="4" t="inlineStr">
        <is>
          <t>M-2022-02</t>
        </is>
      </c>
      <c r="B55" s="4" t="n">
        <v>2022</v>
      </c>
      <c r="C55" s="4" t="inlineStr">
        <is>
          <t>Fase de grupos</t>
        </is>
      </c>
      <c r="D55" s="4" t="inlineStr">
        <is>
          <t>B</t>
        </is>
      </c>
      <c r="E55" s="4" t="n">
        <v>1</v>
      </c>
      <c r="F55" s="14" t="n">
        <v>44886</v>
      </c>
      <c r="G55" s="4" t="inlineStr">
        <is>
          <t>England</t>
        </is>
      </c>
      <c r="H55" s="4" t="inlineStr">
        <is>
          <t>Iran</t>
        </is>
      </c>
      <c r="I55" s="4" t="n">
        <v>6</v>
      </c>
      <c r="J55" s="4" t="n">
        <v>2</v>
      </c>
      <c r="K55" s="6">
        <f>IF(OR(I55="",J55=""),"",I55&amp;"-"&amp;J55)</f>
        <v/>
      </c>
      <c r="L55" s="6">
        <f>IF(OR(I55="",J55=""),"",IF(I55&gt;J55,"Gana",IF(I55=J55,"Empata","Pierde")))</f>
        <v/>
      </c>
      <c r="M55" s="4" t="b">
        <v>0</v>
      </c>
      <c r="N55" s="4" t="b">
        <v>0</v>
      </c>
      <c r="O55" s="6">
        <f>IF(OR(I55="",J55=""),"",I55+J55)</f>
        <v/>
      </c>
      <c r="P55" s="6">
        <f>IF(OR(I55="",J55=""),"",I55-J55)</f>
        <v/>
      </c>
      <c r="Q55" s="6">
        <f>IF(L55="","",IF(L55="Gana",3,IF(L55="Empata",1,0)))</f>
        <v/>
      </c>
      <c r="R55" s="6">
        <f>IF(L55="","",IF(L55="Pierde",3,IF(L55="Empata",1,0)))</f>
        <v/>
      </c>
      <c r="S55" s="4" t="inlineStr">
        <is>
          <t>https://github.com/jfjelstul/worldcup</t>
        </is>
      </c>
    </row>
    <row r="56">
      <c r="A56" s="4" t="inlineStr">
        <is>
          <t>M-2022-03</t>
        </is>
      </c>
      <c r="B56" s="4" t="n">
        <v>2022</v>
      </c>
      <c r="C56" s="4" t="inlineStr">
        <is>
          <t>Fase de grupos</t>
        </is>
      </c>
      <c r="D56" s="4" t="inlineStr">
        <is>
          <t>A</t>
        </is>
      </c>
      <c r="E56" s="4" t="n">
        <v>1</v>
      </c>
      <c r="F56" s="14" t="n">
        <v>44886</v>
      </c>
      <c r="G56" s="4" t="inlineStr">
        <is>
          <t>Senegal</t>
        </is>
      </c>
      <c r="H56" s="4" t="inlineStr">
        <is>
          <t>Netherlands</t>
        </is>
      </c>
      <c r="I56" s="4" t="n">
        <v>0</v>
      </c>
      <c r="J56" s="4" t="n">
        <v>2</v>
      </c>
      <c r="K56" s="6">
        <f>IF(OR(I56="",J56=""),"",I56&amp;"-"&amp;J56)</f>
        <v/>
      </c>
      <c r="L56" s="6">
        <f>IF(OR(I56="",J56=""),"",IF(I56&gt;J56,"Gana",IF(I56=J56,"Empata","Pierde")))</f>
        <v/>
      </c>
      <c r="M56" s="4" t="b">
        <v>0</v>
      </c>
      <c r="N56" s="4" t="b">
        <v>0</v>
      </c>
      <c r="O56" s="6">
        <f>IF(OR(I56="",J56=""),"",I56+J56)</f>
        <v/>
      </c>
      <c r="P56" s="6">
        <f>IF(OR(I56="",J56=""),"",I56-J56)</f>
        <v/>
      </c>
      <c r="Q56" s="6">
        <f>IF(L56="","",IF(L56="Gana",3,IF(L56="Empata",1,0)))</f>
        <v/>
      </c>
      <c r="R56" s="6">
        <f>IF(L56="","",IF(L56="Pierde",3,IF(L56="Empata",1,0)))</f>
        <v/>
      </c>
      <c r="S56" s="4" t="inlineStr">
        <is>
          <t>https://github.com/jfjelstul/worldcup</t>
        </is>
      </c>
    </row>
    <row r="57">
      <c r="A57" s="4" t="inlineStr">
        <is>
          <t>M-2022-04</t>
        </is>
      </c>
      <c r="B57" s="4" t="n">
        <v>2022</v>
      </c>
      <c r="C57" s="4" t="inlineStr">
        <is>
          <t>Fase de grupos</t>
        </is>
      </c>
      <c r="D57" s="4" t="inlineStr">
        <is>
          <t>B</t>
        </is>
      </c>
      <c r="E57" s="4" t="n">
        <v>1</v>
      </c>
      <c r="F57" s="14" t="n">
        <v>44886</v>
      </c>
      <c r="G57" s="4" t="inlineStr">
        <is>
          <t>United States</t>
        </is>
      </c>
      <c r="H57" s="4" t="inlineStr">
        <is>
          <t>Wales</t>
        </is>
      </c>
      <c r="I57" s="4" t="n">
        <v>1</v>
      </c>
      <c r="J57" s="4" t="n">
        <v>1</v>
      </c>
      <c r="K57" s="6">
        <f>IF(OR(I57="",J57=""),"",I57&amp;"-"&amp;J57)</f>
        <v/>
      </c>
      <c r="L57" s="6">
        <f>IF(OR(I57="",J57=""),"",IF(I57&gt;J57,"Gana",IF(I57=J57,"Empata","Pierde")))</f>
        <v/>
      </c>
      <c r="M57" s="4" t="b">
        <v>0</v>
      </c>
      <c r="N57" s="4" t="b">
        <v>0</v>
      </c>
      <c r="O57" s="6">
        <f>IF(OR(I57="",J57=""),"",I57+J57)</f>
        <v/>
      </c>
      <c r="P57" s="6">
        <f>IF(OR(I57="",J57=""),"",I57-J57)</f>
        <v/>
      </c>
      <c r="Q57" s="6">
        <f>IF(L57="","",IF(L57="Gana",3,IF(L57="Empata",1,0)))</f>
        <v/>
      </c>
      <c r="R57" s="6">
        <f>IF(L57="","",IF(L57="Pierde",3,IF(L57="Empata",1,0)))</f>
        <v/>
      </c>
      <c r="S57" s="4" t="inlineStr">
        <is>
          <t>https://github.com/jfjelstul/worldcup</t>
        </is>
      </c>
    </row>
    <row r="58">
      <c r="A58" s="4" t="inlineStr">
        <is>
          <t>M-2022-05</t>
        </is>
      </c>
      <c r="B58" s="4" t="n">
        <v>2022</v>
      </c>
      <c r="C58" s="4" t="inlineStr">
        <is>
          <t>Fase de grupos</t>
        </is>
      </c>
      <c r="D58" s="4" t="inlineStr">
        <is>
          <t>C</t>
        </is>
      </c>
      <c r="E58" s="4" t="n">
        <v>1</v>
      </c>
      <c r="F58" s="14" t="n">
        <v>44887</v>
      </c>
      <c r="G58" s="4" t="inlineStr">
        <is>
          <t>Argentina</t>
        </is>
      </c>
      <c r="H58" s="4" t="inlineStr">
        <is>
          <t>Saudi Arabia</t>
        </is>
      </c>
      <c r="I58" s="4" t="n">
        <v>1</v>
      </c>
      <c r="J58" s="4" t="n">
        <v>2</v>
      </c>
      <c r="K58" s="6">
        <f>IF(OR(I58="",J58=""),"",I58&amp;"-"&amp;J58)</f>
        <v/>
      </c>
      <c r="L58" s="6">
        <f>IF(OR(I58="",J58=""),"",IF(I58&gt;J58,"Gana",IF(I58=J58,"Empata","Pierde")))</f>
        <v/>
      </c>
      <c r="M58" s="4" t="b">
        <v>0</v>
      </c>
      <c r="N58" s="4" t="b">
        <v>0</v>
      </c>
      <c r="O58" s="6">
        <f>IF(OR(I58="",J58=""),"",I58+J58)</f>
        <v/>
      </c>
      <c r="P58" s="6">
        <f>IF(OR(I58="",J58=""),"",I58-J58)</f>
        <v/>
      </c>
      <c r="Q58" s="6">
        <f>IF(L58="","",IF(L58="Gana",3,IF(L58="Empata",1,0)))</f>
        <v/>
      </c>
      <c r="R58" s="6">
        <f>IF(L58="","",IF(L58="Pierde",3,IF(L58="Empata",1,0)))</f>
        <v/>
      </c>
      <c r="S58" s="4" t="inlineStr">
        <is>
          <t>https://github.com/jfjelstul/worldcup</t>
        </is>
      </c>
    </row>
    <row r="59">
      <c r="A59" s="4" t="inlineStr">
        <is>
          <t>M-2022-06</t>
        </is>
      </c>
      <c r="B59" s="4" t="n">
        <v>2022</v>
      </c>
      <c r="C59" s="4" t="inlineStr">
        <is>
          <t>Fase de grupos</t>
        </is>
      </c>
      <c r="D59" s="4" t="inlineStr">
        <is>
          <t>D</t>
        </is>
      </c>
      <c r="E59" s="4" t="n">
        <v>1</v>
      </c>
      <c r="F59" s="14" t="n">
        <v>44887</v>
      </c>
      <c r="G59" s="4" t="inlineStr">
        <is>
          <t>Denmark</t>
        </is>
      </c>
      <c r="H59" s="4" t="inlineStr">
        <is>
          <t>Tunisia</t>
        </is>
      </c>
      <c r="I59" s="4" t="n">
        <v>0</v>
      </c>
      <c r="J59" s="4" t="n">
        <v>0</v>
      </c>
      <c r="K59" s="6">
        <f>IF(OR(I59="",J59=""),"",I59&amp;"-"&amp;J59)</f>
        <v/>
      </c>
      <c r="L59" s="6">
        <f>IF(OR(I59="",J59=""),"",IF(I59&gt;J59,"Gana",IF(I59=J59,"Empata","Pierde")))</f>
        <v/>
      </c>
      <c r="M59" s="4" t="b">
        <v>0</v>
      </c>
      <c r="N59" s="4" t="b">
        <v>0</v>
      </c>
      <c r="O59" s="6">
        <f>IF(OR(I59="",J59=""),"",I59+J59)</f>
        <v/>
      </c>
      <c r="P59" s="6">
        <f>IF(OR(I59="",J59=""),"",I59-J59)</f>
        <v/>
      </c>
      <c r="Q59" s="6">
        <f>IF(L59="","",IF(L59="Gana",3,IF(L59="Empata",1,0)))</f>
        <v/>
      </c>
      <c r="R59" s="6">
        <f>IF(L59="","",IF(L59="Pierde",3,IF(L59="Empata",1,0)))</f>
        <v/>
      </c>
      <c r="S59" s="4" t="inlineStr">
        <is>
          <t>https://github.com/jfjelstul/worldcup</t>
        </is>
      </c>
    </row>
    <row r="60">
      <c r="A60" s="4" t="inlineStr">
        <is>
          <t>M-2022-07</t>
        </is>
      </c>
      <c r="B60" s="4" t="n">
        <v>2022</v>
      </c>
      <c r="C60" s="4" t="inlineStr">
        <is>
          <t>Fase de grupos</t>
        </is>
      </c>
      <c r="D60" s="4" t="inlineStr">
        <is>
          <t>C</t>
        </is>
      </c>
      <c r="E60" s="4" t="n">
        <v>1</v>
      </c>
      <c r="F60" s="14" t="n">
        <v>44887</v>
      </c>
      <c r="G60" s="4" t="inlineStr">
        <is>
          <t>Mexico</t>
        </is>
      </c>
      <c r="H60" s="4" t="inlineStr">
        <is>
          <t>Poland</t>
        </is>
      </c>
      <c r="I60" s="4" t="n">
        <v>0</v>
      </c>
      <c r="J60" s="4" t="n">
        <v>0</v>
      </c>
      <c r="K60" s="6">
        <f>IF(OR(I60="",J60=""),"",I60&amp;"-"&amp;J60)</f>
        <v/>
      </c>
      <c r="L60" s="6">
        <f>IF(OR(I60="",J60=""),"",IF(I60&gt;J60,"Gana",IF(I60=J60,"Empata","Pierde")))</f>
        <v/>
      </c>
      <c r="M60" s="4" t="b">
        <v>0</v>
      </c>
      <c r="N60" s="4" t="b">
        <v>0</v>
      </c>
      <c r="O60" s="6">
        <f>IF(OR(I60="",J60=""),"",I60+J60)</f>
        <v/>
      </c>
      <c r="P60" s="6">
        <f>IF(OR(I60="",J60=""),"",I60-J60)</f>
        <v/>
      </c>
      <c r="Q60" s="6">
        <f>IF(L60="","",IF(L60="Gana",3,IF(L60="Empata",1,0)))</f>
        <v/>
      </c>
      <c r="R60" s="6">
        <f>IF(L60="","",IF(L60="Pierde",3,IF(L60="Empata",1,0)))</f>
        <v/>
      </c>
      <c r="S60" s="4" t="inlineStr">
        <is>
          <t>https://github.com/jfjelstul/worldcup</t>
        </is>
      </c>
    </row>
    <row r="61">
      <c r="A61" s="4" t="inlineStr">
        <is>
          <t>M-2022-08</t>
        </is>
      </c>
      <c r="B61" s="4" t="n">
        <v>2022</v>
      </c>
      <c r="C61" s="4" t="inlineStr">
        <is>
          <t>Fase de grupos</t>
        </is>
      </c>
      <c r="D61" s="4" t="inlineStr">
        <is>
          <t>D</t>
        </is>
      </c>
      <c r="E61" s="4" t="n">
        <v>1</v>
      </c>
      <c r="F61" s="14" t="n">
        <v>44887</v>
      </c>
      <c r="G61" s="4" t="inlineStr">
        <is>
          <t>France</t>
        </is>
      </c>
      <c r="H61" s="4" t="inlineStr">
        <is>
          <t>Australia</t>
        </is>
      </c>
      <c r="I61" s="4" t="n">
        <v>4</v>
      </c>
      <c r="J61" s="4" t="n">
        <v>1</v>
      </c>
      <c r="K61" s="6">
        <f>IF(OR(I61="",J61=""),"",I61&amp;"-"&amp;J61)</f>
        <v/>
      </c>
      <c r="L61" s="6">
        <f>IF(OR(I61="",J61=""),"",IF(I61&gt;J61,"Gana",IF(I61=J61,"Empata","Pierde")))</f>
        <v/>
      </c>
      <c r="M61" s="4" t="b">
        <v>0</v>
      </c>
      <c r="N61" s="4" t="b">
        <v>0</v>
      </c>
      <c r="O61" s="6">
        <f>IF(OR(I61="",J61=""),"",I61+J61)</f>
        <v/>
      </c>
      <c r="P61" s="6">
        <f>IF(OR(I61="",J61=""),"",I61-J61)</f>
        <v/>
      </c>
      <c r="Q61" s="6">
        <f>IF(L61="","",IF(L61="Gana",3,IF(L61="Empata",1,0)))</f>
        <v/>
      </c>
      <c r="R61" s="6">
        <f>IF(L61="","",IF(L61="Pierde",3,IF(L61="Empata",1,0)))</f>
        <v/>
      </c>
      <c r="S61" s="4" t="inlineStr">
        <is>
          <t>https://github.com/jfjelstul/worldcup</t>
        </is>
      </c>
    </row>
    <row r="62">
      <c r="A62" s="4" t="inlineStr">
        <is>
          <t>M-2022-09</t>
        </is>
      </c>
      <c r="B62" s="4" t="n">
        <v>2022</v>
      </c>
      <c r="C62" s="4" t="inlineStr">
        <is>
          <t>Fase de grupos</t>
        </is>
      </c>
      <c r="D62" s="4" t="inlineStr">
        <is>
          <t>F</t>
        </is>
      </c>
      <c r="E62" s="4" t="n">
        <v>1</v>
      </c>
      <c r="F62" s="14" t="n">
        <v>44888</v>
      </c>
      <c r="G62" s="4" t="inlineStr">
        <is>
          <t>Morocco</t>
        </is>
      </c>
      <c r="H62" s="4" t="inlineStr">
        <is>
          <t>Croatia</t>
        </is>
      </c>
      <c r="I62" s="4" t="n">
        <v>0</v>
      </c>
      <c r="J62" s="4" t="n">
        <v>0</v>
      </c>
      <c r="K62" s="6">
        <f>IF(OR(I62="",J62=""),"",I62&amp;"-"&amp;J62)</f>
        <v/>
      </c>
      <c r="L62" s="6">
        <f>IF(OR(I62="",J62=""),"",IF(I62&gt;J62,"Gana",IF(I62=J62,"Empata","Pierde")))</f>
        <v/>
      </c>
      <c r="M62" s="4" t="b">
        <v>0</v>
      </c>
      <c r="N62" s="4" t="b">
        <v>0</v>
      </c>
      <c r="O62" s="6">
        <f>IF(OR(I62="",J62=""),"",I62+J62)</f>
        <v/>
      </c>
      <c r="P62" s="6">
        <f>IF(OR(I62="",J62=""),"",I62-J62)</f>
        <v/>
      </c>
      <c r="Q62" s="6">
        <f>IF(L62="","",IF(L62="Gana",3,IF(L62="Empata",1,0)))</f>
        <v/>
      </c>
      <c r="R62" s="6">
        <f>IF(L62="","",IF(L62="Pierde",3,IF(L62="Empata",1,0)))</f>
        <v/>
      </c>
      <c r="S62" s="4" t="inlineStr">
        <is>
          <t>https://github.com/jfjelstul/worldcup</t>
        </is>
      </c>
    </row>
    <row r="63">
      <c r="A63" s="4" t="inlineStr">
        <is>
          <t>M-2022-10</t>
        </is>
      </c>
      <c r="B63" s="4" t="n">
        <v>2022</v>
      </c>
      <c r="C63" s="4" t="inlineStr">
        <is>
          <t>Fase de grupos</t>
        </is>
      </c>
      <c r="D63" s="4" t="inlineStr">
        <is>
          <t>E</t>
        </is>
      </c>
      <c r="E63" s="4" t="n">
        <v>1</v>
      </c>
      <c r="F63" s="14" t="n">
        <v>44888</v>
      </c>
      <c r="G63" s="4" t="inlineStr">
        <is>
          <t>Germany</t>
        </is>
      </c>
      <c r="H63" s="4" t="inlineStr">
        <is>
          <t>Japan</t>
        </is>
      </c>
      <c r="I63" s="4" t="n">
        <v>1</v>
      </c>
      <c r="J63" s="4" t="n">
        <v>2</v>
      </c>
      <c r="K63" s="6">
        <f>IF(OR(I63="",J63=""),"",I63&amp;"-"&amp;J63)</f>
        <v/>
      </c>
      <c r="L63" s="6">
        <f>IF(OR(I63="",J63=""),"",IF(I63&gt;J63,"Gana",IF(I63=J63,"Empata","Pierde")))</f>
        <v/>
      </c>
      <c r="M63" s="4" t="b">
        <v>0</v>
      </c>
      <c r="N63" s="4" t="b">
        <v>0</v>
      </c>
      <c r="O63" s="6">
        <f>IF(OR(I63="",J63=""),"",I63+J63)</f>
        <v/>
      </c>
      <c r="P63" s="6">
        <f>IF(OR(I63="",J63=""),"",I63-J63)</f>
        <v/>
      </c>
      <c r="Q63" s="6">
        <f>IF(L63="","",IF(L63="Gana",3,IF(L63="Empata",1,0)))</f>
        <v/>
      </c>
      <c r="R63" s="6">
        <f>IF(L63="","",IF(L63="Pierde",3,IF(L63="Empata",1,0)))</f>
        <v/>
      </c>
      <c r="S63" s="4" t="inlineStr">
        <is>
          <t>https://github.com/jfjelstul/worldcup</t>
        </is>
      </c>
    </row>
    <row r="64">
      <c r="A64" s="4" t="inlineStr">
        <is>
          <t>M-2022-11</t>
        </is>
      </c>
      <c r="B64" s="4" t="n">
        <v>2022</v>
      </c>
      <c r="C64" s="4" t="inlineStr">
        <is>
          <t>Fase de grupos</t>
        </is>
      </c>
      <c r="D64" s="4" t="inlineStr">
        <is>
          <t>E</t>
        </is>
      </c>
      <c r="E64" s="4" t="n">
        <v>1</v>
      </c>
      <c r="F64" s="14" t="n">
        <v>44888</v>
      </c>
      <c r="G64" s="4" t="inlineStr">
        <is>
          <t>Spain</t>
        </is>
      </c>
      <c r="H64" s="4" t="inlineStr">
        <is>
          <t>Costa Rica</t>
        </is>
      </c>
      <c r="I64" s="4" t="n">
        <v>7</v>
      </c>
      <c r="J64" s="4" t="n">
        <v>0</v>
      </c>
      <c r="K64" s="6">
        <f>IF(OR(I64="",J64=""),"",I64&amp;"-"&amp;J64)</f>
        <v/>
      </c>
      <c r="L64" s="6">
        <f>IF(OR(I64="",J64=""),"",IF(I64&gt;J64,"Gana",IF(I64=J64,"Empata","Pierde")))</f>
        <v/>
      </c>
      <c r="M64" s="4" t="b">
        <v>0</v>
      </c>
      <c r="N64" s="4" t="b">
        <v>0</v>
      </c>
      <c r="O64" s="6">
        <f>IF(OR(I64="",J64=""),"",I64+J64)</f>
        <v/>
      </c>
      <c r="P64" s="6">
        <f>IF(OR(I64="",J64=""),"",I64-J64)</f>
        <v/>
      </c>
      <c r="Q64" s="6">
        <f>IF(L64="","",IF(L64="Gana",3,IF(L64="Empata",1,0)))</f>
        <v/>
      </c>
      <c r="R64" s="6">
        <f>IF(L64="","",IF(L64="Pierde",3,IF(L64="Empata",1,0)))</f>
        <v/>
      </c>
      <c r="S64" s="4" t="inlineStr">
        <is>
          <t>https://github.com/jfjelstul/worldcup</t>
        </is>
      </c>
    </row>
    <row r="65">
      <c r="A65" s="4" t="inlineStr">
        <is>
          <t>M-2022-12</t>
        </is>
      </c>
      <c r="B65" s="4" t="n">
        <v>2022</v>
      </c>
      <c r="C65" s="4" t="inlineStr">
        <is>
          <t>Fase de grupos</t>
        </is>
      </c>
      <c r="D65" s="4" t="inlineStr">
        <is>
          <t>F</t>
        </is>
      </c>
      <c r="E65" s="4" t="n">
        <v>1</v>
      </c>
      <c r="F65" s="14" t="n">
        <v>44888</v>
      </c>
      <c r="G65" s="4" t="inlineStr">
        <is>
          <t>Belgium</t>
        </is>
      </c>
      <c r="H65" s="4" t="inlineStr">
        <is>
          <t>Canada</t>
        </is>
      </c>
      <c r="I65" s="4" t="n">
        <v>1</v>
      </c>
      <c r="J65" s="4" t="n">
        <v>0</v>
      </c>
      <c r="K65" s="6">
        <f>IF(OR(I65="",J65=""),"",I65&amp;"-"&amp;J65)</f>
        <v/>
      </c>
      <c r="L65" s="6">
        <f>IF(OR(I65="",J65=""),"",IF(I65&gt;J65,"Gana",IF(I65=J65,"Empata","Pierde")))</f>
        <v/>
      </c>
      <c r="M65" s="4" t="b">
        <v>0</v>
      </c>
      <c r="N65" s="4" t="b">
        <v>0</v>
      </c>
      <c r="O65" s="6">
        <f>IF(OR(I65="",J65=""),"",I65+J65)</f>
        <v/>
      </c>
      <c r="P65" s="6">
        <f>IF(OR(I65="",J65=""),"",I65-J65)</f>
        <v/>
      </c>
      <c r="Q65" s="6">
        <f>IF(L65="","",IF(L65="Gana",3,IF(L65="Empata",1,0)))</f>
        <v/>
      </c>
      <c r="R65" s="6">
        <f>IF(L65="","",IF(L65="Pierde",3,IF(L65="Empata",1,0)))</f>
        <v/>
      </c>
      <c r="S65" s="4" t="inlineStr">
        <is>
          <t>https://github.com/jfjelstul/worldcup</t>
        </is>
      </c>
    </row>
    <row r="66">
      <c r="A66" s="4" t="inlineStr">
        <is>
          <t>M-2022-13</t>
        </is>
      </c>
      <c r="B66" s="4" t="n">
        <v>2022</v>
      </c>
      <c r="C66" s="4" t="inlineStr">
        <is>
          <t>Fase de grupos</t>
        </is>
      </c>
      <c r="D66" s="4" t="inlineStr">
        <is>
          <t>G</t>
        </is>
      </c>
      <c r="E66" s="4" t="n">
        <v>1</v>
      </c>
      <c r="F66" s="14" t="n">
        <v>44889</v>
      </c>
      <c r="G66" s="4" t="inlineStr">
        <is>
          <t>Switzerland</t>
        </is>
      </c>
      <c r="H66" s="4" t="inlineStr">
        <is>
          <t>Cameroon</t>
        </is>
      </c>
      <c r="I66" s="4" t="n">
        <v>1</v>
      </c>
      <c r="J66" s="4" t="n">
        <v>0</v>
      </c>
      <c r="K66" s="6">
        <f>IF(OR(I66="",J66=""),"",I66&amp;"-"&amp;J66)</f>
        <v/>
      </c>
      <c r="L66" s="6">
        <f>IF(OR(I66="",J66=""),"",IF(I66&gt;J66,"Gana",IF(I66=J66,"Empata","Pierde")))</f>
        <v/>
      </c>
      <c r="M66" s="4" t="b">
        <v>0</v>
      </c>
      <c r="N66" s="4" t="b">
        <v>0</v>
      </c>
      <c r="O66" s="6">
        <f>IF(OR(I66="",J66=""),"",I66+J66)</f>
        <v/>
      </c>
      <c r="P66" s="6">
        <f>IF(OR(I66="",J66=""),"",I66-J66)</f>
        <v/>
      </c>
      <c r="Q66" s="6">
        <f>IF(L66="","",IF(L66="Gana",3,IF(L66="Empata",1,0)))</f>
        <v/>
      </c>
      <c r="R66" s="6">
        <f>IF(L66="","",IF(L66="Pierde",3,IF(L66="Empata",1,0)))</f>
        <v/>
      </c>
      <c r="S66" s="4" t="inlineStr">
        <is>
          <t>https://github.com/jfjelstul/worldcup</t>
        </is>
      </c>
    </row>
    <row r="67">
      <c r="A67" s="4" t="inlineStr">
        <is>
          <t>M-2022-14</t>
        </is>
      </c>
      <c r="B67" s="4" t="n">
        <v>2022</v>
      </c>
      <c r="C67" s="4" t="inlineStr">
        <is>
          <t>Fase de grupos</t>
        </is>
      </c>
      <c r="D67" s="4" t="inlineStr">
        <is>
          <t>H</t>
        </is>
      </c>
      <c r="E67" s="4" t="n">
        <v>1</v>
      </c>
      <c r="F67" s="14" t="n">
        <v>44889</v>
      </c>
      <c r="G67" s="4" t="inlineStr">
        <is>
          <t>Uruguay</t>
        </is>
      </c>
      <c r="H67" s="4" t="inlineStr">
        <is>
          <t>South Korea</t>
        </is>
      </c>
      <c r="I67" s="4" t="n">
        <v>0</v>
      </c>
      <c r="J67" s="4" t="n">
        <v>0</v>
      </c>
      <c r="K67" s="6">
        <f>IF(OR(I67="",J67=""),"",I67&amp;"-"&amp;J67)</f>
        <v/>
      </c>
      <c r="L67" s="6">
        <f>IF(OR(I67="",J67=""),"",IF(I67&gt;J67,"Gana",IF(I67=J67,"Empata","Pierde")))</f>
        <v/>
      </c>
      <c r="M67" s="4" t="b">
        <v>0</v>
      </c>
      <c r="N67" s="4" t="b">
        <v>0</v>
      </c>
      <c r="O67" s="6">
        <f>IF(OR(I67="",J67=""),"",I67+J67)</f>
        <v/>
      </c>
      <c r="P67" s="6">
        <f>IF(OR(I67="",J67=""),"",I67-J67)</f>
        <v/>
      </c>
      <c r="Q67" s="6">
        <f>IF(L67="","",IF(L67="Gana",3,IF(L67="Empata",1,0)))</f>
        <v/>
      </c>
      <c r="R67" s="6">
        <f>IF(L67="","",IF(L67="Pierde",3,IF(L67="Empata",1,0)))</f>
        <v/>
      </c>
      <c r="S67" s="4" t="inlineStr">
        <is>
          <t>https://github.com/jfjelstul/worldcup</t>
        </is>
      </c>
    </row>
    <row r="68">
      <c r="A68" s="4" t="inlineStr">
        <is>
          <t>M-2022-15</t>
        </is>
      </c>
      <c r="B68" s="4" t="n">
        <v>2022</v>
      </c>
      <c r="C68" s="4" t="inlineStr">
        <is>
          <t>Fase de grupos</t>
        </is>
      </c>
      <c r="D68" s="4" t="inlineStr">
        <is>
          <t>H</t>
        </is>
      </c>
      <c r="E68" s="4" t="n">
        <v>1</v>
      </c>
      <c r="F68" s="14" t="n">
        <v>44889</v>
      </c>
      <c r="G68" s="4" t="inlineStr">
        <is>
          <t>Portugal</t>
        </is>
      </c>
      <c r="H68" s="4" t="inlineStr">
        <is>
          <t>Ghana</t>
        </is>
      </c>
      <c r="I68" s="4" t="n">
        <v>3</v>
      </c>
      <c r="J68" s="4" t="n">
        <v>2</v>
      </c>
      <c r="K68" s="6">
        <f>IF(OR(I68="",J68=""),"",I68&amp;"-"&amp;J68)</f>
        <v/>
      </c>
      <c r="L68" s="6">
        <f>IF(OR(I68="",J68=""),"",IF(I68&gt;J68,"Gana",IF(I68=J68,"Empata","Pierde")))</f>
        <v/>
      </c>
      <c r="M68" s="4" t="b">
        <v>0</v>
      </c>
      <c r="N68" s="4" t="b">
        <v>0</v>
      </c>
      <c r="O68" s="6">
        <f>IF(OR(I68="",J68=""),"",I68+J68)</f>
        <v/>
      </c>
      <c r="P68" s="6">
        <f>IF(OR(I68="",J68=""),"",I68-J68)</f>
        <v/>
      </c>
      <c r="Q68" s="6">
        <f>IF(L68="","",IF(L68="Gana",3,IF(L68="Empata",1,0)))</f>
        <v/>
      </c>
      <c r="R68" s="6">
        <f>IF(L68="","",IF(L68="Pierde",3,IF(L68="Empata",1,0)))</f>
        <v/>
      </c>
      <c r="S68" s="4" t="inlineStr">
        <is>
          <t>https://github.com/jfjelstul/worldcup</t>
        </is>
      </c>
    </row>
    <row r="69">
      <c r="A69" s="4" t="inlineStr">
        <is>
          <t>M-2022-16</t>
        </is>
      </c>
      <c r="B69" s="4" t="n">
        <v>2022</v>
      </c>
      <c r="C69" s="4" t="inlineStr">
        <is>
          <t>Fase de grupos</t>
        </is>
      </c>
      <c r="D69" s="4" t="inlineStr">
        <is>
          <t>G</t>
        </is>
      </c>
      <c r="E69" s="4" t="n">
        <v>1</v>
      </c>
      <c r="F69" s="14" t="n">
        <v>44889</v>
      </c>
      <c r="G69" s="4" t="inlineStr">
        <is>
          <t>Brazil</t>
        </is>
      </c>
      <c r="H69" s="4" t="inlineStr">
        <is>
          <t>Serbia</t>
        </is>
      </c>
      <c r="I69" s="4" t="n">
        <v>2</v>
      </c>
      <c r="J69" s="4" t="n">
        <v>0</v>
      </c>
      <c r="K69" s="6">
        <f>IF(OR(I69="",J69=""),"",I69&amp;"-"&amp;J69)</f>
        <v/>
      </c>
      <c r="L69" s="6">
        <f>IF(OR(I69="",J69=""),"",IF(I69&gt;J69,"Gana",IF(I69=J69,"Empata","Pierde")))</f>
        <v/>
      </c>
      <c r="M69" s="4" t="b">
        <v>0</v>
      </c>
      <c r="N69" s="4" t="b">
        <v>0</v>
      </c>
      <c r="O69" s="6">
        <f>IF(OR(I69="",J69=""),"",I69+J69)</f>
        <v/>
      </c>
      <c r="P69" s="6">
        <f>IF(OR(I69="",J69=""),"",I69-J69)</f>
        <v/>
      </c>
      <c r="Q69" s="6">
        <f>IF(L69="","",IF(L69="Gana",3,IF(L69="Empata",1,0)))</f>
        <v/>
      </c>
      <c r="R69" s="6">
        <f>IF(L69="","",IF(L69="Pierde",3,IF(L69="Empata",1,0)))</f>
        <v/>
      </c>
      <c r="S69" s="4" t="inlineStr">
        <is>
          <t>https://github.com/jfjelstul/worldcup</t>
        </is>
      </c>
    </row>
    <row r="70">
      <c r="A70" s="4" t="inlineStr">
        <is>
          <t>M-2022-17</t>
        </is>
      </c>
      <c r="B70" s="4" t="n">
        <v>2022</v>
      </c>
      <c r="C70" s="4" t="inlineStr">
        <is>
          <t>Fase de grupos</t>
        </is>
      </c>
      <c r="D70" s="4" t="inlineStr">
        <is>
          <t>B</t>
        </is>
      </c>
      <c r="E70" s="4" t="n">
        <v>2</v>
      </c>
      <c r="F70" s="14" t="n">
        <v>44890</v>
      </c>
      <c r="G70" s="4" t="inlineStr">
        <is>
          <t>Wales</t>
        </is>
      </c>
      <c r="H70" s="4" t="inlineStr">
        <is>
          <t>Iran</t>
        </is>
      </c>
      <c r="I70" s="4" t="n">
        <v>0</v>
      </c>
      <c r="J70" s="4" t="n">
        <v>2</v>
      </c>
      <c r="K70" s="6">
        <f>IF(OR(I70="",J70=""),"",I70&amp;"-"&amp;J70)</f>
        <v/>
      </c>
      <c r="L70" s="6">
        <f>IF(OR(I70="",J70=""),"",IF(I70&gt;J70,"Gana",IF(I70=J70,"Empata","Pierde")))</f>
        <v/>
      </c>
      <c r="M70" s="4" t="b">
        <v>0</v>
      </c>
      <c r="N70" s="4" t="b">
        <v>0</v>
      </c>
      <c r="O70" s="6">
        <f>IF(OR(I70="",J70=""),"",I70+J70)</f>
        <v/>
      </c>
      <c r="P70" s="6">
        <f>IF(OR(I70="",J70=""),"",I70-J70)</f>
        <v/>
      </c>
      <c r="Q70" s="6">
        <f>IF(L70="","",IF(L70="Gana",3,IF(L70="Empata",1,0)))</f>
        <v/>
      </c>
      <c r="R70" s="6">
        <f>IF(L70="","",IF(L70="Pierde",3,IF(L70="Empata",1,0)))</f>
        <v/>
      </c>
      <c r="S70" s="4" t="inlineStr">
        <is>
          <t>https://github.com/jfjelstul/worldcup</t>
        </is>
      </c>
    </row>
    <row r="71">
      <c r="A71" s="4" t="inlineStr">
        <is>
          <t>M-2022-18</t>
        </is>
      </c>
      <c r="B71" s="4" t="n">
        <v>2022</v>
      </c>
      <c r="C71" s="4" t="inlineStr">
        <is>
          <t>Fase de grupos</t>
        </is>
      </c>
      <c r="D71" s="4" t="inlineStr">
        <is>
          <t>A</t>
        </is>
      </c>
      <c r="E71" s="4" t="n">
        <v>2</v>
      </c>
      <c r="F71" s="14" t="n">
        <v>44890</v>
      </c>
      <c r="G71" s="4" t="inlineStr">
        <is>
          <t>Qatar</t>
        </is>
      </c>
      <c r="H71" s="4" t="inlineStr">
        <is>
          <t>Senegal</t>
        </is>
      </c>
      <c r="I71" s="4" t="n">
        <v>1</v>
      </c>
      <c r="J71" s="4" t="n">
        <v>3</v>
      </c>
      <c r="K71" s="6">
        <f>IF(OR(I71="",J71=""),"",I71&amp;"-"&amp;J71)</f>
        <v/>
      </c>
      <c r="L71" s="6">
        <f>IF(OR(I71="",J71=""),"",IF(I71&gt;J71,"Gana",IF(I71=J71,"Empata","Pierde")))</f>
        <v/>
      </c>
      <c r="M71" s="4" t="b">
        <v>1</v>
      </c>
      <c r="N71" s="4" t="b">
        <v>0</v>
      </c>
      <c r="O71" s="6">
        <f>IF(OR(I71="",J71=""),"",I71+J71)</f>
        <v/>
      </c>
      <c r="P71" s="6">
        <f>IF(OR(I71="",J71=""),"",I71-J71)</f>
        <v/>
      </c>
      <c r="Q71" s="6">
        <f>IF(L71="","",IF(L71="Gana",3,IF(L71="Empata",1,0)))</f>
        <v/>
      </c>
      <c r="R71" s="6">
        <f>IF(L71="","",IF(L71="Pierde",3,IF(L71="Empata",1,0)))</f>
        <v/>
      </c>
      <c r="S71" s="4" t="inlineStr">
        <is>
          <t>https://github.com/jfjelstul/worldcup</t>
        </is>
      </c>
    </row>
    <row r="72">
      <c r="A72" s="4" t="inlineStr">
        <is>
          <t>M-2022-19</t>
        </is>
      </c>
      <c r="B72" s="4" t="n">
        <v>2022</v>
      </c>
      <c r="C72" s="4" t="inlineStr">
        <is>
          <t>Fase de grupos</t>
        </is>
      </c>
      <c r="D72" s="4" t="inlineStr">
        <is>
          <t>A</t>
        </is>
      </c>
      <c r="E72" s="4" t="n">
        <v>2</v>
      </c>
      <c r="F72" s="14" t="n">
        <v>44890</v>
      </c>
      <c r="G72" s="4" t="inlineStr">
        <is>
          <t>Netherlands</t>
        </is>
      </c>
      <c r="H72" s="4" t="inlineStr">
        <is>
          <t>Ecuador</t>
        </is>
      </c>
      <c r="I72" s="4" t="n">
        <v>1</v>
      </c>
      <c r="J72" s="4" t="n">
        <v>1</v>
      </c>
      <c r="K72" s="6">
        <f>IF(OR(I72="",J72=""),"",I72&amp;"-"&amp;J72)</f>
        <v/>
      </c>
      <c r="L72" s="6">
        <f>IF(OR(I72="",J72=""),"",IF(I72&gt;J72,"Gana",IF(I72=J72,"Empata","Pierde")))</f>
        <v/>
      </c>
      <c r="M72" s="4" t="b">
        <v>0</v>
      </c>
      <c r="N72" s="4" t="b">
        <v>0</v>
      </c>
      <c r="O72" s="6">
        <f>IF(OR(I72="",J72=""),"",I72+J72)</f>
        <v/>
      </c>
      <c r="P72" s="6">
        <f>IF(OR(I72="",J72=""),"",I72-J72)</f>
        <v/>
      </c>
      <c r="Q72" s="6">
        <f>IF(L72="","",IF(L72="Gana",3,IF(L72="Empata",1,0)))</f>
        <v/>
      </c>
      <c r="R72" s="6">
        <f>IF(L72="","",IF(L72="Pierde",3,IF(L72="Empata",1,0)))</f>
        <v/>
      </c>
      <c r="S72" s="4" t="inlineStr">
        <is>
          <t>https://github.com/jfjelstul/worldcup</t>
        </is>
      </c>
    </row>
    <row r="73">
      <c r="A73" s="4" t="inlineStr">
        <is>
          <t>M-2022-20</t>
        </is>
      </c>
      <c r="B73" s="4" t="n">
        <v>2022</v>
      </c>
      <c r="C73" s="4" t="inlineStr">
        <is>
          <t>Fase de grupos</t>
        </is>
      </c>
      <c r="D73" s="4" t="inlineStr">
        <is>
          <t>B</t>
        </is>
      </c>
      <c r="E73" s="4" t="n">
        <v>2</v>
      </c>
      <c r="F73" s="14" t="n">
        <v>44890</v>
      </c>
      <c r="G73" s="4" t="inlineStr">
        <is>
          <t>England</t>
        </is>
      </c>
      <c r="H73" s="4" t="inlineStr">
        <is>
          <t>United States</t>
        </is>
      </c>
      <c r="I73" s="4" t="n">
        <v>0</v>
      </c>
      <c r="J73" s="4" t="n">
        <v>0</v>
      </c>
      <c r="K73" s="6">
        <f>IF(OR(I73="",J73=""),"",I73&amp;"-"&amp;J73)</f>
        <v/>
      </c>
      <c r="L73" s="6">
        <f>IF(OR(I73="",J73=""),"",IF(I73&gt;J73,"Gana",IF(I73=J73,"Empata","Pierde")))</f>
        <v/>
      </c>
      <c r="M73" s="4" t="b">
        <v>0</v>
      </c>
      <c r="N73" s="4" t="b">
        <v>0</v>
      </c>
      <c r="O73" s="6">
        <f>IF(OR(I73="",J73=""),"",I73+J73)</f>
        <v/>
      </c>
      <c r="P73" s="6">
        <f>IF(OR(I73="",J73=""),"",I73-J73)</f>
        <v/>
      </c>
      <c r="Q73" s="6">
        <f>IF(L73="","",IF(L73="Gana",3,IF(L73="Empata",1,0)))</f>
        <v/>
      </c>
      <c r="R73" s="6">
        <f>IF(L73="","",IF(L73="Pierde",3,IF(L73="Empata",1,0)))</f>
        <v/>
      </c>
      <c r="S73" s="4" t="inlineStr">
        <is>
          <t>https://github.com/jfjelstul/worldcup</t>
        </is>
      </c>
    </row>
    <row r="74">
      <c r="A74" s="4" t="inlineStr">
        <is>
          <t>M-2022-21</t>
        </is>
      </c>
      <c r="B74" s="4" t="n">
        <v>2022</v>
      </c>
      <c r="C74" s="4" t="inlineStr">
        <is>
          <t>Fase de grupos</t>
        </is>
      </c>
      <c r="D74" s="4" t="inlineStr">
        <is>
          <t>D</t>
        </is>
      </c>
      <c r="E74" s="4" t="n">
        <v>2</v>
      </c>
      <c r="F74" s="14" t="n">
        <v>44891</v>
      </c>
      <c r="G74" s="4" t="inlineStr">
        <is>
          <t>Tunisia</t>
        </is>
      </c>
      <c r="H74" s="4" t="inlineStr">
        <is>
          <t>Australia</t>
        </is>
      </c>
      <c r="I74" s="4" t="n">
        <v>0</v>
      </c>
      <c r="J74" s="4" t="n">
        <v>1</v>
      </c>
      <c r="K74" s="6">
        <f>IF(OR(I74="",J74=""),"",I74&amp;"-"&amp;J74)</f>
        <v/>
      </c>
      <c r="L74" s="6">
        <f>IF(OR(I74="",J74=""),"",IF(I74&gt;J74,"Gana",IF(I74=J74,"Empata","Pierde")))</f>
        <v/>
      </c>
      <c r="M74" s="4" t="b">
        <v>0</v>
      </c>
      <c r="N74" s="4" t="b">
        <v>0</v>
      </c>
      <c r="O74" s="6">
        <f>IF(OR(I74="",J74=""),"",I74+J74)</f>
        <v/>
      </c>
      <c r="P74" s="6">
        <f>IF(OR(I74="",J74=""),"",I74-J74)</f>
        <v/>
      </c>
      <c r="Q74" s="6">
        <f>IF(L74="","",IF(L74="Gana",3,IF(L74="Empata",1,0)))</f>
        <v/>
      </c>
      <c r="R74" s="6">
        <f>IF(L74="","",IF(L74="Pierde",3,IF(L74="Empata",1,0)))</f>
        <v/>
      </c>
      <c r="S74" s="4" t="inlineStr">
        <is>
          <t>https://github.com/jfjelstul/worldcup</t>
        </is>
      </c>
    </row>
    <row r="75">
      <c r="A75" s="4" t="inlineStr">
        <is>
          <t>M-2022-22</t>
        </is>
      </c>
      <c r="B75" s="4" t="n">
        <v>2022</v>
      </c>
      <c r="C75" s="4" t="inlineStr">
        <is>
          <t>Fase de grupos</t>
        </is>
      </c>
      <c r="D75" s="4" t="inlineStr">
        <is>
          <t>C</t>
        </is>
      </c>
      <c r="E75" s="4" t="n">
        <v>2</v>
      </c>
      <c r="F75" s="14" t="n">
        <v>44891</v>
      </c>
      <c r="G75" s="4" t="inlineStr">
        <is>
          <t>Poland</t>
        </is>
      </c>
      <c r="H75" s="4" t="inlineStr">
        <is>
          <t>Saudi Arabia</t>
        </is>
      </c>
      <c r="I75" s="4" t="n">
        <v>2</v>
      </c>
      <c r="J75" s="4" t="n">
        <v>0</v>
      </c>
      <c r="K75" s="6">
        <f>IF(OR(I75="",J75=""),"",I75&amp;"-"&amp;J75)</f>
        <v/>
      </c>
      <c r="L75" s="6">
        <f>IF(OR(I75="",J75=""),"",IF(I75&gt;J75,"Gana",IF(I75=J75,"Empata","Pierde")))</f>
        <v/>
      </c>
      <c r="M75" s="4" t="b">
        <v>0</v>
      </c>
      <c r="N75" s="4" t="b">
        <v>0</v>
      </c>
      <c r="O75" s="6">
        <f>IF(OR(I75="",J75=""),"",I75+J75)</f>
        <v/>
      </c>
      <c r="P75" s="6">
        <f>IF(OR(I75="",J75=""),"",I75-J75)</f>
        <v/>
      </c>
      <c r="Q75" s="6">
        <f>IF(L75="","",IF(L75="Gana",3,IF(L75="Empata",1,0)))</f>
        <v/>
      </c>
      <c r="R75" s="6">
        <f>IF(L75="","",IF(L75="Pierde",3,IF(L75="Empata",1,0)))</f>
        <v/>
      </c>
      <c r="S75" s="4" t="inlineStr">
        <is>
          <t>https://github.com/jfjelstul/worldcup</t>
        </is>
      </c>
    </row>
    <row r="76">
      <c r="A76" s="4" t="inlineStr">
        <is>
          <t>M-2022-23</t>
        </is>
      </c>
      <c r="B76" s="4" t="n">
        <v>2022</v>
      </c>
      <c r="C76" s="4" t="inlineStr">
        <is>
          <t>Fase de grupos</t>
        </is>
      </c>
      <c r="D76" s="4" t="inlineStr">
        <is>
          <t>D</t>
        </is>
      </c>
      <c r="E76" s="4" t="n">
        <v>2</v>
      </c>
      <c r="F76" s="14" t="n">
        <v>44891</v>
      </c>
      <c r="G76" s="4" t="inlineStr">
        <is>
          <t>France</t>
        </is>
      </c>
      <c r="H76" s="4" t="inlineStr">
        <is>
          <t>Denmark</t>
        </is>
      </c>
      <c r="I76" s="4" t="n">
        <v>2</v>
      </c>
      <c r="J76" s="4" t="n">
        <v>1</v>
      </c>
      <c r="K76" s="6">
        <f>IF(OR(I76="",J76=""),"",I76&amp;"-"&amp;J76)</f>
        <v/>
      </c>
      <c r="L76" s="6">
        <f>IF(OR(I76="",J76=""),"",IF(I76&gt;J76,"Gana",IF(I76=J76,"Empata","Pierde")))</f>
        <v/>
      </c>
      <c r="M76" s="4" t="b">
        <v>0</v>
      </c>
      <c r="N76" s="4" t="b">
        <v>0</v>
      </c>
      <c r="O76" s="6">
        <f>IF(OR(I76="",J76=""),"",I76+J76)</f>
        <v/>
      </c>
      <c r="P76" s="6">
        <f>IF(OR(I76="",J76=""),"",I76-J76)</f>
        <v/>
      </c>
      <c r="Q76" s="6">
        <f>IF(L76="","",IF(L76="Gana",3,IF(L76="Empata",1,0)))</f>
        <v/>
      </c>
      <c r="R76" s="6">
        <f>IF(L76="","",IF(L76="Pierde",3,IF(L76="Empata",1,0)))</f>
        <v/>
      </c>
      <c r="S76" s="4" t="inlineStr">
        <is>
          <t>https://github.com/jfjelstul/worldcup</t>
        </is>
      </c>
    </row>
    <row r="77">
      <c r="A77" s="4" t="inlineStr">
        <is>
          <t>M-2022-24</t>
        </is>
      </c>
      <c r="B77" s="4" t="n">
        <v>2022</v>
      </c>
      <c r="C77" s="4" t="inlineStr">
        <is>
          <t>Fase de grupos</t>
        </is>
      </c>
      <c r="D77" s="4" t="inlineStr">
        <is>
          <t>C</t>
        </is>
      </c>
      <c r="E77" s="4" t="n">
        <v>2</v>
      </c>
      <c r="F77" s="14" t="n">
        <v>44891</v>
      </c>
      <c r="G77" s="4" t="inlineStr">
        <is>
          <t>Argentina</t>
        </is>
      </c>
      <c r="H77" s="4" t="inlineStr">
        <is>
          <t>Mexico</t>
        </is>
      </c>
      <c r="I77" s="4" t="n">
        <v>2</v>
      </c>
      <c r="J77" s="4" t="n">
        <v>0</v>
      </c>
      <c r="K77" s="6">
        <f>IF(OR(I77="",J77=""),"",I77&amp;"-"&amp;J77)</f>
        <v/>
      </c>
      <c r="L77" s="6">
        <f>IF(OR(I77="",J77=""),"",IF(I77&gt;J77,"Gana",IF(I77=J77,"Empata","Pierde")))</f>
        <v/>
      </c>
      <c r="M77" s="4" t="b">
        <v>0</v>
      </c>
      <c r="N77" s="4" t="b">
        <v>0</v>
      </c>
      <c r="O77" s="6">
        <f>IF(OR(I77="",J77=""),"",I77+J77)</f>
        <v/>
      </c>
      <c r="P77" s="6">
        <f>IF(OR(I77="",J77=""),"",I77-J77)</f>
        <v/>
      </c>
      <c r="Q77" s="6">
        <f>IF(L77="","",IF(L77="Gana",3,IF(L77="Empata",1,0)))</f>
        <v/>
      </c>
      <c r="R77" s="6">
        <f>IF(L77="","",IF(L77="Pierde",3,IF(L77="Empata",1,0)))</f>
        <v/>
      </c>
      <c r="S77" s="4" t="inlineStr">
        <is>
          <t>https://github.com/jfjelstul/worldcup</t>
        </is>
      </c>
    </row>
    <row r="78">
      <c r="A78" s="4" t="inlineStr">
        <is>
          <t>M-2022-25</t>
        </is>
      </c>
      <c r="B78" s="4" t="n">
        <v>2022</v>
      </c>
      <c r="C78" s="4" t="inlineStr">
        <is>
          <t>Fase de grupos</t>
        </is>
      </c>
      <c r="D78" s="4" t="inlineStr">
        <is>
          <t>E</t>
        </is>
      </c>
      <c r="E78" s="4" t="n">
        <v>2</v>
      </c>
      <c r="F78" s="14" t="n">
        <v>44892</v>
      </c>
      <c r="G78" s="4" t="inlineStr">
        <is>
          <t>Japan</t>
        </is>
      </c>
      <c r="H78" s="4" t="inlineStr">
        <is>
          <t>Costa Rica</t>
        </is>
      </c>
      <c r="I78" s="4" t="n">
        <v>0</v>
      </c>
      <c r="J78" s="4" t="n">
        <v>1</v>
      </c>
      <c r="K78" s="6">
        <f>IF(OR(I78="",J78=""),"",I78&amp;"-"&amp;J78)</f>
        <v/>
      </c>
      <c r="L78" s="6">
        <f>IF(OR(I78="",J78=""),"",IF(I78&gt;J78,"Gana",IF(I78=J78,"Empata","Pierde")))</f>
        <v/>
      </c>
      <c r="M78" s="4" t="b">
        <v>0</v>
      </c>
      <c r="N78" s="4" t="b">
        <v>0</v>
      </c>
      <c r="O78" s="6">
        <f>IF(OR(I78="",J78=""),"",I78+J78)</f>
        <v/>
      </c>
      <c r="P78" s="6">
        <f>IF(OR(I78="",J78=""),"",I78-J78)</f>
        <v/>
      </c>
      <c r="Q78" s="6">
        <f>IF(L78="","",IF(L78="Gana",3,IF(L78="Empata",1,0)))</f>
        <v/>
      </c>
      <c r="R78" s="6">
        <f>IF(L78="","",IF(L78="Pierde",3,IF(L78="Empata",1,0)))</f>
        <v/>
      </c>
      <c r="S78" s="4" t="inlineStr">
        <is>
          <t>https://github.com/jfjelstul/worldcup</t>
        </is>
      </c>
    </row>
    <row r="79">
      <c r="A79" s="4" t="inlineStr">
        <is>
          <t>M-2022-26</t>
        </is>
      </c>
      <c r="B79" s="4" t="n">
        <v>2022</v>
      </c>
      <c r="C79" s="4" t="inlineStr">
        <is>
          <t>Fase de grupos</t>
        </is>
      </c>
      <c r="D79" s="4" t="inlineStr">
        <is>
          <t>F</t>
        </is>
      </c>
      <c r="E79" s="4" t="n">
        <v>2</v>
      </c>
      <c r="F79" s="14" t="n">
        <v>44892</v>
      </c>
      <c r="G79" s="4" t="inlineStr">
        <is>
          <t>Belgium</t>
        </is>
      </c>
      <c r="H79" s="4" t="inlineStr">
        <is>
          <t>Morocco</t>
        </is>
      </c>
      <c r="I79" s="4" t="n">
        <v>0</v>
      </c>
      <c r="J79" s="4" t="n">
        <v>2</v>
      </c>
      <c r="K79" s="6">
        <f>IF(OR(I79="",J79=""),"",I79&amp;"-"&amp;J79)</f>
        <v/>
      </c>
      <c r="L79" s="6">
        <f>IF(OR(I79="",J79=""),"",IF(I79&gt;J79,"Gana",IF(I79=J79,"Empata","Pierde")))</f>
        <v/>
      </c>
      <c r="M79" s="4" t="b">
        <v>0</v>
      </c>
      <c r="N79" s="4" t="b">
        <v>0</v>
      </c>
      <c r="O79" s="6">
        <f>IF(OR(I79="",J79=""),"",I79+J79)</f>
        <v/>
      </c>
      <c r="P79" s="6">
        <f>IF(OR(I79="",J79=""),"",I79-J79)</f>
        <v/>
      </c>
      <c r="Q79" s="6">
        <f>IF(L79="","",IF(L79="Gana",3,IF(L79="Empata",1,0)))</f>
        <v/>
      </c>
      <c r="R79" s="6">
        <f>IF(L79="","",IF(L79="Pierde",3,IF(L79="Empata",1,0)))</f>
        <v/>
      </c>
      <c r="S79" s="4" t="inlineStr">
        <is>
          <t>https://github.com/jfjelstul/worldcup</t>
        </is>
      </c>
    </row>
    <row r="80">
      <c r="A80" s="4" t="inlineStr">
        <is>
          <t>M-2022-27</t>
        </is>
      </c>
      <c r="B80" s="4" t="n">
        <v>2022</v>
      </c>
      <c r="C80" s="4" t="inlineStr">
        <is>
          <t>Fase de grupos</t>
        </is>
      </c>
      <c r="D80" s="4" t="inlineStr">
        <is>
          <t>F</t>
        </is>
      </c>
      <c r="E80" s="4" t="n">
        <v>2</v>
      </c>
      <c r="F80" s="14" t="n">
        <v>44892</v>
      </c>
      <c r="G80" s="4" t="inlineStr">
        <is>
          <t>Croatia</t>
        </is>
      </c>
      <c r="H80" s="4" t="inlineStr">
        <is>
          <t>Canada</t>
        </is>
      </c>
      <c r="I80" s="4" t="n">
        <v>4</v>
      </c>
      <c r="J80" s="4" t="n">
        <v>1</v>
      </c>
      <c r="K80" s="6">
        <f>IF(OR(I80="",J80=""),"",I80&amp;"-"&amp;J80)</f>
        <v/>
      </c>
      <c r="L80" s="6">
        <f>IF(OR(I80="",J80=""),"",IF(I80&gt;J80,"Gana",IF(I80=J80,"Empata","Pierde")))</f>
        <v/>
      </c>
      <c r="M80" s="4" t="b">
        <v>0</v>
      </c>
      <c r="N80" s="4" t="b">
        <v>0</v>
      </c>
      <c r="O80" s="6">
        <f>IF(OR(I80="",J80=""),"",I80+J80)</f>
        <v/>
      </c>
      <c r="P80" s="6">
        <f>IF(OR(I80="",J80=""),"",I80-J80)</f>
        <v/>
      </c>
      <c r="Q80" s="6">
        <f>IF(L80="","",IF(L80="Gana",3,IF(L80="Empata",1,0)))</f>
        <v/>
      </c>
      <c r="R80" s="6">
        <f>IF(L80="","",IF(L80="Pierde",3,IF(L80="Empata",1,0)))</f>
        <v/>
      </c>
      <c r="S80" s="4" t="inlineStr">
        <is>
          <t>https://github.com/jfjelstul/worldcup</t>
        </is>
      </c>
    </row>
    <row r="81">
      <c r="A81" s="4" t="inlineStr">
        <is>
          <t>M-2022-28</t>
        </is>
      </c>
      <c r="B81" s="4" t="n">
        <v>2022</v>
      </c>
      <c r="C81" s="4" t="inlineStr">
        <is>
          <t>Fase de grupos</t>
        </is>
      </c>
      <c r="D81" s="4" t="inlineStr">
        <is>
          <t>E</t>
        </is>
      </c>
      <c r="E81" s="4" t="n">
        <v>2</v>
      </c>
      <c r="F81" s="14" t="n">
        <v>44892</v>
      </c>
      <c r="G81" s="4" t="inlineStr">
        <is>
          <t>Spain</t>
        </is>
      </c>
      <c r="H81" s="4" t="inlineStr">
        <is>
          <t>Germany</t>
        </is>
      </c>
      <c r="I81" s="4" t="n">
        <v>1</v>
      </c>
      <c r="J81" s="4" t="n">
        <v>1</v>
      </c>
      <c r="K81" s="6">
        <f>IF(OR(I81="",J81=""),"",I81&amp;"-"&amp;J81)</f>
        <v/>
      </c>
      <c r="L81" s="6">
        <f>IF(OR(I81="",J81=""),"",IF(I81&gt;J81,"Gana",IF(I81=J81,"Empata","Pierde")))</f>
        <v/>
      </c>
      <c r="M81" s="4" t="b">
        <v>0</v>
      </c>
      <c r="N81" s="4" t="b">
        <v>0</v>
      </c>
      <c r="O81" s="6">
        <f>IF(OR(I81="",J81=""),"",I81+J81)</f>
        <v/>
      </c>
      <c r="P81" s="6">
        <f>IF(OR(I81="",J81=""),"",I81-J81)</f>
        <v/>
      </c>
      <c r="Q81" s="6">
        <f>IF(L81="","",IF(L81="Gana",3,IF(L81="Empata",1,0)))</f>
        <v/>
      </c>
      <c r="R81" s="6">
        <f>IF(L81="","",IF(L81="Pierde",3,IF(L81="Empata",1,0)))</f>
        <v/>
      </c>
      <c r="S81" s="4" t="inlineStr">
        <is>
          <t>https://github.com/jfjelstul/worldcup</t>
        </is>
      </c>
    </row>
    <row r="82">
      <c r="A82" s="4" t="inlineStr">
        <is>
          <t>M-2022-29</t>
        </is>
      </c>
      <c r="B82" s="4" t="n">
        <v>2022</v>
      </c>
      <c r="C82" s="4" t="inlineStr">
        <is>
          <t>Fase de grupos</t>
        </is>
      </c>
      <c r="D82" s="4" t="inlineStr">
        <is>
          <t>G</t>
        </is>
      </c>
      <c r="E82" s="4" t="n">
        <v>2</v>
      </c>
      <c r="F82" s="14" t="n">
        <v>44893</v>
      </c>
      <c r="G82" s="4" t="inlineStr">
        <is>
          <t>Cameroon</t>
        </is>
      </c>
      <c r="H82" s="4" t="inlineStr">
        <is>
          <t>Serbia</t>
        </is>
      </c>
      <c r="I82" s="4" t="n">
        <v>3</v>
      </c>
      <c r="J82" s="4" t="n">
        <v>3</v>
      </c>
      <c r="K82" s="6">
        <f>IF(OR(I82="",J82=""),"",I82&amp;"-"&amp;J82)</f>
        <v/>
      </c>
      <c r="L82" s="6">
        <f>IF(OR(I82="",J82=""),"",IF(I82&gt;J82,"Gana",IF(I82=J82,"Empata","Pierde")))</f>
        <v/>
      </c>
      <c r="M82" s="4" t="b">
        <v>0</v>
      </c>
      <c r="N82" s="4" t="b">
        <v>0</v>
      </c>
      <c r="O82" s="6">
        <f>IF(OR(I82="",J82=""),"",I82+J82)</f>
        <v/>
      </c>
      <c r="P82" s="6">
        <f>IF(OR(I82="",J82=""),"",I82-J82)</f>
        <v/>
      </c>
      <c r="Q82" s="6">
        <f>IF(L82="","",IF(L82="Gana",3,IF(L82="Empata",1,0)))</f>
        <v/>
      </c>
      <c r="R82" s="6">
        <f>IF(L82="","",IF(L82="Pierde",3,IF(L82="Empata",1,0)))</f>
        <v/>
      </c>
      <c r="S82" s="4" t="inlineStr">
        <is>
          <t>https://github.com/jfjelstul/worldcup</t>
        </is>
      </c>
    </row>
    <row r="83">
      <c r="A83" s="4" t="inlineStr">
        <is>
          <t>M-2022-30</t>
        </is>
      </c>
      <c r="B83" s="4" t="n">
        <v>2022</v>
      </c>
      <c r="C83" s="4" t="inlineStr">
        <is>
          <t>Fase de grupos</t>
        </is>
      </c>
      <c r="D83" s="4" t="inlineStr">
        <is>
          <t>H</t>
        </is>
      </c>
      <c r="E83" s="4" t="n">
        <v>2</v>
      </c>
      <c r="F83" s="14" t="n">
        <v>44893</v>
      </c>
      <c r="G83" s="4" t="inlineStr">
        <is>
          <t>South Korea</t>
        </is>
      </c>
      <c r="H83" s="4" t="inlineStr">
        <is>
          <t>Ghana</t>
        </is>
      </c>
      <c r="I83" s="4" t="n">
        <v>2</v>
      </c>
      <c r="J83" s="4" t="n">
        <v>3</v>
      </c>
      <c r="K83" s="6">
        <f>IF(OR(I83="",J83=""),"",I83&amp;"-"&amp;J83)</f>
        <v/>
      </c>
      <c r="L83" s="6">
        <f>IF(OR(I83="",J83=""),"",IF(I83&gt;J83,"Gana",IF(I83=J83,"Empata","Pierde")))</f>
        <v/>
      </c>
      <c r="M83" s="4" t="b">
        <v>0</v>
      </c>
      <c r="N83" s="4" t="b">
        <v>0</v>
      </c>
      <c r="O83" s="6">
        <f>IF(OR(I83="",J83=""),"",I83+J83)</f>
        <v/>
      </c>
      <c r="P83" s="6">
        <f>IF(OR(I83="",J83=""),"",I83-J83)</f>
        <v/>
      </c>
      <c r="Q83" s="6">
        <f>IF(L83="","",IF(L83="Gana",3,IF(L83="Empata",1,0)))</f>
        <v/>
      </c>
      <c r="R83" s="6">
        <f>IF(L83="","",IF(L83="Pierde",3,IF(L83="Empata",1,0)))</f>
        <v/>
      </c>
      <c r="S83" s="4" t="inlineStr">
        <is>
          <t>https://github.com/jfjelstul/worldcup</t>
        </is>
      </c>
    </row>
    <row r="84">
      <c r="A84" s="4" t="inlineStr">
        <is>
          <t>M-2022-31</t>
        </is>
      </c>
      <c r="B84" s="4" t="n">
        <v>2022</v>
      </c>
      <c r="C84" s="4" t="inlineStr">
        <is>
          <t>Fase de grupos</t>
        </is>
      </c>
      <c r="D84" s="4" t="inlineStr">
        <is>
          <t>G</t>
        </is>
      </c>
      <c r="E84" s="4" t="n">
        <v>2</v>
      </c>
      <c r="F84" s="14" t="n"/>
      <c r="G84" s="4" t="inlineStr">
        <is>
          <t>Brazil</t>
        </is>
      </c>
      <c r="H84" s="4" t="inlineStr">
        <is>
          <t>Switzerland</t>
        </is>
      </c>
      <c r="I84" s="4" t="n">
        <v>1</v>
      </c>
      <c r="J84" s="4" t="n">
        <v>0</v>
      </c>
      <c r="K84" s="6">
        <f>IF(OR(I84="",J84=""),"",I84&amp;"-"&amp;J84)</f>
        <v/>
      </c>
      <c r="L84" s="6">
        <f>IF(OR(I84="",J84=""),"",IF(I84&gt;J84,"Gana",IF(I84=J84,"Empata","Pierde")))</f>
        <v/>
      </c>
      <c r="M84" s="4" t="b">
        <v>0</v>
      </c>
      <c r="N84" s="4" t="b">
        <v>0</v>
      </c>
      <c r="O84" s="6">
        <f>IF(OR(I84="",J84=""),"",I84+J84)</f>
        <v/>
      </c>
      <c r="P84" s="6">
        <f>IF(OR(I84="",J84=""),"",I84-J84)</f>
        <v/>
      </c>
      <c r="Q84" s="6">
        <f>IF(L84="","",IF(L84="Gana",3,IF(L84="Empata",1,0)))</f>
        <v/>
      </c>
      <c r="R84" s="6">
        <f>IF(L84="","",IF(L84="Pierde",3,IF(L84="Empata",1,0)))</f>
        <v/>
      </c>
      <c r="S84" s="4" t="inlineStr">
        <is>
          <t>https://github.com/jfjelstul/worldcup</t>
        </is>
      </c>
    </row>
    <row r="85">
      <c r="A85" s="4" t="inlineStr">
        <is>
          <t>M-2022-32</t>
        </is>
      </c>
      <c r="B85" s="4" t="n">
        <v>2022</v>
      </c>
      <c r="C85" s="4" t="inlineStr">
        <is>
          <t>Fase de grupos</t>
        </is>
      </c>
      <c r="D85" s="4" t="inlineStr">
        <is>
          <t>H</t>
        </is>
      </c>
      <c r="E85" s="4" t="n">
        <v>2</v>
      </c>
      <c r="F85" s="14" t="n">
        <v>44893</v>
      </c>
      <c r="G85" s="4" t="inlineStr">
        <is>
          <t>Portugal</t>
        </is>
      </c>
      <c r="H85" s="4" t="inlineStr">
        <is>
          <t>Uruguay</t>
        </is>
      </c>
      <c r="I85" s="4" t="n">
        <v>2</v>
      </c>
      <c r="J85" s="4" t="n">
        <v>0</v>
      </c>
      <c r="K85" s="6">
        <f>IF(OR(I85="",J85=""),"",I85&amp;"-"&amp;J85)</f>
        <v/>
      </c>
      <c r="L85" s="6">
        <f>IF(OR(I85="",J85=""),"",IF(I85&gt;J85,"Gana",IF(I85=J85,"Empata","Pierde")))</f>
        <v/>
      </c>
      <c r="M85" s="4" t="b">
        <v>0</v>
      </c>
      <c r="N85" s="4" t="b">
        <v>0</v>
      </c>
      <c r="O85" s="6">
        <f>IF(OR(I85="",J85=""),"",I85+J85)</f>
        <v/>
      </c>
      <c r="P85" s="6">
        <f>IF(OR(I85="",J85=""),"",I85-J85)</f>
        <v/>
      </c>
      <c r="Q85" s="6">
        <f>IF(L85="","",IF(L85="Gana",3,IF(L85="Empata",1,0)))</f>
        <v/>
      </c>
      <c r="R85" s="6">
        <f>IF(L85="","",IF(L85="Pierde",3,IF(L85="Empata",1,0)))</f>
        <v/>
      </c>
      <c r="S85" s="4" t="inlineStr">
        <is>
          <t>https://github.com/jfjelstul/worldcup</t>
        </is>
      </c>
    </row>
    <row r="86">
      <c r="A86" s="4" t="inlineStr">
        <is>
          <t>M-2022-33</t>
        </is>
      </c>
      <c r="B86" s="4" t="n">
        <v>2022</v>
      </c>
      <c r="C86" s="4" t="inlineStr">
        <is>
          <t>Fase de grupos</t>
        </is>
      </c>
      <c r="D86" s="4" t="inlineStr">
        <is>
          <t>A</t>
        </is>
      </c>
      <c r="E86" s="4" t="n">
        <v>3</v>
      </c>
      <c r="F86" s="14" t="n">
        <v>44894</v>
      </c>
      <c r="G86" s="4" t="inlineStr">
        <is>
          <t>Ecuador</t>
        </is>
      </c>
      <c r="H86" s="4" t="inlineStr">
        <is>
          <t>Senegal</t>
        </is>
      </c>
      <c r="I86" s="4" t="n">
        <v>1</v>
      </c>
      <c r="J86" s="4" t="n">
        <v>2</v>
      </c>
      <c r="K86" s="6">
        <f>IF(OR(I86="",J86=""),"",I86&amp;"-"&amp;J86)</f>
        <v/>
      </c>
      <c r="L86" s="6">
        <f>IF(OR(I86="",J86=""),"",IF(I86&gt;J86,"Gana",IF(I86=J86,"Empata","Pierde")))</f>
        <v/>
      </c>
      <c r="M86" s="4" t="b">
        <v>0</v>
      </c>
      <c r="N86" s="4" t="b">
        <v>0</v>
      </c>
      <c r="O86" s="6">
        <f>IF(OR(I86="",J86=""),"",I86+J86)</f>
        <v/>
      </c>
      <c r="P86" s="6">
        <f>IF(OR(I86="",J86=""),"",I86-J86)</f>
        <v/>
      </c>
      <c r="Q86" s="6">
        <f>IF(L86="","",IF(L86="Gana",3,IF(L86="Empata",1,0)))</f>
        <v/>
      </c>
      <c r="R86" s="6">
        <f>IF(L86="","",IF(L86="Pierde",3,IF(L86="Empata",1,0)))</f>
        <v/>
      </c>
      <c r="S86" s="4" t="inlineStr">
        <is>
          <t>https://github.com/jfjelstul/worldcup</t>
        </is>
      </c>
    </row>
    <row r="87">
      <c r="A87" s="4" t="inlineStr">
        <is>
          <t>M-2022-34</t>
        </is>
      </c>
      <c r="B87" s="4" t="n">
        <v>2022</v>
      </c>
      <c r="C87" s="4" t="inlineStr">
        <is>
          <t>Fase de grupos</t>
        </is>
      </c>
      <c r="D87" s="4" t="inlineStr">
        <is>
          <t>A</t>
        </is>
      </c>
      <c r="E87" s="4" t="n">
        <v>3</v>
      </c>
      <c r="F87" s="14" t="n">
        <v>44894</v>
      </c>
      <c r="G87" s="4" t="inlineStr">
        <is>
          <t>Netherlands</t>
        </is>
      </c>
      <c r="H87" s="4" t="inlineStr">
        <is>
          <t>Qatar</t>
        </is>
      </c>
      <c r="I87" s="4" t="n">
        <v>2</v>
      </c>
      <c r="J87" s="4" t="n">
        <v>0</v>
      </c>
      <c r="K87" s="6">
        <f>IF(OR(I87="",J87=""),"",I87&amp;"-"&amp;J87)</f>
        <v/>
      </c>
      <c r="L87" s="6">
        <f>IF(OR(I87="",J87=""),"",IF(I87&gt;J87,"Gana",IF(I87=J87,"Empata","Pierde")))</f>
        <v/>
      </c>
      <c r="M87" s="4" t="b">
        <v>0</v>
      </c>
      <c r="N87" s="4" t="b">
        <v>1</v>
      </c>
      <c r="O87" s="6">
        <f>IF(OR(I87="",J87=""),"",I87+J87)</f>
        <v/>
      </c>
      <c r="P87" s="6">
        <f>IF(OR(I87="",J87=""),"",I87-J87)</f>
        <v/>
      </c>
      <c r="Q87" s="6">
        <f>IF(L87="","",IF(L87="Gana",3,IF(L87="Empata",1,0)))</f>
        <v/>
      </c>
      <c r="R87" s="6">
        <f>IF(L87="","",IF(L87="Pierde",3,IF(L87="Empata",1,0)))</f>
        <v/>
      </c>
      <c r="S87" s="4" t="inlineStr">
        <is>
          <t>https://github.com/jfjelstul/worldcup</t>
        </is>
      </c>
    </row>
    <row r="88">
      <c r="A88" s="4" t="inlineStr">
        <is>
          <t>M-2022-35</t>
        </is>
      </c>
      <c r="B88" s="4" t="n">
        <v>2022</v>
      </c>
      <c r="C88" s="4" t="inlineStr">
        <is>
          <t>Fase de grupos</t>
        </is>
      </c>
      <c r="D88" s="4" t="inlineStr">
        <is>
          <t>B</t>
        </is>
      </c>
      <c r="E88" s="4" t="n">
        <v>3</v>
      </c>
      <c r="F88" s="14" t="n">
        <v>44894</v>
      </c>
      <c r="G88" s="4" t="inlineStr">
        <is>
          <t>Iran</t>
        </is>
      </c>
      <c r="H88" s="4" t="inlineStr">
        <is>
          <t>United States</t>
        </is>
      </c>
      <c r="I88" s="4" t="n">
        <v>0</v>
      </c>
      <c r="J88" s="4" t="n">
        <v>1</v>
      </c>
      <c r="K88" s="6">
        <f>IF(OR(I88="",J88=""),"",I88&amp;"-"&amp;J88)</f>
        <v/>
      </c>
      <c r="L88" s="6">
        <f>IF(OR(I88="",J88=""),"",IF(I88&gt;J88,"Gana",IF(I88=J88,"Empata","Pierde")))</f>
        <v/>
      </c>
      <c r="M88" s="4" t="b">
        <v>0</v>
      </c>
      <c r="N88" s="4" t="b">
        <v>0</v>
      </c>
      <c r="O88" s="6">
        <f>IF(OR(I88="",J88=""),"",I88+J88)</f>
        <v/>
      </c>
      <c r="P88" s="6">
        <f>IF(OR(I88="",J88=""),"",I88-J88)</f>
        <v/>
      </c>
      <c r="Q88" s="6">
        <f>IF(L88="","",IF(L88="Gana",3,IF(L88="Empata",1,0)))</f>
        <v/>
      </c>
      <c r="R88" s="6">
        <f>IF(L88="","",IF(L88="Pierde",3,IF(L88="Empata",1,0)))</f>
        <v/>
      </c>
      <c r="S88" s="4" t="inlineStr">
        <is>
          <t>https://github.com/jfjelstul/worldcup</t>
        </is>
      </c>
    </row>
    <row r="89">
      <c r="A89" s="4" t="inlineStr">
        <is>
          <t>M-2022-36</t>
        </is>
      </c>
      <c r="B89" s="4" t="n">
        <v>2022</v>
      </c>
      <c r="C89" s="4" t="inlineStr">
        <is>
          <t>Fase de grupos</t>
        </is>
      </c>
      <c r="D89" s="4" t="inlineStr">
        <is>
          <t>B</t>
        </is>
      </c>
      <c r="E89" s="4" t="n">
        <v>3</v>
      </c>
      <c r="F89" s="14" t="n">
        <v>44894</v>
      </c>
      <c r="G89" s="4" t="inlineStr">
        <is>
          <t>Wales</t>
        </is>
      </c>
      <c r="H89" s="4" t="inlineStr">
        <is>
          <t>England</t>
        </is>
      </c>
      <c r="I89" s="4" t="n">
        <v>0</v>
      </c>
      <c r="J89" s="4" t="n">
        <v>3</v>
      </c>
      <c r="K89" s="6">
        <f>IF(OR(I89="",J89=""),"",I89&amp;"-"&amp;J89)</f>
        <v/>
      </c>
      <c r="L89" s="6">
        <f>IF(OR(I89="",J89=""),"",IF(I89&gt;J89,"Gana",IF(I89=J89,"Empata","Pierde")))</f>
        <v/>
      </c>
      <c r="M89" s="4" t="b">
        <v>0</v>
      </c>
      <c r="N89" s="4" t="b">
        <v>0</v>
      </c>
      <c r="O89" s="6">
        <f>IF(OR(I89="",J89=""),"",I89+J89)</f>
        <v/>
      </c>
      <c r="P89" s="6">
        <f>IF(OR(I89="",J89=""),"",I89-J89)</f>
        <v/>
      </c>
      <c r="Q89" s="6">
        <f>IF(L89="","",IF(L89="Gana",3,IF(L89="Empata",1,0)))</f>
        <v/>
      </c>
      <c r="R89" s="6">
        <f>IF(L89="","",IF(L89="Pierde",3,IF(L89="Empata",1,0)))</f>
        <v/>
      </c>
      <c r="S89" s="4" t="inlineStr">
        <is>
          <t>https://github.com/jfjelstul/worldcup</t>
        </is>
      </c>
    </row>
    <row r="90">
      <c r="A90" s="4" t="inlineStr">
        <is>
          <t>M-2022-37</t>
        </is>
      </c>
      <c r="B90" s="4" t="n">
        <v>2022</v>
      </c>
      <c r="C90" s="4" t="inlineStr">
        <is>
          <t>Fase de grupos</t>
        </is>
      </c>
      <c r="D90" s="4" t="inlineStr">
        <is>
          <t>D</t>
        </is>
      </c>
      <c r="E90" s="4" t="n">
        <v>3</v>
      </c>
      <c r="F90" s="14" t="n">
        <v>44895</v>
      </c>
      <c r="G90" s="4" t="inlineStr">
        <is>
          <t>Australia</t>
        </is>
      </c>
      <c r="H90" s="4" t="inlineStr">
        <is>
          <t>Denmark</t>
        </is>
      </c>
      <c r="I90" s="4" t="n">
        <v>1</v>
      </c>
      <c r="J90" s="4" t="n">
        <v>0</v>
      </c>
      <c r="K90" s="6">
        <f>IF(OR(I90="",J90=""),"",I90&amp;"-"&amp;J90)</f>
        <v/>
      </c>
      <c r="L90" s="6">
        <f>IF(OR(I90="",J90=""),"",IF(I90&gt;J90,"Gana",IF(I90=J90,"Empata","Pierde")))</f>
        <v/>
      </c>
      <c r="M90" s="4" t="b">
        <v>0</v>
      </c>
      <c r="N90" s="4" t="b">
        <v>0</v>
      </c>
      <c r="O90" s="6">
        <f>IF(OR(I90="",J90=""),"",I90+J90)</f>
        <v/>
      </c>
      <c r="P90" s="6">
        <f>IF(OR(I90="",J90=""),"",I90-J90)</f>
        <v/>
      </c>
      <c r="Q90" s="6">
        <f>IF(L90="","",IF(L90="Gana",3,IF(L90="Empata",1,0)))</f>
        <v/>
      </c>
      <c r="R90" s="6">
        <f>IF(L90="","",IF(L90="Pierde",3,IF(L90="Empata",1,0)))</f>
        <v/>
      </c>
      <c r="S90" s="4" t="inlineStr">
        <is>
          <t>https://github.com/jfjelstul/worldcup</t>
        </is>
      </c>
    </row>
    <row r="91">
      <c r="A91" s="4" t="inlineStr">
        <is>
          <t>M-2022-38</t>
        </is>
      </c>
      <c r="B91" s="4" t="n">
        <v>2022</v>
      </c>
      <c r="C91" s="4" t="inlineStr">
        <is>
          <t>Fase de grupos</t>
        </is>
      </c>
      <c r="D91" s="4" t="inlineStr">
        <is>
          <t>D</t>
        </is>
      </c>
      <c r="E91" s="4" t="n">
        <v>3</v>
      </c>
      <c r="F91" s="14" t="n">
        <v>44895</v>
      </c>
      <c r="G91" s="4" t="inlineStr">
        <is>
          <t>Tunisia</t>
        </is>
      </c>
      <c r="H91" s="4" t="inlineStr">
        <is>
          <t>France</t>
        </is>
      </c>
      <c r="I91" s="4" t="n">
        <v>1</v>
      </c>
      <c r="J91" s="4" t="n">
        <v>0</v>
      </c>
      <c r="K91" s="6">
        <f>IF(OR(I91="",J91=""),"",I91&amp;"-"&amp;J91)</f>
        <v/>
      </c>
      <c r="L91" s="6">
        <f>IF(OR(I91="",J91=""),"",IF(I91&gt;J91,"Gana",IF(I91=J91,"Empata","Pierde")))</f>
        <v/>
      </c>
      <c r="M91" s="4" t="b">
        <v>0</v>
      </c>
      <c r="N91" s="4" t="b">
        <v>0</v>
      </c>
      <c r="O91" s="6">
        <f>IF(OR(I91="",J91=""),"",I91+J91)</f>
        <v/>
      </c>
      <c r="P91" s="6">
        <f>IF(OR(I91="",J91=""),"",I91-J91)</f>
        <v/>
      </c>
      <c r="Q91" s="6">
        <f>IF(L91="","",IF(L91="Gana",3,IF(L91="Empata",1,0)))</f>
        <v/>
      </c>
      <c r="R91" s="6">
        <f>IF(L91="","",IF(L91="Pierde",3,IF(L91="Empata",1,0)))</f>
        <v/>
      </c>
      <c r="S91" s="4" t="inlineStr">
        <is>
          <t>https://github.com/jfjelstul/worldcup</t>
        </is>
      </c>
    </row>
    <row r="92">
      <c r="A92" s="4" t="inlineStr">
        <is>
          <t>M-2022-39</t>
        </is>
      </c>
      <c r="B92" s="4" t="n">
        <v>2022</v>
      </c>
      <c r="C92" s="4" t="inlineStr">
        <is>
          <t>Fase de grupos</t>
        </is>
      </c>
      <c r="D92" s="4" t="inlineStr">
        <is>
          <t>C</t>
        </is>
      </c>
      <c r="E92" s="4" t="n">
        <v>3</v>
      </c>
      <c r="F92" s="14" t="n">
        <v>44895</v>
      </c>
      <c r="G92" s="4" t="inlineStr">
        <is>
          <t>Poland</t>
        </is>
      </c>
      <c r="H92" s="4" t="inlineStr">
        <is>
          <t>Argentina</t>
        </is>
      </c>
      <c r="I92" s="4" t="n">
        <v>0</v>
      </c>
      <c r="J92" s="4" t="n">
        <v>2</v>
      </c>
      <c r="K92" s="6">
        <f>IF(OR(I92="",J92=""),"",I92&amp;"-"&amp;J92)</f>
        <v/>
      </c>
      <c r="L92" s="6">
        <f>IF(OR(I92="",J92=""),"",IF(I92&gt;J92,"Gana",IF(I92=J92,"Empata","Pierde")))</f>
        <v/>
      </c>
      <c r="M92" s="4" t="b">
        <v>0</v>
      </c>
      <c r="N92" s="4" t="b">
        <v>0</v>
      </c>
      <c r="O92" s="6">
        <f>IF(OR(I92="",J92=""),"",I92+J92)</f>
        <v/>
      </c>
      <c r="P92" s="6">
        <f>IF(OR(I92="",J92=""),"",I92-J92)</f>
        <v/>
      </c>
      <c r="Q92" s="6">
        <f>IF(L92="","",IF(L92="Gana",3,IF(L92="Empata",1,0)))</f>
        <v/>
      </c>
      <c r="R92" s="6">
        <f>IF(L92="","",IF(L92="Pierde",3,IF(L92="Empata",1,0)))</f>
        <v/>
      </c>
      <c r="S92" s="4" t="inlineStr">
        <is>
          <t>https://github.com/jfjelstul/worldcup</t>
        </is>
      </c>
    </row>
    <row r="93">
      <c r="A93" s="4" t="inlineStr">
        <is>
          <t>M-2022-40</t>
        </is>
      </c>
      <c r="B93" s="4" t="n">
        <v>2022</v>
      </c>
      <c r="C93" s="4" t="inlineStr">
        <is>
          <t>Fase de grupos</t>
        </is>
      </c>
      <c r="D93" s="4" t="inlineStr">
        <is>
          <t>C</t>
        </is>
      </c>
      <c r="E93" s="4" t="n">
        <v>3</v>
      </c>
      <c r="F93" s="14" t="n">
        <v>44895</v>
      </c>
      <c r="G93" s="4" t="inlineStr">
        <is>
          <t>Saudi Arabia</t>
        </is>
      </c>
      <c r="H93" s="4" t="inlineStr">
        <is>
          <t>Mexico</t>
        </is>
      </c>
      <c r="I93" s="4" t="n">
        <v>1</v>
      </c>
      <c r="J93" s="4" t="n">
        <v>2</v>
      </c>
      <c r="K93" s="6">
        <f>IF(OR(I93="",J93=""),"",I93&amp;"-"&amp;J93)</f>
        <v/>
      </c>
      <c r="L93" s="6">
        <f>IF(OR(I93="",J93=""),"",IF(I93&gt;J93,"Gana",IF(I93=J93,"Empata","Pierde")))</f>
        <v/>
      </c>
      <c r="M93" s="4" t="b">
        <v>0</v>
      </c>
      <c r="N93" s="4" t="b">
        <v>0</v>
      </c>
      <c r="O93" s="6">
        <f>IF(OR(I93="",J93=""),"",I93+J93)</f>
        <v/>
      </c>
      <c r="P93" s="6">
        <f>IF(OR(I93="",J93=""),"",I93-J93)</f>
        <v/>
      </c>
      <c r="Q93" s="6">
        <f>IF(L93="","",IF(L93="Gana",3,IF(L93="Empata",1,0)))</f>
        <v/>
      </c>
      <c r="R93" s="6">
        <f>IF(L93="","",IF(L93="Pierde",3,IF(L93="Empata",1,0)))</f>
        <v/>
      </c>
      <c r="S93" s="4" t="inlineStr">
        <is>
          <t>https://github.com/jfjelstul/worldcup</t>
        </is>
      </c>
    </row>
    <row r="94">
      <c r="A94" s="4" t="inlineStr">
        <is>
          <t>M-2022-41</t>
        </is>
      </c>
      <c r="B94" s="4" t="n">
        <v>2022</v>
      </c>
      <c r="C94" s="4" t="inlineStr">
        <is>
          <t>Fase de grupos</t>
        </is>
      </c>
      <c r="D94" s="4" t="inlineStr">
        <is>
          <t>F</t>
        </is>
      </c>
      <c r="E94" s="4" t="n">
        <v>3</v>
      </c>
      <c r="F94" s="14" t="n">
        <v>44896</v>
      </c>
      <c r="G94" s="4" t="inlineStr">
        <is>
          <t>Canada</t>
        </is>
      </c>
      <c r="H94" s="4" t="inlineStr">
        <is>
          <t>Morocco</t>
        </is>
      </c>
      <c r="I94" s="4" t="n">
        <v>1</v>
      </c>
      <c r="J94" s="4" t="n">
        <v>2</v>
      </c>
      <c r="K94" s="6">
        <f>IF(OR(I94="",J94=""),"",I94&amp;"-"&amp;J94)</f>
        <v/>
      </c>
      <c r="L94" s="6">
        <f>IF(OR(I94="",J94=""),"",IF(I94&gt;J94,"Gana",IF(I94=J94,"Empata","Pierde")))</f>
        <v/>
      </c>
      <c r="M94" s="4" t="b">
        <v>0</v>
      </c>
      <c r="N94" s="4" t="b">
        <v>0</v>
      </c>
      <c r="O94" s="6">
        <f>IF(OR(I94="",J94=""),"",I94+J94)</f>
        <v/>
      </c>
      <c r="P94" s="6">
        <f>IF(OR(I94="",J94=""),"",I94-J94)</f>
        <v/>
      </c>
      <c r="Q94" s="6">
        <f>IF(L94="","",IF(L94="Gana",3,IF(L94="Empata",1,0)))</f>
        <v/>
      </c>
      <c r="R94" s="6">
        <f>IF(L94="","",IF(L94="Pierde",3,IF(L94="Empata",1,0)))</f>
        <v/>
      </c>
      <c r="S94" s="4" t="inlineStr">
        <is>
          <t>https://github.com/jfjelstul/worldcup</t>
        </is>
      </c>
    </row>
    <row r="95">
      <c r="A95" s="4" t="inlineStr">
        <is>
          <t>M-2022-42</t>
        </is>
      </c>
      <c r="B95" s="4" t="n">
        <v>2022</v>
      </c>
      <c r="C95" s="4" t="inlineStr">
        <is>
          <t>Fase de grupos</t>
        </is>
      </c>
      <c r="D95" s="4" t="inlineStr">
        <is>
          <t>F</t>
        </is>
      </c>
      <c r="E95" s="4" t="n">
        <v>3</v>
      </c>
      <c r="F95" s="14" t="n">
        <v>44896</v>
      </c>
      <c r="G95" s="4" t="inlineStr">
        <is>
          <t>Croatia</t>
        </is>
      </c>
      <c r="H95" s="4" t="inlineStr">
        <is>
          <t>Belgium</t>
        </is>
      </c>
      <c r="I95" s="4" t="n">
        <v>0</v>
      </c>
      <c r="J95" s="4" t="n">
        <v>0</v>
      </c>
      <c r="K95" s="6">
        <f>IF(OR(I95="",J95=""),"",I95&amp;"-"&amp;J95)</f>
        <v/>
      </c>
      <c r="L95" s="6">
        <f>IF(OR(I95="",J95=""),"",IF(I95&gt;J95,"Gana",IF(I95=J95,"Empata","Pierde")))</f>
        <v/>
      </c>
      <c r="M95" s="4" t="b">
        <v>0</v>
      </c>
      <c r="N95" s="4" t="b">
        <v>0</v>
      </c>
      <c r="O95" s="6">
        <f>IF(OR(I95="",J95=""),"",I95+J95)</f>
        <v/>
      </c>
      <c r="P95" s="6">
        <f>IF(OR(I95="",J95=""),"",I95-J95)</f>
        <v/>
      </c>
      <c r="Q95" s="6">
        <f>IF(L95="","",IF(L95="Gana",3,IF(L95="Empata",1,0)))</f>
        <v/>
      </c>
      <c r="R95" s="6">
        <f>IF(L95="","",IF(L95="Pierde",3,IF(L95="Empata",1,0)))</f>
        <v/>
      </c>
      <c r="S95" s="4" t="inlineStr">
        <is>
          <t>https://github.com/jfjelstul/worldcup</t>
        </is>
      </c>
    </row>
    <row r="96">
      <c r="A96" s="4" t="inlineStr">
        <is>
          <t>M-2022-43</t>
        </is>
      </c>
      <c r="B96" s="4" t="n">
        <v>2022</v>
      </c>
      <c r="C96" s="4" t="inlineStr">
        <is>
          <t>Fase de grupos</t>
        </is>
      </c>
      <c r="D96" s="4" t="inlineStr">
        <is>
          <t>E</t>
        </is>
      </c>
      <c r="E96" s="4" t="n">
        <v>3</v>
      </c>
      <c r="F96" s="14" t="n">
        <v>44896</v>
      </c>
      <c r="G96" s="4" t="inlineStr">
        <is>
          <t>Costa Rica</t>
        </is>
      </c>
      <c r="H96" s="4" t="inlineStr">
        <is>
          <t>Germany</t>
        </is>
      </c>
      <c r="I96" s="4" t="n">
        <v>2</v>
      </c>
      <c r="J96" s="4" t="n">
        <v>4</v>
      </c>
      <c r="K96" s="6">
        <f>IF(OR(I96="",J96=""),"",I96&amp;"-"&amp;J96)</f>
        <v/>
      </c>
      <c r="L96" s="6">
        <f>IF(OR(I96="",J96=""),"",IF(I96&gt;J96,"Gana",IF(I96=J96,"Empata","Pierde")))</f>
        <v/>
      </c>
      <c r="M96" s="4" t="b">
        <v>0</v>
      </c>
      <c r="N96" s="4" t="b">
        <v>0</v>
      </c>
      <c r="O96" s="6">
        <f>IF(OR(I96="",J96=""),"",I96+J96)</f>
        <v/>
      </c>
      <c r="P96" s="6">
        <f>IF(OR(I96="",J96=""),"",I96-J96)</f>
        <v/>
      </c>
      <c r="Q96" s="6">
        <f>IF(L96="","",IF(L96="Gana",3,IF(L96="Empata",1,0)))</f>
        <v/>
      </c>
      <c r="R96" s="6">
        <f>IF(L96="","",IF(L96="Pierde",3,IF(L96="Empata",1,0)))</f>
        <v/>
      </c>
      <c r="S96" s="4" t="inlineStr">
        <is>
          <t>https://github.com/jfjelstul/worldcup</t>
        </is>
      </c>
    </row>
    <row r="97">
      <c r="A97" s="4" t="inlineStr">
        <is>
          <t>M-2022-44</t>
        </is>
      </c>
      <c r="B97" s="4" t="n">
        <v>2022</v>
      </c>
      <c r="C97" s="4" t="inlineStr">
        <is>
          <t>Fase de grupos</t>
        </is>
      </c>
      <c r="D97" s="4" t="inlineStr">
        <is>
          <t>E</t>
        </is>
      </c>
      <c r="E97" s="4" t="n">
        <v>3</v>
      </c>
      <c r="F97" s="14" t="n">
        <v>44896</v>
      </c>
      <c r="G97" s="4" t="inlineStr">
        <is>
          <t>Japan</t>
        </is>
      </c>
      <c r="H97" s="4" t="inlineStr">
        <is>
          <t>Spain</t>
        </is>
      </c>
      <c r="I97" s="4" t="n">
        <v>2</v>
      </c>
      <c r="J97" s="4" t="n">
        <v>1</v>
      </c>
      <c r="K97" s="6">
        <f>IF(OR(I97="",J97=""),"",I97&amp;"-"&amp;J97)</f>
        <v/>
      </c>
      <c r="L97" s="6">
        <f>IF(OR(I97="",J97=""),"",IF(I97&gt;J97,"Gana",IF(I97=J97,"Empata","Pierde")))</f>
        <v/>
      </c>
      <c r="M97" s="4" t="b">
        <v>0</v>
      </c>
      <c r="N97" s="4" t="b">
        <v>0</v>
      </c>
      <c r="O97" s="6">
        <f>IF(OR(I97="",J97=""),"",I97+J97)</f>
        <v/>
      </c>
      <c r="P97" s="6">
        <f>IF(OR(I97="",J97=""),"",I97-J97)</f>
        <v/>
      </c>
      <c r="Q97" s="6">
        <f>IF(L97="","",IF(L97="Gana",3,IF(L97="Empata",1,0)))</f>
        <v/>
      </c>
      <c r="R97" s="6">
        <f>IF(L97="","",IF(L97="Pierde",3,IF(L97="Empata",1,0)))</f>
        <v/>
      </c>
      <c r="S97" s="4" t="inlineStr">
        <is>
          <t>https://github.com/jfjelstul/worldcup</t>
        </is>
      </c>
    </row>
    <row r="98">
      <c r="A98" s="4" t="inlineStr">
        <is>
          <t>M-2022-45</t>
        </is>
      </c>
      <c r="B98" s="4" t="n">
        <v>2022</v>
      </c>
      <c r="C98" s="4" t="inlineStr">
        <is>
          <t>Fase de grupos</t>
        </is>
      </c>
      <c r="D98" s="4" t="inlineStr">
        <is>
          <t>H</t>
        </is>
      </c>
      <c r="E98" s="4" t="n">
        <v>3</v>
      </c>
      <c r="F98" s="14" t="n">
        <v>44897</v>
      </c>
      <c r="G98" s="4" t="inlineStr">
        <is>
          <t>Ghana</t>
        </is>
      </c>
      <c r="H98" s="4" t="inlineStr">
        <is>
          <t>Uruguay</t>
        </is>
      </c>
      <c r="I98" s="4" t="n">
        <v>0</v>
      </c>
      <c r="J98" s="4" t="n">
        <v>2</v>
      </c>
      <c r="K98" s="6">
        <f>IF(OR(I98="",J98=""),"",I98&amp;"-"&amp;J98)</f>
        <v/>
      </c>
      <c r="L98" s="6">
        <f>IF(OR(I98="",J98=""),"",IF(I98&gt;J98,"Gana",IF(I98=J98,"Empata","Pierde")))</f>
        <v/>
      </c>
      <c r="M98" s="4" t="b">
        <v>0</v>
      </c>
      <c r="N98" s="4" t="b">
        <v>0</v>
      </c>
      <c r="O98" s="6">
        <f>IF(OR(I98="",J98=""),"",I98+J98)</f>
        <v/>
      </c>
      <c r="P98" s="6">
        <f>IF(OR(I98="",J98=""),"",I98-J98)</f>
        <v/>
      </c>
      <c r="Q98" s="6">
        <f>IF(L98="","",IF(L98="Gana",3,IF(L98="Empata",1,0)))</f>
        <v/>
      </c>
      <c r="R98" s="6">
        <f>IF(L98="","",IF(L98="Pierde",3,IF(L98="Empata",1,0)))</f>
        <v/>
      </c>
      <c r="S98" s="4" t="inlineStr">
        <is>
          <t>https://github.com/jfjelstul/worldcup</t>
        </is>
      </c>
    </row>
    <row r="99">
      <c r="A99" s="4" t="inlineStr">
        <is>
          <t>M-2022-46</t>
        </is>
      </c>
      <c r="B99" s="4" t="n">
        <v>2022</v>
      </c>
      <c r="C99" s="4" t="inlineStr">
        <is>
          <t>Fase de grupos</t>
        </is>
      </c>
      <c r="D99" s="4" t="inlineStr">
        <is>
          <t>H</t>
        </is>
      </c>
      <c r="E99" s="4" t="n">
        <v>3</v>
      </c>
      <c r="F99" s="14" t="n">
        <v>44897</v>
      </c>
      <c r="G99" s="4" t="inlineStr">
        <is>
          <t>South Korea</t>
        </is>
      </c>
      <c r="H99" s="4" t="inlineStr">
        <is>
          <t>Portugal</t>
        </is>
      </c>
      <c r="I99" s="4" t="n">
        <v>2</v>
      </c>
      <c r="J99" s="4" t="n">
        <v>1</v>
      </c>
      <c r="K99" s="6">
        <f>IF(OR(I99="",J99=""),"",I99&amp;"-"&amp;J99)</f>
        <v/>
      </c>
      <c r="L99" s="6">
        <f>IF(OR(I99="",J99=""),"",IF(I99&gt;J99,"Gana",IF(I99=J99,"Empata","Pierde")))</f>
        <v/>
      </c>
      <c r="M99" s="4" t="b">
        <v>0</v>
      </c>
      <c r="N99" s="4" t="b">
        <v>0</v>
      </c>
      <c r="O99" s="6">
        <f>IF(OR(I99="",J99=""),"",I99+J99)</f>
        <v/>
      </c>
      <c r="P99" s="6">
        <f>IF(OR(I99="",J99=""),"",I99-J99)</f>
        <v/>
      </c>
      <c r="Q99" s="6">
        <f>IF(L99="","",IF(L99="Gana",3,IF(L99="Empata",1,0)))</f>
        <v/>
      </c>
      <c r="R99" s="6">
        <f>IF(L99="","",IF(L99="Pierde",3,IF(L99="Empata",1,0)))</f>
        <v/>
      </c>
      <c r="S99" s="4" t="inlineStr">
        <is>
          <t>https://github.com/jfjelstul/worldcup</t>
        </is>
      </c>
    </row>
    <row r="100">
      <c r="A100" s="4" t="inlineStr">
        <is>
          <t>M-2022-47</t>
        </is>
      </c>
      <c r="B100" s="4" t="n">
        <v>2022</v>
      </c>
      <c r="C100" s="4" t="inlineStr">
        <is>
          <t>Fase de grupos</t>
        </is>
      </c>
      <c r="D100" s="4" t="inlineStr">
        <is>
          <t>G</t>
        </is>
      </c>
      <c r="E100" s="4" t="n">
        <v>3</v>
      </c>
      <c r="F100" s="14" t="n">
        <v>44897</v>
      </c>
      <c r="G100" s="4" t="inlineStr">
        <is>
          <t>Cameroon</t>
        </is>
      </c>
      <c r="H100" s="4" t="inlineStr">
        <is>
          <t>Brazil</t>
        </is>
      </c>
      <c r="I100" s="4" t="n">
        <v>1</v>
      </c>
      <c r="J100" s="4" t="n">
        <v>0</v>
      </c>
      <c r="K100" s="6">
        <f>IF(OR(I100="",J100=""),"",I100&amp;"-"&amp;J100)</f>
        <v/>
      </c>
      <c r="L100" s="6">
        <f>IF(OR(I100="",J100=""),"",IF(I100&gt;J100,"Gana",IF(I100=J100,"Empata","Pierde")))</f>
        <v/>
      </c>
      <c r="M100" s="4" t="b">
        <v>0</v>
      </c>
      <c r="N100" s="4" t="b">
        <v>0</v>
      </c>
      <c r="O100" s="6">
        <f>IF(OR(I100="",J100=""),"",I100+J100)</f>
        <v/>
      </c>
      <c r="P100" s="6">
        <f>IF(OR(I100="",J100=""),"",I100-J100)</f>
        <v/>
      </c>
      <c r="Q100" s="6">
        <f>IF(L100="","",IF(L100="Gana",3,IF(L100="Empata",1,0)))</f>
        <v/>
      </c>
      <c r="R100" s="6">
        <f>IF(L100="","",IF(L100="Pierde",3,IF(L100="Empata",1,0)))</f>
        <v/>
      </c>
      <c r="S100" s="4" t="inlineStr">
        <is>
          <t>https://github.com/jfjelstul/worldcup</t>
        </is>
      </c>
    </row>
    <row r="101">
      <c r="A101" s="4" t="inlineStr">
        <is>
          <t>M-2022-48</t>
        </is>
      </c>
      <c r="B101" s="4" t="n">
        <v>2022</v>
      </c>
      <c r="C101" s="4" t="inlineStr">
        <is>
          <t>Fase de grupos</t>
        </is>
      </c>
      <c r="D101" s="4" t="inlineStr">
        <is>
          <t>G</t>
        </is>
      </c>
      <c r="E101" s="4" t="n">
        <v>3</v>
      </c>
      <c r="F101" s="14" t="n">
        <v>44897</v>
      </c>
      <c r="G101" s="4" t="inlineStr">
        <is>
          <t>Serbia</t>
        </is>
      </c>
      <c r="H101" s="4" t="inlineStr">
        <is>
          <t>Switzerland</t>
        </is>
      </c>
      <c r="I101" s="4" t="n">
        <v>2</v>
      </c>
      <c r="J101" s="4" t="n">
        <v>3</v>
      </c>
      <c r="K101" s="6">
        <f>IF(OR(I101="",J101=""),"",I101&amp;"-"&amp;J101)</f>
        <v/>
      </c>
      <c r="L101" s="6">
        <f>IF(OR(I101="",J101=""),"",IF(I101&gt;J101,"Gana",IF(I101=J101,"Empata","Pierde")))</f>
        <v/>
      </c>
      <c r="M101" s="4" t="b">
        <v>0</v>
      </c>
      <c r="N101" s="4" t="b">
        <v>0</v>
      </c>
      <c r="O101" s="6">
        <f>IF(OR(I101="",J101=""),"",I101+J101)</f>
        <v/>
      </c>
      <c r="P101" s="6">
        <f>IF(OR(I101="",J101=""),"",I101-J101)</f>
        <v/>
      </c>
      <c r="Q101" s="6">
        <f>IF(L101="","",IF(L101="Gana",3,IF(L101="Empata",1,0)))</f>
        <v/>
      </c>
      <c r="R101" s="6">
        <f>IF(L101="","",IF(L101="Pierde",3,IF(L101="Empata",1,0)))</f>
        <v/>
      </c>
      <c r="S101" s="4" t="inlineStr">
        <is>
          <t>https://github.com/jfjelstul/worldcup</t>
        </is>
      </c>
    </row>
    <row r="102">
      <c r="A102" s="4" t="inlineStr">
        <is>
          <t>M-2026-001</t>
        </is>
      </c>
      <c r="B102" s="4" t="n">
        <v>2026</v>
      </c>
      <c r="C102" s="4" t="inlineStr">
        <is>
          <t>Fase de grupos</t>
        </is>
      </c>
      <c r="D102" s="4" t="inlineStr">
        <is>
          <t>A</t>
        </is>
      </c>
      <c r="E102" s="4" t="n">
        <v>1</v>
      </c>
      <c r="F102" s="14" t="n">
        <v>46184</v>
      </c>
      <c r="G102" s="4" t="inlineStr">
        <is>
          <t>Mexico</t>
        </is>
      </c>
      <c r="H102" s="4" t="inlineStr">
        <is>
          <t>South Africa</t>
        </is>
      </c>
      <c r="I102" s="4" t="n">
        <v>2</v>
      </c>
      <c r="J102" s="4" t="n">
        <v>0</v>
      </c>
      <c r="K102" s="6">
        <f>IF(OR(I102="",J102=""),"",I102&amp;"-"&amp;J102)</f>
        <v/>
      </c>
      <c r="L102" s="6">
        <f>IF(OR(I102="",J102=""),"",IF(I102&gt;J102,"Gana",IF(I102=J102,"Empata","Pierde")))</f>
        <v/>
      </c>
      <c r="M102" s="4" t="b">
        <v>1</v>
      </c>
      <c r="N102" s="4" t="b">
        <v>0</v>
      </c>
      <c r="O102" s="6">
        <f>IF(OR(I102="",J102=""),"",I102+J102)</f>
        <v/>
      </c>
      <c r="P102" s="6">
        <f>IF(OR(I102="",J102=""),"",I102-J102)</f>
        <v/>
      </c>
      <c r="Q102" s="6">
        <f>IF(L102="","",IF(L102="Gana",3,IF(L102="Empata",1,0)))</f>
        <v/>
      </c>
      <c r="R102" s="6">
        <f>IF(L102="","",IF(L102="Pierde",3,IF(L102="Empata",1,0)))</f>
        <v/>
      </c>
      <c r="S102" s="4" t="inlineStr">
        <is>
          <t>https://en.wikipedia.org/wiki/2026_FIFA_World_Cup_Group_A</t>
        </is>
      </c>
    </row>
    <row r="103">
      <c r="A103" s="4" t="inlineStr">
        <is>
          <t>M-2026-002</t>
        </is>
      </c>
      <c r="B103" s="4" t="n">
        <v>2026</v>
      </c>
      <c r="C103" s="4" t="inlineStr">
        <is>
          <t>Fase de grupos</t>
        </is>
      </c>
      <c r="D103" s="4" t="inlineStr">
        <is>
          <t>A</t>
        </is>
      </c>
      <c r="E103" s="4" t="n">
        <v>1</v>
      </c>
      <c r="F103" s="14" t="n">
        <v>46185</v>
      </c>
      <c r="G103" s="4" t="inlineStr">
        <is>
          <t>South Korea</t>
        </is>
      </c>
      <c r="H103" s="4" t="inlineStr">
        <is>
          <t>Czechia</t>
        </is>
      </c>
      <c r="I103" s="4" t="n">
        <v>2</v>
      </c>
      <c r="J103" s="4" t="n">
        <v>1</v>
      </c>
      <c r="K103" s="6">
        <f>IF(OR(I103="",J103=""),"",I103&amp;"-"&amp;J103)</f>
        <v/>
      </c>
      <c r="L103" s="6">
        <f>IF(OR(I103="",J103=""),"",IF(I103&gt;J103,"Gana",IF(I103=J103,"Empata","Pierde")))</f>
        <v/>
      </c>
      <c r="M103" s="4" t="b">
        <v>0</v>
      </c>
      <c r="N103" s="4" t="b">
        <v>0</v>
      </c>
      <c r="O103" s="6">
        <f>IF(OR(I103="",J103=""),"",I103+J103)</f>
        <v/>
      </c>
      <c r="P103" s="6">
        <f>IF(OR(I103="",J103=""),"",I103-J103)</f>
        <v/>
      </c>
      <c r="Q103" s="6">
        <f>IF(L103="","",IF(L103="Gana",3,IF(L103="Empata",1,0)))</f>
        <v/>
      </c>
      <c r="R103" s="6">
        <f>IF(L103="","",IF(L103="Pierde",3,IF(L103="Empata",1,0)))</f>
        <v/>
      </c>
      <c r="S103" s="4" t="inlineStr">
        <is>
          <t>https://en.wikipedia.org/wiki/2026_FIFA_World_Cup_Group_A</t>
        </is>
      </c>
    </row>
    <row r="104">
      <c r="A104" s="4" t="inlineStr">
        <is>
          <t>M-2026-007</t>
        </is>
      </c>
      <c r="B104" s="4" t="n">
        <v>2026</v>
      </c>
      <c r="C104" s="4" t="inlineStr">
        <is>
          <t>Fase de grupos</t>
        </is>
      </c>
      <c r="D104" s="4" t="inlineStr">
        <is>
          <t>B</t>
        </is>
      </c>
      <c r="E104" s="4" t="n">
        <v>1</v>
      </c>
      <c r="F104" s="14" t="n">
        <v>46185</v>
      </c>
      <c r="G104" s="4" t="inlineStr">
        <is>
          <t>Canada</t>
        </is>
      </c>
      <c r="H104" s="4" t="inlineStr">
        <is>
          <t>Bosnia and Herzegovina</t>
        </is>
      </c>
      <c r="I104" s="4" t="n">
        <v>1</v>
      </c>
      <c r="J104" s="4" t="n">
        <v>1</v>
      </c>
      <c r="K104" s="6">
        <f>IF(OR(I104="",J104=""),"",I104&amp;"-"&amp;J104)</f>
        <v/>
      </c>
      <c r="L104" s="6">
        <f>IF(OR(I104="",J104=""),"",IF(I104&gt;J104,"Gana",IF(I104=J104,"Empata","Pierde")))</f>
        <v/>
      </c>
      <c r="M104" s="4" t="b">
        <v>1</v>
      </c>
      <c r="N104" s="4" t="b">
        <v>0</v>
      </c>
      <c r="O104" s="6">
        <f>IF(OR(I104="",J104=""),"",I104+J104)</f>
        <v/>
      </c>
      <c r="P104" s="6">
        <f>IF(OR(I104="",J104=""),"",I104-J104)</f>
        <v/>
      </c>
      <c r="Q104" s="6">
        <f>IF(L104="","",IF(L104="Gana",3,IF(L104="Empata",1,0)))</f>
        <v/>
      </c>
      <c r="R104" s="6">
        <f>IF(L104="","",IF(L104="Pierde",3,IF(L104="Empata",1,0)))</f>
        <v/>
      </c>
      <c r="S104" s="4" t="inlineStr">
        <is>
          <t>https://en.wikipedia.org/wiki/2026_FIFA_World_Cup_Group_B</t>
        </is>
      </c>
    </row>
    <row r="105">
      <c r="A105" s="4" t="inlineStr">
        <is>
          <t>M-2026-008</t>
        </is>
      </c>
      <c r="B105" s="4" t="n">
        <v>2026</v>
      </c>
      <c r="C105" s="4" t="inlineStr">
        <is>
          <t>Fase de grupos</t>
        </is>
      </c>
      <c r="D105" s="4" t="inlineStr">
        <is>
          <t>B</t>
        </is>
      </c>
      <c r="E105" s="4" t="n">
        <v>1</v>
      </c>
      <c r="F105" s="14" t="n">
        <v>46186</v>
      </c>
      <c r="G105" s="4" t="inlineStr">
        <is>
          <t>Qatar</t>
        </is>
      </c>
      <c r="H105" s="4" t="inlineStr">
        <is>
          <t>Switzerland</t>
        </is>
      </c>
      <c r="I105" s="4" t="n">
        <v>1</v>
      </c>
      <c r="J105" s="4" t="n">
        <v>1</v>
      </c>
      <c r="K105" s="6">
        <f>IF(OR(I105="",J105=""),"",I105&amp;"-"&amp;J105)</f>
        <v/>
      </c>
      <c r="L105" s="6">
        <f>IF(OR(I105="",J105=""),"",IF(I105&gt;J105,"Gana",IF(I105=J105,"Empata","Pierde")))</f>
        <v/>
      </c>
      <c r="M105" s="4" t="b">
        <v>0</v>
      </c>
      <c r="N105" s="4" t="b">
        <v>0</v>
      </c>
      <c r="O105" s="6">
        <f>IF(OR(I105="",J105=""),"",I105+J105)</f>
        <v/>
      </c>
      <c r="P105" s="6">
        <f>IF(OR(I105="",J105=""),"",I105-J105)</f>
        <v/>
      </c>
      <c r="Q105" s="6">
        <f>IF(L105="","",IF(L105="Gana",3,IF(L105="Empata",1,0)))</f>
        <v/>
      </c>
      <c r="R105" s="6">
        <f>IF(L105="","",IF(L105="Pierde",3,IF(L105="Empata",1,0)))</f>
        <v/>
      </c>
      <c r="S105" s="4" t="inlineStr">
        <is>
          <t>https://en.wikipedia.org/wiki/2026_FIFA_World_Cup_Group_B</t>
        </is>
      </c>
    </row>
    <row r="106">
      <c r="A106" s="4" t="inlineStr">
        <is>
          <t>M-2026-013</t>
        </is>
      </c>
      <c r="B106" s="4" t="n">
        <v>2026</v>
      </c>
      <c r="C106" s="4" t="inlineStr">
        <is>
          <t>Fase de grupos</t>
        </is>
      </c>
      <c r="D106" s="4" t="inlineStr">
        <is>
          <t>C</t>
        </is>
      </c>
      <c r="E106" s="4" t="n">
        <v>1</v>
      </c>
      <c r="F106" s="14" t="n">
        <v>46186</v>
      </c>
      <c r="G106" s="4" t="inlineStr">
        <is>
          <t>Brazil</t>
        </is>
      </c>
      <c r="H106" s="4" t="inlineStr">
        <is>
          <t>Morocco</t>
        </is>
      </c>
      <c r="I106" s="4" t="n">
        <v>1</v>
      </c>
      <c r="J106" s="4" t="n">
        <v>1</v>
      </c>
      <c r="K106" s="6">
        <f>IF(OR(I106="",J106=""),"",I106&amp;"-"&amp;J106)</f>
        <v/>
      </c>
      <c r="L106" s="6">
        <f>IF(OR(I106="",J106=""),"",IF(I106&gt;J106,"Gana",IF(I106=J106,"Empata","Pierde")))</f>
        <v/>
      </c>
      <c r="M106" s="4" t="b">
        <v>0</v>
      </c>
      <c r="N106" s="4" t="b">
        <v>0</v>
      </c>
      <c r="O106" s="6">
        <f>IF(OR(I106="",J106=""),"",I106+J106)</f>
        <v/>
      </c>
      <c r="P106" s="6">
        <f>IF(OR(I106="",J106=""),"",I106-J106)</f>
        <v/>
      </c>
      <c r="Q106" s="6">
        <f>IF(L106="","",IF(L106="Gana",3,IF(L106="Empata",1,0)))</f>
        <v/>
      </c>
      <c r="R106" s="6">
        <f>IF(L106="","",IF(L106="Pierde",3,IF(L106="Empata",1,0)))</f>
        <v/>
      </c>
      <c r="S106" s="4" t="inlineStr">
        <is>
          <t>https://en.wikipedia.org/wiki/2026_FIFA_World_Cup_Group_C</t>
        </is>
      </c>
    </row>
    <row r="107">
      <c r="A107" s="4" t="inlineStr">
        <is>
          <t>M-2026-014</t>
        </is>
      </c>
      <c r="B107" s="4" t="n">
        <v>2026</v>
      </c>
      <c r="C107" s="4" t="inlineStr">
        <is>
          <t>Fase de grupos</t>
        </is>
      </c>
      <c r="D107" s="4" t="inlineStr">
        <is>
          <t>C</t>
        </is>
      </c>
      <c r="E107" s="4" t="n">
        <v>1</v>
      </c>
      <c r="F107" s="14" t="n">
        <v>46186</v>
      </c>
      <c r="G107" s="4" t="inlineStr">
        <is>
          <t>Haiti</t>
        </is>
      </c>
      <c r="H107" s="4" t="inlineStr">
        <is>
          <t>Scotland</t>
        </is>
      </c>
      <c r="I107" s="4" t="n">
        <v>0</v>
      </c>
      <c r="J107" s="4" t="n">
        <v>1</v>
      </c>
      <c r="K107" s="6">
        <f>IF(OR(I107="",J107=""),"",I107&amp;"-"&amp;J107)</f>
        <v/>
      </c>
      <c r="L107" s="6">
        <f>IF(OR(I107="",J107=""),"",IF(I107&gt;J107,"Gana",IF(I107=J107,"Empata","Pierde")))</f>
        <v/>
      </c>
      <c r="M107" s="4" t="b">
        <v>0</v>
      </c>
      <c r="N107" s="4" t="b">
        <v>0</v>
      </c>
      <c r="O107" s="6">
        <f>IF(OR(I107="",J107=""),"",I107+J107)</f>
        <v/>
      </c>
      <c r="P107" s="6">
        <f>IF(OR(I107="",J107=""),"",I107-J107)</f>
        <v/>
      </c>
      <c r="Q107" s="6">
        <f>IF(L107="","",IF(L107="Gana",3,IF(L107="Empata",1,0)))</f>
        <v/>
      </c>
      <c r="R107" s="6">
        <f>IF(L107="","",IF(L107="Pierde",3,IF(L107="Empata",1,0)))</f>
        <v/>
      </c>
      <c r="S107" s="4" t="inlineStr">
        <is>
          <t>https://en.wikipedia.org/wiki/2026_FIFA_World_Cup_Group_C</t>
        </is>
      </c>
    </row>
    <row r="108">
      <c r="A108" s="4" t="inlineStr">
        <is>
          <t>M-2026-019</t>
        </is>
      </c>
      <c r="B108" s="4" t="n">
        <v>2026</v>
      </c>
      <c r="C108" s="4" t="inlineStr">
        <is>
          <t>Fase de grupos</t>
        </is>
      </c>
      <c r="D108" s="4" t="inlineStr">
        <is>
          <t>D</t>
        </is>
      </c>
      <c r="E108" s="4" t="n">
        <v>1</v>
      </c>
      <c r="F108" s="14" t="n">
        <v>46186</v>
      </c>
      <c r="G108" s="4" t="inlineStr">
        <is>
          <t>United States</t>
        </is>
      </c>
      <c r="H108" s="4" t="inlineStr">
        <is>
          <t>Paraguay</t>
        </is>
      </c>
      <c r="I108" s="4" t="n">
        <v>4</v>
      </c>
      <c r="J108" s="4" t="n">
        <v>1</v>
      </c>
      <c r="K108" s="6">
        <f>IF(OR(I108="",J108=""),"",I108&amp;"-"&amp;J108)</f>
        <v/>
      </c>
      <c r="L108" s="6">
        <f>IF(OR(I108="",J108=""),"",IF(I108&gt;J108,"Gana",IF(I108=J108,"Empata","Pierde")))</f>
        <v/>
      </c>
      <c r="M108" s="4" t="b">
        <v>1</v>
      </c>
      <c r="N108" s="4" t="b">
        <v>0</v>
      </c>
      <c r="O108" s="6">
        <f>IF(OR(I108="",J108=""),"",I108+J108)</f>
        <v/>
      </c>
      <c r="P108" s="6">
        <f>IF(OR(I108="",J108=""),"",I108-J108)</f>
        <v/>
      </c>
      <c r="Q108" s="6">
        <f>IF(L108="","",IF(L108="Gana",3,IF(L108="Empata",1,0)))</f>
        <v/>
      </c>
      <c r="R108" s="6">
        <f>IF(L108="","",IF(L108="Pierde",3,IF(L108="Empata",1,0)))</f>
        <v/>
      </c>
      <c r="S108" s="4" t="inlineStr">
        <is>
          <t>https://en.wikipedia.org/wiki/2026_FIFA_World_Cup_Group_D</t>
        </is>
      </c>
    </row>
    <row r="109">
      <c r="A109" s="4" t="inlineStr">
        <is>
          <t>M-2026-020</t>
        </is>
      </c>
      <c r="B109" s="4" t="n">
        <v>2026</v>
      </c>
      <c r="C109" s="4" t="inlineStr">
        <is>
          <t>Fase de grupos</t>
        </is>
      </c>
      <c r="D109" s="4" t="inlineStr">
        <is>
          <t>D</t>
        </is>
      </c>
      <c r="E109" s="4" t="n">
        <v>1</v>
      </c>
      <c r="F109" s="14" t="n">
        <v>46187</v>
      </c>
      <c r="G109" s="4" t="inlineStr">
        <is>
          <t>Australia</t>
        </is>
      </c>
      <c r="H109" s="4" t="inlineStr">
        <is>
          <t>Turkey</t>
        </is>
      </c>
      <c r="I109" s="4" t="n">
        <v>2</v>
      </c>
      <c r="J109" s="4" t="n">
        <v>0</v>
      </c>
      <c r="K109" s="6">
        <f>IF(OR(I109="",J109=""),"",I109&amp;"-"&amp;J109)</f>
        <v/>
      </c>
      <c r="L109" s="6">
        <f>IF(OR(I109="",J109=""),"",IF(I109&gt;J109,"Gana",IF(I109=J109,"Empata","Pierde")))</f>
        <v/>
      </c>
      <c r="M109" s="4" t="b">
        <v>0</v>
      </c>
      <c r="N109" s="4" t="b">
        <v>0</v>
      </c>
      <c r="O109" s="6">
        <f>IF(OR(I109="",J109=""),"",I109+J109)</f>
        <v/>
      </c>
      <c r="P109" s="6">
        <f>IF(OR(I109="",J109=""),"",I109-J109)</f>
        <v/>
      </c>
      <c r="Q109" s="6">
        <f>IF(L109="","",IF(L109="Gana",3,IF(L109="Empata",1,0)))</f>
        <v/>
      </c>
      <c r="R109" s="6">
        <f>IF(L109="","",IF(L109="Pierde",3,IF(L109="Empata",1,0)))</f>
        <v/>
      </c>
      <c r="S109" s="4" t="inlineStr">
        <is>
          <t>https://en.wikipedia.org/wiki/2026_FIFA_World_Cup_Group_D</t>
        </is>
      </c>
    </row>
    <row r="110">
      <c r="A110" s="4" t="inlineStr">
        <is>
          <t>M-2026-025</t>
        </is>
      </c>
      <c r="B110" s="4" t="n">
        <v>2026</v>
      </c>
      <c r="C110" s="4" t="inlineStr">
        <is>
          <t>Fase de grupos</t>
        </is>
      </c>
      <c r="D110" s="4" t="inlineStr">
        <is>
          <t>E</t>
        </is>
      </c>
      <c r="E110" s="4" t="n">
        <v>1</v>
      </c>
      <c r="F110" s="14" t="n">
        <v>46187</v>
      </c>
      <c r="G110" s="4" t="inlineStr">
        <is>
          <t>Germany</t>
        </is>
      </c>
      <c r="H110" s="4" t="inlineStr">
        <is>
          <t>Curacao</t>
        </is>
      </c>
      <c r="I110" s="4" t="n">
        <v>7</v>
      </c>
      <c r="J110" s="4" t="n">
        <v>1</v>
      </c>
      <c r="K110" s="6">
        <f>IF(OR(I110="",J110=""),"",I110&amp;"-"&amp;J110)</f>
        <v/>
      </c>
      <c r="L110" s="6">
        <f>IF(OR(I110="",J110=""),"",IF(I110&gt;J110,"Gana",IF(I110=J110,"Empata","Pierde")))</f>
        <v/>
      </c>
      <c r="M110" s="4" t="b">
        <v>0</v>
      </c>
      <c r="N110" s="4" t="b">
        <v>0</v>
      </c>
      <c r="O110" s="6">
        <f>IF(OR(I110="",J110=""),"",I110+J110)</f>
        <v/>
      </c>
      <c r="P110" s="6">
        <f>IF(OR(I110="",J110=""),"",I110-J110)</f>
        <v/>
      </c>
      <c r="Q110" s="6">
        <f>IF(L110="","",IF(L110="Gana",3,IF(L110="Empata",1,0)))</f>
        <v/>
      </c>
      <c r="R110" s="6">
        <f>IF(L110="","",IF(L110="Pierde",3,IF(L110="Empata",1,0)))</f>
        <v/>
      </c>
      <c r="S110" s="4" t="inlineStr">
        <is>
          <t>https://en.wikipedia.org/wiki/2026_FIFA_World_Cup_Group_E</t>
        </is>
      </c>
    </row>
    <row r="111">
      <c r="A111" s="4" t="inlineStr">
        <is>
          <t>M-2026-026</t>
        </is>
      </c>
      <c r="B111" s="4" t="n">
        <v>2026</v>
      </c>
      <c r="C111" s="4" t="inlineStr">
        <is>
          <t>Fase de grupos</t>
        </is>
      </c>
      <c r="D111" s="4" t="inlineStr">
        <is>
          <t>E</t>
        </is>
      </c>
      <c r="E111" s="4" t="n">
        <v>1</v>
      </c>
      <c r="F111" s="14" t="n">
        <v>46187</v>
      </c>
      <c r="G111" s="4" t="inlineStr">
        <is>
          <t>Ivory Coast</t>
        </is>
      </c>
      <c r="H111" s="4" t="inlineStr">
        <is>
          <t>Ecuador</t>
        </is>
      </c>
      <c r="I111" s="4" t="n">
        <v>1</v>
      </c>
      <c r="J111" s="4" t="n">
        <v>0</v>
      </c>
      <c r="K111" s="6">
        <f>IF(OR(I111="",J111=""),"",I111&amp;"-"&amp;J111)</f>
        <v/>
      </c>
      <c r="L111" s="6">
        <f>IF(OR(I111="",J111=""),"",IF(I111&gt;J111,"Gana",IF(I111=J111,"Empata","Pierde")))</f>
        <v/>
      </c>
      <c r="M111" s="4" t="b">
        <v>0</v>
      </c>
      <c r="N111" s="4" t="b">
        <v>0</v>
      </c>
      <c r="O111" s="6">
        <f>IF(OR(I111="",J111=""),"",I111+J111)</f>
        <v/>
      </c>
      <c r="P111" s="6">
        <f>IF(OR(I111="",J111=""),"",I111-J111)</f>
        <v/>
      </c>
      <c r="Q111" s="6">
        <f>IF(L111="","",IF(L111="Gana",3,IF(L111="Empata",1,0)))</f>
        <v/>
      </c>
      <c r="R111" s="6">
        <f>IF(L111="","",IF(L111="Pierde",3,IF(L111="Empata",1,0)))</f>
        <v/>
      </c>
      <c r="S111" s="4" t="inlineStr">
        <is>
          <t>https://en.wikipedia.org/wiki/2026_FIFA_World_Cup_Group_E</t>
        </is>
      </c>
    </row>
    <row r="112">
      <c r="A112" s="4" t="inlineStr">
        <is>
          <t>M-2026-031</t>
        </is>
      </c>
      <c r="B112" s="4" t="n">
        <v>2026</v>
      </c>
      <c r="C112" s="4" t="inlineStr">
        <is>
          <t>Fase de grupos</t>
        </is>
      </c>
      <c r="D112" s="4" t="inlineStr">
        <is>
          <t>F</t>
        </is>
      </c>
      <c r="E112" s="4" t="n">
        <v>1</v>
      </c>
      <c r="F112" s="14" t="n">
        <v>46187</v>
      </c>
      <c r="G112" s="4" t="inlineStr">
        <is>
          <t>Netherlands</t>
        </is>
      </c>
      <c r="H112" s="4" t="inlineStr">
        <is>
          <t>Japan</t>
        </is>
      </c>
      <c r="I112" s="4" t="n">
        <v>2</v>
      </c>
      <c r="J112" s="4" t="n">
        <v>2</v>
      </c>
      <c r="K112" s="6">
        <f>IF(OR(I112="",J112=""),"",I112&amp;"-"&amp;J112)</f>
        <v/>
      </c>
      <c r="L112" s="6">
        <f>IF(OR(I112="",J112=""),"",IF(I112&gt;J112,"Gana",IF(I112=J112,"Empata","Pierde")))</f>
        <v/>
      </c>
      <c r="M112" s="4" t="b">
        <v>0</v>
      </c>
      <c r="N112" s="4" t="b">
        <v>0</v>
      </c>
      <c r="O112" s="6">
        <f>IF(OR(I112="",J112=""),"",I112+J112)</f>
        <v/>
      </c>
      <c r="P112" s="6">
        <f>IF(OR(I112="",J112=""),"",I112-J112)</f>
        <v/>
      </c>
      <c r="Q112" s="6">
        <f>IF(L112="","",IF(L112="Gana",3,IF(L112="Empata",1,0)))</f>
        <v/>
      </c>
      <c r="R112" s="6">
        <f>IF(L112="","",IF(L112="Pierde",3,IF(L112="Empata",1,0)))</f>
        <v/>
      </c>
      <c r="S112" s="4" t="inlineStr">
        <is>
          <t>https://en.wikipedia.org/wiki/2026_FIFA_World_Cup_Group_F</t>
        </is>
      </c>
    </row>
    <row r="113">
      <c r="A113" s="4" t="inlineStr">
        <is>
          <t>M-2026-032</t>
        </is>
      </c>
      <c r="B113" s="4" t="n">
        <v>2026</v>
      </c>
      <c r="C113" s="4" t="inlineStr">
        <is>
          <t>Fase de grupos</t>
        </is>
      </c>
      <c r="D113" s="4" t="inlineStr">
        <is>
          <t>F</t>
        </is>
      </c>
      <c r="E113" s="4" t="n">
        <v>1</v>
      </c>
      <c r="F113" s="14" t="n">
        <v>46188</v>
      </c>
      <c r="G113" s="4" t="inlineStr">
        <is>
          <t>Sweden</t>
        </is>
      </c>
      <c r="H113" s="4" t="inlineStr">
        <is>
          <t>Tunisia</t>
        </is>
      </c>
      <c r="I113" s="4" t="n">
        <v>5</v>
      </c>
      <c r="J113" s="4" t="n">
        <v>1</v>
      </c>
      <c r="K113" s="6">
        <f>IF(OR(I113="",J113=""),"",I113&amp;"-"&amp;J113)</f>
        <v/>
      </c>
      <c r="L113" s="6">
        <f>IF(OR(I113="",J113=""),"",IF(I113&gt;J113,"Gana",IF(I113=J113,"Empata","Pierde")))</f>
        <v/>
      </c>
      <c r="M113" s="4" t="b">
        <v>0</v>
      </c>
      <c r="N113" s="4" t="b">
        <v>0</v>
      </c>
      <c r="O113" s="6">
        <f>IF(OR(I113="",J113=""),"",I113+J113)</f>
        <v/>
      </c>
      <c r="P113" s="6">
        <f>IF(OR(I113="",J113=""),"",I113-J113)</f>
        <v/>
      </c>
      <c r="Q113" s="6">
        <f>IF(L113="","",IF(L113="Gana",3,IF(L113="Empata",1,0)))</f>
        <v/>
      </c>
      <c r="R113" s="6">
        <f>IF(L113="","",IF(L113="Pierde",3,IF(L113="Empata",1,0)))</f>
        <v/>
      </c>
      <c r="S113" s="4" t="inlineStr">
        <is>
          <t>https://en.wikipedia.org/wiki/2026_FIFA_World_Cup_Group_F</t>
        </is>
      </c>
    </row>
    <row r="114">
      <c r="A114" s="4" t="inlineStr">
        <is>
          <t>M-2026-037</t>
        </is>
      </c>
      <c r="B114" s="4" t="n">
        <v>2026</v>
      </c>
      <c r="C114" s="4" t="inlineStr">
        <is>
          <t>Fase de grupos</t>
        </is>
      </c>
      <c r="D114" s="4" t="inlineStr">
        <is>
          <t>G</t>
        </is>
      </c>
      <c r="E114" s="4" t="n">
        <v>1</v>
      </c>
      <c r="F114" s="14" t="n">
        <v>46188</v>
      </c>
      <c r="G114" s="4" t="inlineStr">
        <is>
          <t>Belgium</t>
        </is>
      </c>
      <c r="H114" s="4" t="inlineStr">
        <is>
          <t>Egypt</t>
        </is>
      </c>
      <c r="I114" s="4" t="n">
        <v>1</v>
      </c>
      <c r="J114" s="4" t="n">
        <v>1</v>
      </c>
      <c r="K114" s="6">
        <f>IF(OR(I114="",J114=""),"",I114&amp;"-"&amp;J114)</f>
        <v/>
      </c>
      <c r="L114" s="6">
        <f>IF(OR(I114="",J114=""),"",IF(I114&gt;J114,"Gana",IF(I114=J114,"Empata","Pierde")))</f>
        <v/>
      </c>
      <c r="M114" s="4" t="b">
        <v>0</v>
      </c>
      <c r="N114" s="4" t="b">
        <v>0</v>
      </c>
      <c r="O114" s="6">
        <f>IF(OR(I114="",J114=""),"",I114+J114)</f>
        <v/>
      </c>
      <c r="P114" s="6">
        <f>IF(OR(I114="",J114=""),"",I114-J114)</f>
        <v/>
      </c>
      <c r="Q114" s="6">
        <f>IF(L114="","",IF(L114="Gana",3,IF(L114="Empata",1,0)))</f>
        <v/>
      </c>
      <c r="R114" s="6">
        <f>IF(L114="","",IF(L114="Pierde",3,IF(L114="Empata",1,0)))</f>
        <v/>
      </c>
      <c r="S114" s="4" t="inlineStr">
        <is>
          <t>https://en.wikipedia.org/wiki/2026_FIFA_World_Cup_Group_G</t>
        </is>
      </c>
    </row>
    <row r="115">
      <c r="A115" s="4" t="inlineStr">
        <is>
          <t>M-2026-038</t>
        </is>
      </c>
      <c r="B115" s="4" t="n">
        <v>2026</v>
      </c>
      <c r="C115" s="4" t="inlineStr">
        <is>
          <t>Fase de grupos</t>
        </is>
      </c>
      <c r="D115" s="4" t="inlineStr">
        <is>
          <t>G</t>
        </is>
      </c>
      <c r="E115" s="4" t="n">
        <v>1</v>
      </c>
      <c r="F115" s="14" t="n">
        <v>46188</v>
      </c>
      <c r="G115" s="4" t="inlineStr">
        <is>
          <t>Iran</t>
        </is>
      </c>
      <c r="H115" s="4" t="inlineStr">
        <is>
          <t>New Zealand</t>
        </is>
      </c>
      <c r="I115" s="4" t="n">
        <v>2</v>
      </c>
      <c r="J115" s="4" t="n">
        <v>2</v>
      </c>
      <c r="K115" s="6">
        <f>IF(OR(I115="",J115=""),"",I115&amp;"-"&amp;J115)</f>
        <v/>
      </c>
      <c r="L115" s="6">
        <f>IF(OR(I115="",J115=""),"",IF(I115&gt;J115,"Gana",IF(I115=J115,"Empata","Pierde")))</f>
        <v/>
      </c>
      <c r="M115" s="4" t="b">
        <v>0</v>
      </c>
      <c r="N115" s="4" t="b">
        <v>0</v>
      </c>
      <c r="O115" s="6">
        <f>IF(OR(I115="",J115=""),"",I115+J115)</f>
        <v/>
      </c>
      <c r="P115" s="6">
        <f>IF(OR(I115="",J115=""),"",I115-J115)</f>
        <v/>
      </c>
      <c r="Q115" s="6">
        <f>IF(L115="","",IF(L115="Gana",3,IF(L115="Empata",1,0)))</f>
        <v/>
      </c>
      <c r="R115" s="6">
        <f>IF(L115="","",IF(L115="Pierde",3,IF(L115="Empata",1,0)))</f>
        <v/>
      </c>
      <c r="S115" s="4" t="inlineStr">
        <is>
          <t>https://en.wikipedia.org/wiki/2026_FIFA_World_Cup_Group_G</t>
        </is>
      </c>
    </row>
    <row r="116">
      <c r="A116" s="4" t="inlineStr">
        <is>
          <t>M-2026-043</t>
        </is>
      </c>
      <c r="B116" s="4" t="n">
        <v>2026</v>
      </c>
      <c r="C116" s="4" t="inlineStr">
        <is>
          <t>Fase de grupos</t>
        </is>
      </c>
      <c r="D116" s="4" t="inlineStr">
        <is>
          <t>H</t>
        </is>
      </c>
      <c r="E116" s="4" t="n">
        <v>1</v>
      </c>
      <c r="F116" s="14" t="n">
        <v>46188</v>
      </c>
      <c r="G116" s="4" t="inlineStr">
        <is>
          <t>Spain</t>
        </is>
      </c>
      <c r="H116" s="4" t="inlineStr">
        <is>
          <t>Cape Verde</t>
        </is>
      </c>
      <c r="I116" s="4" t="n">
        <v>0</v>
      </c>
      <c r="J116" s="4" t="n">
        <v>0</v>
      </c>
      <c r="K116" s="6">
        <f>IF(OR(I116="",J116=""),"",I116&amp;"-"&amp;J116)</f>
        <v/>
      </c>
      <c r="L116" s="6">
        <f>IF(OR(I116="",J116=""),"",IF(I116&gt;J116,"Gana",IF(I116=J116,"Empata","Pierde")))</f>
        <v/>
      </c>
      <c r="M116" s="4" t="b">
        <v>0</v>
      </c>
      <c r="N116" s="4" t="b">
        <v>0</v>
      </c>
      <c r="O116" s="6">
        <f>IF(OR(I116="",J116=""),"",I116+J116)</f>
        <v/>
      </c>
      <c r="P116" s="6">
        <f>IF(OR(I116="",J116=""),"",I116-J116)</f>
        <v/>
      </c>
      <c r="Q116" s="6">
        <f>IF(L116="","",IF(L116="Gana",3,IF(L116="Empata",1,0)))</f>
        <v/>
      </c>
      <c r="R116" s="6">
        <f>IF(L116="","",IF(L116="Pierde",3,IF(L116="Empata",1,0)))</f>
        <v/>
      </c>
      <c r="S116" s="4" t="inlineStr">
        <is>
          <t>https://en.wikipedia.org/wiki/2026_FIFA_World_Cup_Group_H</t>
        </is>
      </c>
    </row>
    <row r="117">
      <c r="A117" s="4" t="inlineStr">
        <is>
          <t>M-2026-044</t>
        </is>
      </c>
      <c r="B117" s="4" t="n">
        <v>2026</v>
      </c>
      <c r="C117" s="4" t="inlineStr">
        <is>
          <t>Fase de grupos</t>
        </is>
      </c>
      <c r="D117" s="4" t="inlineStr">
        <is>
          <t>H</t>
        </is>
      </c>
      <c r="E117" s="4" t="n">
        <v>1</v>
      </c>
      <c r="F117" s="14" t="n">
        <v>46188</v>
      </c>
      <c r="G117" s="4" t="inlineStr">
        <is>
          <t>Saudi Arabia</t>
        </is>
      </c>
      <c r="H117" s="4" t="inlineStr">
        <is>
          <t>Uruguay</t>
        </is>
      </c>
      <c r="I117" s="4" t="n">
        <v>1</v>
      </c>
      <c r="J117" s="4" t="n">
        <v>1</v>
      </c>
      <c r="K117" s="6">
        <f>IF(OR(I117="",J117=""),"",I117&amp;"-"&amp;J117)</f>
        <v/>
      </c>
      <c r="L117" s="6">
        <f>IF(OR(I117="",J117=""),"",IF(I117&gt;J117,"Gana",IF(I117=J117,"Empata","Pierde")))</f>
        <v/>
      </c>
      <c r="M117" s="4" t="b">
        <v>0</v>
      </c>
      <c r="N117" s="4" t="b">
        <v>0</v>
      </c>
      <c r="O117" s="6">
        <f>IF(OR(I117="",J117=""),"",I117+J117)</f>
        <v/>
      </c>
      <c r="P117" s="6">
        <f>IF(OR(I117="",J117=""),"",I117-J117)</f>
        <v/>
      </c>
      <c r="Q117" s="6">
        <f>IF(L117="","",IF(L117="Gana",3,IF(L117="Empata",1,0)))</f>
        <v/>
      </c>
      <c r="R117" s="6">
        <f>IF(L117="","",IF(L117="Pierde",3,IF(L117="Empata",1,0)))</f>
        <v/>
      </c>
      <c r="S117" s="4" t="inlineStr">
        <is>
          <t>https://en.wikipedia.org/wiki/2026_FIFA_World_Cup_Group_H</t>
        </is>
      </c>
    </row>
    <row r="118">
      <c r="A118" s="4" t="inlineStr">
        <is>
          <t>M-2026-049</t>
        </is>
      </c>
      <c r="B118" s="4" t="n">
        <v>2026</v>
      </c>
      <c r="C118" s="4" t="inlineStr">
        <is>
          <t>Fase de grupos</t>
        </is>
      </c>
      <c r="D118" s="4" t="inlineStr">
        <is>
          <t>I</t>
        </is>
      </c>
      <c r="E118" s="4" t="n">
        <v>1</v>
      </c>
      <c r="F118" s="14" t="n">
        <v>46189</v>
      </c>
      <c r="G118" s="4" t="inlineStr">
        <is>
          <t>France</t>
        </is>
      </c>
      <c r="H118" s="4" t="inlineStr">
        <is>
          <t>Senegal</t>
        </is>
      </c>
      <c r="I118" s="4" t="n">
        <v>3</v>
      </c>
      <c r="J118" s="4" t="n">
        <v>1</v>
      </c>
      <c r="K118" s="6">
        <f>IF(OR(I118="",J118=""),"",I118&amp;"-"&amp;J118)</f>
        <v/>
      </c>
      <c r="L118" s="6">
        <f>IF(OR(I118="",J118=""),"",IF(I118&gt;J118,"Gana",IF(I118=J118,"Empata","Pierde")))</f>
        <v/>
      </c>
      <c r="M118" s="4" t="b">
        <v>0</v>
      </c>
      <c r="N118" s="4" t="b">
        <v>0</v>
      </c>
      <c r="O118" s="6">
        <f>IF(OR(I118="",J118=""),"",I118+J118)</f>
        <v/>
      </c>
      <c r="P118" s="6">
        <f>IF(OR(I118="",J118=""),"",I118-J118)</f>
        <v/>
      </c>
      <c r="Q118" s="6">
        <f>IF(L118="","",IF(L118="Gana",3,IF(L118="Empata",1,0)))</f>
        <v/>
      </c>
      <c r="R118" s="6">
        <f>IF(L118="","",IF(L118="Pierde",3,IF(L118="Empata",1,0)))</f>
        <v/>
      </c>
      <c r="S118" s="4" t="inlineStr">
        <is>
          <t>https://en.wikipedia.org/wiki/2026_FIFA_World_Cup_Group_I</t>
        </is>
      </c>
    </row>
    <row r="119">
      <c r="A119" s="4" t="inlineStr">
        <is>
          <t>M-2026-050</t>
        </is>
      </c>
      <c r="B119" s="4" t="n">
        <v>2026</v>
      </c>
      <c r="C119" s="4" t="inlineStr">
        <is>
          <t>Fase de grupos</t>
        </is>
      </c>
      <c r="D119" s="4" t="inlineStr">
        <is>
          <t>I</t>
        </is>
      </c>
      <c r="E119" s="4" t="n">
        <v>1</v>
      </c>
      <c r="F119" s="14" t="n">
        <v>46189</v>
      </c>
      <c r="G119" s="4" t="inlineStr">
        <is>
          <t>Iraq</t>
        </is>
      </c>
      <c r="H119" s="4" t="inlineStr">
        <is>
          <t>Norway</t>
        </is>
      </c>
      <c r="I119" s="4" t="n">
        <v>1</v>
      </c>
      <c r="J119" s="4" t="n">
        <v>4</v>
      </c>
      <c r="K119" s="6">
        <f>IF(OR(I119="",J119=""),"",I119&amp;"-"&amp;J119)</f>
        <v/>
      </c>
      <c r="L119" s="6">
        <f>IF(OR(I119="",J119=""),"",IF(I119&gt;J119,"Gana",IF(I119=J119,"Empata","Pierde")))</f>
        <v/>
      </c>
      <c r="M119" s="4" t="b">
        <v>0</v>
      </c>
      <c r="N119" s="4" t="b">
        <v>0</v>
      </c>
      <c r="O119" s="6">
        <f>IF(OR(I119="",J119=""),"",I119+J119)</f>
        <v/>
      </c>
      <c r="P119" s="6">
        <f>IF(OR(I119="",J119=""),"",I119-J119)</f>
        <v/>
      </c>
      <c r="Q119" s="6">
        <f>IF(L119="","",IF(L119="Gana",3,IF(L119="Empata",1,0)))</f>
        <v/>
      </c>
      <c r="R119" s="6">
        <f>IF(L119="","",IF(L119="Pierde",3,IF(L119="Empata",1,0)))</f>
        <v/>
      </c>
      <c r="S119" s="4" t="inlineStr">
        <is>
          <t>https://en.wikipedia.org/wiki/2026_FIFA_World_Cup_Group_I</t>
        </is>
      </c>
    </row>
    <row r="120">
      <c r="A120" s="4" t="inlineStr">
        <is>
          <t>M-2026-055</t>
        </is>
      </c>
      <c r="B120" s="4" t="n">
        <v>2026</v>
      </c>
      <c r="C120" s="4" t="inlineStr">
        <is>
          <t>Fase de grupos</t>
        </is>
      </c>
      <c r="D120" s="4" t="inlineStr">
        <is>
          <t>J</t>
        </is>
      </c>
      <c r="E120" s="4" t="n">
        <v>1</v>
      </c>
      <c r="F120" s="14" t="n">
        <v>46189</v>
      </c>
      <c r="G120" s="4" t="inlineStr">
        <is>
          <t>Argentina</t>
        </is>
      </c>
      <c r="H120" s="4" t="inlineStr">
        <is>
          <t>Algeria</t>
        </is>
      </c>
      <c r="I120" s="4" t="n">
        <v>3</v>
      </c>
      <c r="J120" s="4" t="n">
        <v>0</v>
      </c>
      <c r="K120" s="6">
        <f>IF(OR(I120="",J120=""),"",I120&amp;"-"&amp;J120)</f>
        <v/>
      </c>
      <c r="L120" s="6">
        <f>IF(OR(I120="",J120=""),"",IF(I120&gt;J120,"Gana",IF(I120=J120,"Empata","Pierde")))</f>
        <v/>
      </c>
      <c r="M120" s="4" t="b">
        <v>0</v>
      </c>
      <c r="N120" s="4" t="b">
        <v>0</v>
      </c>
      <c r="O120" s="6">
        <f>IF(OR(I120="",J120=""),"",I120+J120)</f>
        <v/>
      </c>
      <c r="P120" s="6">
        <f>IF(OR(I120="",J120=""),"",I120-J120)</f>
        <v/>
      </c>
      <c r="Q120" s="6">
        <f>IF(L120="","",IF(L120="Gana",3,IF(L120="Empata",1,0)))</f>
        <v/>
      </c>
      <c r="R120" s="6">
        <f>IF(L120="","",IF(L120="Pierde",3,IF(L120="Empata",1,0)))</f>
        <v/>
      </c>
      <c r="S120" s="4" t="inlineStr">
        <is>
          <t>https://en.wikipedia.org/wiki/2026_FIFA_World_Cup_Group_J</t>
        </is>
      </c>
    </row>
    <row r="121">
      <c r="A121" s="4" t="inlineStr">
        <is>
          <t>M-2026-056</t>
        </is>
      </c>
      <c r="B121" s="4" t="n">
        <v>2026</v>
      </c>
      <c r="C121" s="4" t="inlineStr">
        <is>
          <t>Fase de grupos</t>
        </is>
      </c>
      <c r="D121" s="4" t="inlineStr">
        <is>
          <t>J</t>
        </is>
      </c>
      <c r="E121" s="4" t="n">
        <v>1</v>
      </c>
      <c r="F121" s="14" t="n">
        <v>46190</v>
      </c>
      <c r="G121" s="4" t="inlineStr">
        <is>
          <t>Austria</t>
        </is>
      </c>
      <c r="H121" s="4" t="inlineStr">
        <is>
          <t>Jordan</t>
        </is>
      </c>
      <c r="I121" s="4" t="n">
        <v>3</v>
      </c>
      <c r="J121" s="4" t="n">
        <v>1</v>
      </c>
      <c r="K121" s="6">
        <f>IF(OR(I121="",J121=""),"",I121&amp;"-"&amp;J121)</f>
        <v/>
      </c>
      <c r="L121" s="6">
        <f>IF(OR(I121="",J121=""),"",IF(I121&gt;J121,"Gana",IF(I121=J121,"Empata","Pierde")))</f>
        <v/>
      </c>
      <c r="M121" s="4" t="b">
        <v>0</v>
      </c>
      <c r="N121" s="4" t="b">
        <v>0</v>
      </c>
      <c r="O121" s="6">
        <f>IF(OR(I121="",J121=""),"",I121+J121)</f>
        <v/>
      </c>
      <c r="P121" s="6">
        <f>IF(OR(I121="",J121=""),"",I121-J121)</f>
        <v/>
      </c>
      <c r="Q121" s="6">
        <f>IF(L121="","",IF(L121="Gana",3,IF(L121="Empata",1,0)))</f>
        <v/>
      </c>
      <c r="R121" s="6">
        <f>IF(L121="","",IF(L121="Pierde",3,IF(L121="Empata",1,0)))</f>
        <v/>
      </c>
      <c r="S121" s="4" t="inlineStr">
        <is>
          <t>https://en.wikipedia.org/wiki/2026_FIFA_World_Cup_Group_J</t>
        </is>
      </c>
    </row>
    <row r="122">
      <c r="A122" s="4" t="inlineStr">
        <is>
          <t>M-2026-061</t>
        </is>
      </c>
      <c r="B122" s="4" t="n">
        <v>2026</v>
      </c>
      <c r="C122" s="4" t="inlineStr">
        <is>
          <t>Fase de grupos</t>
        </is>
      </c>
      <c r="D122" s="4" t="inlineStr">
        <is>
          <t>K</t>
        </is>
      </c>
      <c r="E122" s="4" t="n">
        <v>1</v>
      </c>
      <c r="F122" s="14" t="n">
        <v>46190</v>
      </c>
      <c r="G122" s="4" t="inlineStr">
        <is>
          <t>Portugal</t>
        </is>
      </c>
      <c r="H122" s="4" t="inlineStr">
        <is>
          <t>DR Congo</t>
        </is>
      </c>
      <c r="I122" s="4" t="n">
        <v>1</v>
      </c>
      <c r="J122" s="4" t="n">
        <v>1</v>
      </c>
      <c r="K122" s="6">
        <f>IF(OR(I122="",J122=""),"",I122&amp;"-"&amp;J122)</f>
        <v/>
      </c>
      <c r="L122" s="6">
        <f>IF(OR(I122="",J122=""),"",IF(I122&gt;J122,"Gana",IF(I122=J122,"Empata","Pierde")))</f>
        <v/>
      </c>
      <c r="M122" s="4" t="b">
        <v>0</v>
      </c>
      <c r="N122" s="4" t="b">
        <v>0</v>
      </c>
      <c r="O122" s="6">
        <f>IF(OR(I122="",J122=""),"",I122+J122)</f>
        <v/>
      </c>
      <c r="P122" s="6">
        <f>IF(OR(I122="",J122=""),"",I122-J122)</f>
        <v/>
      </c>
      <c r="Q122" s="6">
        <f>IF(L122="","",IF(L122="Gana",3,IF(L122="Empata",1,0)))</f>
        <v/>
      </c>
      <c r="R122" s="6">
        <f>IF(L122="","",IF(L122="Pierde",3,IF(L122="Empata",1,0)))</f>
        <v/>
      </c>
      <c r="S122" s="4" t="inlineStr">
        <is>
          <t>https://en.wikipedia.org/wiki/2026_FIFA_World_Cup_Group_K</t>
        </is>
      </c>
    </row>
    <row r="123">
      <c r="A123" s="4" t="inlineStr">
        <is>
          <t>M-2026-062</t>
        </is>
      </c>
      <c r="B123" s="4" t="n">
        <v>2026</v>
      </c>
      <c r="C123" s="4" t="inlineStr">
        <is>
          <t>Fase de grupos</t>
        </is>
      </c>
      <c r="D123" s="4" t="inlineStr">
        <is>
          <t>K</t>
        </is>
      </c>
      <c r="E123" s="4" t="n">
        <v>1</v>
      </c>
      <c r="F123" s="14" t="n">
        <v>46190</v>
      </c>
      <c r="G123" s="4" t="inlineStr">
        <is>
          <t>Uzbekistan</t>
        </is>
      </c>
      <c r="H123" s="4" t="inlineStr">
        <is>
          <t>Colombia</t>
        </is>
      </c>
      <c r="I123" s="4" t="n">
        <v>1</v>
      </c>
      <c r="J123" s="4" t="n">
        <v>3</v>
      </c>
      <c r="K123" s="6">
        <f>IF(OR(I123="",J123=""),"",I123&amp;"-"&amp;J123)</f>
        <v/>
      </c>
      <c r="L123" s="6">
        <f>IF(OR(I123="",J123=""),"",IF(I123&gt;J123,"Gana",IF(I123=J123,"Empata","Pierde")))</f>
        <v/>
      </c>
      <c r="M123" s="4" t="b">
        <v>0</v>
      </c>
      <c r="N123" s="4" t="b">
        <v>0</v>
      </c>
      <c r="O123" s="6">
        <f>IF(OR(I123="",J123=""),"",I123+J123)</f>
        <v/>
      </c>
      <c r="P123" s="6">
        <f>IF(OR(I123="",J123=""),"",I123-J123)</f>
        <v/>
      </c>
      <c r="Q123" s="6">
        <f>IF(L123="","",IF(L123="Gana",3,IF(L123="Empata",1,0)))</f>
        <v/>
      </c>
      <c r="R123" s="6">
        <f>IF(L123="","",IF(L123="Pierde",3,IF(L123="Empata",1,0)))</f>
        <v/>
      </c>
      <c r="S123" s="4" t="inlineStr">
        <is>
          <t>https://en.wikipedia.org/wiki/2026_FIFA_World_Cup_Group_K</t>
        </is>
      </c>
    </row>
    <row r="124">
      <c r="A124" s="4" t="inlineStr">
        <is>
          <t>M-2026-067</t>
        </is>
      </c>
      <c r="B124" s="4" t="n">
        <v>2026</v>
      </c>
      <c r="C124" s="4" t="inlineStr">
        <is>
          <t>Fase de grupos</t>
        </is>
      </c>
      <c r="D124" s="4" t="inlineStr">
        <is>
          <t>L</t>
        </is>
      </c>
      <c r="E124" s="4" t="n">
        <v>1</v>
      </c>
      <c r="F124" s="14" t="n">
        <v>46190</v>
      </c>
      <c r="G124" s="4" t="inlineStr">
        <is>
          <t>England</t>
        </is>
      </c>
      <c r="H124" s="4" t="inlineStr">
        <is>
          <t>Croatia</t>
        </is>
      </c>
      <c r="I124" s="4" t="n">
        <v>4</v>
      </c>
      <c r="J124" s="4" t="n">
        <v>2</v>
      </c>
      <c r="K124" s="6">
        <f>IF(OR(I124="",J124=""),"",I124&amp;"-"&amp;J124)</f>
        <v/>
      </c>
      <c r="L124" s="6">
        <f>IF(OR(I124="",J124=""),"",IF(I124&gt;J124,"Gana",IF(I124=J124,"Empata","Pierde")))</f>
        <v/>
      </c>
      <c r="M124" s="4" t="b">
        <v>0</v>
      </c>
      <c r="N124" s="4" t="b">
        <v>0</v>
      </c>
      <c r="O124" s="6">
        <f>IF(OR(I124="",J124=""),"",I124+J124)</f>
        <v/>
      </c>
      <c r="P124" s="6">
        <f>IF(OR(I124="",J124=""),"",I124-J124)</f>
        <v/>
      </c>
      <c r="Q124" s="6">
        <f>IF(L124="","",IF(L124="Gana",3,IF(L124="Empata",1,0)))</f>
        <v/>
      </c>
      <c r="R124" s="6">
        <f>IF(L124="","",IF(L124="Pierde",3,IF(L124="Empata",1,0)))</f>
        <v/>
      </c>
      <c r="S124" s="4" t="inlineStr">
        <is>
          <t>https://en.wikipedia.org/wiki/2026_FIFA_World_Cup_Group_L</t>
        </is>
      </c>
    </row>
    <row r="125">
      <c r="A125" s="4" t="inlineStr">
        <is>
          <t>M-2026-003</t>
        </is>
      </c>
      <c r="B125" s="4" t="n">
        <v>2026</v>
      </c>
      <c r="C125" s="4" t="inlineStr">
        <is>
          <t>Fase de grupos</t>
        </is>
      </c>
      <c r="D125" s="4" t="inlineStr">
        <is>
          <t>A</t>
        </is>
      </c>
      <c r="E125" s="4" t="n">
        <v>2</v>
      </c>
      <c r="F125" s="14" t="n">
        <v>46191</v>
      </c>
      <c r="G125" s="4" t="inlineStr">
        <is>
          <t>Czechia</t>
        </is>
      </c>
      <c r="H125" s="4" t="inlineStr">
        <is>
          <t>South Africa</t>
        </is>
      </c>
      <c r="I125" s="4" t="n">
        <v>1</v>
      </c>
      <c r="J125" s="4" t="n">
        <v>1</v>
      </c>
      <c r="K125" s="6">
        <f>IF(OR(I125="",J125=""),"",I125&amp;"-"&amp;J125)</f>
        <v/>
      </c>
      <c r="L125" s="6">
        <f>IF(OR(I125="",J125=""),"",IF(I125&gt;J125,"Gana",IF(I125=J125,"Empata","Pierde")))</f>
        <v/>
      </c>
      <c r="M125" s="4" t="b">
        <v>0</v>
      </c>
      <c r="N125" s="4" t="b">
        <v>0</v>
      </c>
      <c r="O125" s="6">
        <f>IF(OR(I125="",J125=""),"",I125+J125)</f>
        <v/>
      </c>
      <c r="P125" s="6">
        <f>IF(OR(I125="",J125=""),"",I125-J125)</f>
        <v/>
      </c>
      <c r="Q125" s="6">
        <f>IF(L125="","",IF(L125="Gana",3,IF(L125="Empata",1,0)))</f>
        <v/>
      </c>
      <c r="R125" s="6">
        <f>IF(L125="","",IF(L125="Pierde",3,IF(L125="Empata",1,0)))</f>
        <v/>
      </c>
      <c r="S125" s="4" t="inlineStr">
        <is>
          <t>https://en.wikipedia.org/wiki/2026_FIFA_World_Cup_Group_A</t>
        </is>
      </c>
    </row>
    <row r="126">
      <c r="A126" s="4" t="inlineStr">
        <is>
          <t>M-2026-004</t>
        </is>
      </c>
      <c r="B126" s="4" t="n">
        <v>2026</v>
      </c>
      <c r="C126" s="4" t="inlineStr">
        <is>
          <t>Fase de grupos</t>
        </is>
      </c>
      <c r="D126" s="4" t="inlineStr">
        <is>
          <t>A</t>
        </is>
      </c>
      <c r="E126" s="4" t="n">
        <v>2</v>
      </c>
      <c r="F126" s="14" t="n">
        <v>46191</v>
      </c>
      <c r="G126" s="4" t="inlineStr">
        <is>
          <t>Mexico</t>
        </is>
      </c>
      <c r="H126" s="4" t="inlineStr">
        <is>
          <t>South Korea</t>
        </is>
      </c>
      <c r="I126" s="4" t="n">
        <v>1</v>
      </c>
      <c r="J126" s="4" t="n">
        <v>0</v>
      </c>
      <c r="K126" s="6">
        <f>IF(OR(I126="",J126=""),"",I126&amp;"-"&amp;J126)</f>
        <v/>
      </c>
      <c r="L126" s="6">
        <f>IF(OR(I126="",J126=""),"",IF(I126&gt;J126,"Gana",IF(I126=J126,"Empata","Pierde")))</f>
        <v/>
      </c>
      <c r="M126" s="4" t="b">
        <v>1</v>
      </c>
      <c r="N126" s="4" t="b">
        <v>0</v>
      </c>
      <c r="O126" s="6">
        <f>IF(OR(I126="",J126=""),"",I126+J126)</f>
        <v/>
      </c>
      <c r="P126" s="6">
        <f>IF(OR(I126="",J126=""),"",I126-J126)</f>
        <v/>
      </c>
      <c r="Q126" s="6">
        <f>IF(L126="","",IF(L126="Gana",3,IF(L126="Empata",1,0)))</f>
        <v/>
      </c>
      <c r="R126" s="6">
        <f>IF(L126="","",IF(L126="Pierde",3,IF(L126="Empata",1,0)))</f>
        <v/>
      </c>
      <c r="S126" s="4" t="inlineStr">
        <is>
          <t>https://en.wikipedia.org/wiki/2026_FIFA_World_Cup_Group_A</t>
        </is>
      </c>
    </row>
    <row r="127">
      <c r="A127" s="4" t="inlineStr">
        <is>
          <t>M-2026-009</t>
        </is>
      </c>
      <c r="B127" s="4" t="n">
        <v>2026</v>
      </c>
      <c r="C127" s="4" t="inlineStr">
        <is>
          <t>Fase de grupos</t>
        </is>
      </c>
      <c r="D127" s="4" t="inlineStr">
        <is>
          <t>B</t>
        </is>
      </c>
      <c r="E127" s="4" t="n">
        <v>2</v>
      </c>
      <c r="F127" s="14" t="n">
        <v>46191</v>
      </c>
      <c r="G127" s="4" t="inlineStr">
        <is>
          <t>Switzerland</t>
        </is>
      </c>
      <c r="H127" s="4" t="inlineStr">
        <is>
          <t>Bosnia and Herzegovina</t>
        </is>
      </c>
      <c r="I127" s="4" t="n">
        <v>4</v>
      </c>
      <c r="J127" s="4" t="n">
        <v>1</v>
      </c>
      <c r="K127" s="6">
        <f>IF(OR(I127="",J127=""),"",I127&amp;"-"&amp;J127)</f>
        <v/>
      </c>
      <c r="L127" s="6">
        <f>IF(OR(I127="",J127=""),"",IF(I127&gt;J127,"Gana",IF(I127=J127,"Empata","Pierde")))</f>
        <v/>
      </c>
      <c r="M127" s="4" t="b">
        <v>0</v>
      </c>
      <c r="N127" s="4" t="b">
        <v>0</v>
      </c>
      <c r="O127" s="6">
        <f>IF(OR(I127="",J127=""),"",I127+J127)</f>
        <v/>
      </c>
      <c r="P127" s="6">
        <f>IF(OR(I127="",J127=""),"",I127-J127)</f>
        <v/>
      </c>
      <c r="Q127" s="6">
        <f>IF(L127="","",IF(L127="Gana",3,IF(L127="Empata",1,0)))</f>
        <v/>
      </c>
      <c r="R127" s="6">
        <f>IF(L127="","",IF(L127="Pierde",3,IF(L127="Empata",1,0)))</f>
        <v/>
      </c>
      <c r="S127" s="4" t="inlineStr">
        <is>
          <t>https://en.wikipedia.org/wiki/2026_FIFA_World_Cup_Group_B</t>
        </is>
      </c>
    </row>
    <row r="128">
      <c r="A128" s="4" t="inlineStr">
        <is>
          <t>M-2026-010</t>
        </is>
      </c>
      <c r="B128" s="4" t="n">
        <v>2026</v>
      </c>
      <c r="C128" s="4" t="inlineStr">
        <is>
          <t>Fase de grupos</t>
        </is>
      </c>
      <c r="D128" s="4" t="inlineStr">
        <is>
          <t>B</t>
        </is>
      </c>
      <c r="E128" s="4" t="n">
        <v>2</v>
      </c>
      <c r="F128" s="14" t="n">
        <v>46191</v>
      </c>
      <c r="G128" s="4" t="inlineStr">
        <is>
          <t>Canada</t>
        </is>
      </c>
      <c r="H128" s="4" t="inlineStr">
        <is>
          <t>Qatar</t>
        </is>
      </c>
      <c r="I128" s="4" t="n">
        <v>6</v>
      </c>
      <c r="J128" s="4" t="n">
        <v>0</v>
      </c>
      <c r="K128" s="6">
        <f>IF(OR(I128="",J128=""),"",I128&amp;"-"&amp;J128)</f>
        <v/>
      </c>
      <c r="L128" s="6">
        <f>IF(OR(I128="",J128=""),"",IF(I128&gt;J128,"Gana",IF(I128=J128,"Empata","Pierde")))</f>
        <v/>
      </c>
      <c r="M128" s="4" t="b">
        <v>1</v>
      </c>
      <c r="N128" s="4" t="b">
        <v>0</v>
      </c>
      <c r="O128" s="6">
        <f>IF(OR(I128="",J128=""),"",I128+J128)</f>
        <v/>
      </c>
      <c r="P128" s="6">
        <f>IF(OR(I128="",J128=""),"",I128-J128)</f>
        <v/>
      </c>
      <c r="Q128" s="6">
        <f>IF(L128="","",IF(L128="Gana",3,IF(L128="Empata",1,0)))</f>
        <v/>
      </c>
      <c r="R128" s="6">
        <f>IF(L128="","",IF(L128="Pierde",3,IF(L128="Empata",1,0)))</f>
        <v/>
      </c>
      <c r="S128" s="4" t="inlineStr">
        <is>
          <t>https://en.wikipedia.org/wiki/2026_FIFA_World_Cup_Group_B</t>
        </is>
      </c>
    </row>
    <row r="129">
      <c r="A129" s="4" t="inlineStr">
        <is>
          <t>M-2026-068</t>
        </is>
      </c>
      <c r="B129" s="4" t="n">
        <v>2026</v>
      </c>
      <c r="C129" s="4" t="inlineStr">
        <is>
          <t>Fase de grupos</t>
        </is>
      </c>
      <c r="D129" s="4" t="inlineStr">
        <is>
          <t>L</t>
        </is>
      </c>
      <c r="E129" s="4" t="n">
        <v>1</v>
      </c>
      <c r="F129" s="14" t="n">
        <v>46191</v>
      </c>
      <c r="G129" s="4" t="inlineStr">
        <is>
          <t>Ghana</t>
        </is>
      </c>
      <c r="H129" s="4" t="inlineStr">
        <is>
          <t>Panama</t>
        </is>
      </c>
      <c r="I129" s="4" t="n">
        <v>1</v>
      </c>
      <c r="J129" s="4" t="n">
        <v>0</v>
      </c>
      <c r="K129" s="6">
        <f>IF(OR(I129="",J129=""),"",I129&amp;"-"&amp;J129)</f>
        <v/>
      </c>
      <c r="L129" s="6">
        <f>IF(OR(I129="",J129=""),"",IF(I129&gt;J129,"Gana",IF(I129=J129,"Empata","Pierde")))</f>
        <v/>
      </c>
      <c r="M129" s="4" t="b">
        <v>0</v>
      </c>
      <c r="N129" s="4" t="b">
        <v>0</v>
      </c>
      <c r="O129" s="6">
        <f>IF(OR(I129="",J129=""),"",I129+J129)</f>
        <v/>
      </c>
      <c r="P129" s="6">
        <f>IF(OR(I129="",J129=""),"",I129-J129)</f>
        <v/>
      </c>
      <c r="Q129" s="6">
        <f>IF(L129="","",IF(L129="Gana",3,IF(L129="Empata",1,0)))</f>
        <v/>
      </c>
      <c r="R129" s="6">
        <f>IF(L129="","",IF(L129="Pierde",3,IF(L129="Empata",1,0)))</f>
        <v/>
      </c>
      <c r="S129" s="4" t="inlineStr">
        <is>
          <t>https://en.wikipedia.org/wiki/2026_FIFA_World_Cup_Group_L</t>
        </is>
      </c>
    </row>
    <row r="130">
      <c r="A130" s="4" t="inlineStr">
        <is>
          <t>M-2026-015</t>
        </is>
      </c>
      <c r="B130" s="4" t="n">
        <v>2026</v>
      </c>
      <c r="C130" s="4" t="inlineStr">
        <is>
          <t>Fase de grupos</t>
        </is>
      </c>
      <c r="D130" s="4" t="inlineStr">
        <is>
          <t>C</t>
        </is>
      </c>
      <c r="E130" s="4" t="n">
        <v>2</v>
      </c>
      <c r="F130" s="14" t="n">
        <v>46192</v>
      </c>
      <c r="G130" s="4" t="inlineStr">
        <is>
          <t>Scotland</t>
        </is>
      </c>
      <c r="H130" s="4" t="inlineStr">
        <is>
          <t>Morocco</t>
        </is>
      </c>
      <c r="I130" s="4" t="n">
        <v>0</v>
      </c>
      <c r="J130" s="4" t="n">
        <v>1</v>
      </c>
      <c r="K130" s="6">
        <f>IF(OR(I130="",J130=""),"",I130&amp;"-"&amp;J130)</f>
        <v/>
      </c>
      <c r="L130" s="6">
        <f>IF(OR(I130="",J130=""),"",IF(I130&gt;J130,"Gana",IF(I130=J130,"Empata","Pierde")))</f>
        <v/>
      </c>
      <c r="M130" s="4" t="b">
        <v>0</v>
      </c>
      <c r="N130" s="4" t="b">
        <v>0</v>
      </c>
      <c r="O130" s="6">
        <f>IF(OR(I130="",J130=""),"",I130+J130)</f>
        <v/>
      </c>
      <c r="P130" s="6">
        <f>IF(OR(I130="",J130=""),"",I130-J130)</f>
        <v/>
      </c>
      <c r="Q130" s="6">
        <f>IF(L130="","",IF(L130="Gana",3,IF(L130="Empata",1,0)))</f>
        <v/>
      </c>
      <c r="R130" s="6">
        <f>IF(L130="","",IF(L130="Pierde",3,IF(L130="Empata",1,0)))</f>
        <v/>
      </c>
      <c r="S130" s="4" t="inlineStr">
        <is>
          <t>https://en.wikipedia.org/wiki/2026_FIFA_World_Cup_Group_C</t>
        </is>
      </c>
    </row>
    <row r="131">
      <c r="A131" s="4" t="inlineStr">
        <is>
          <t>M-2026-016</t>
        </is>
      </c>
      <c r="B131" s="4" t="n">
        <v>2026</v>
      </c>
      <c r="C131" s="4" t="inlineStr">
        <is>
          <t>Fase de grupos</t>
        </is>
      </c>
      <c r="D131" s="4" t="inlineStr">
        <is>
          <t>C</t>
        </is>
      </c>
      <c r="E131" s="4" t="n">
        <v>2</v>
      </c>
      <c r="F131" s="14" t="n">
        <v>46192</v>
      </c>
      <c r="G131" s="4" t="inlineStr">
        <is>
          <t>Brazil</t>
        </is>
      </c>
      <c r="H131" s="4" t="inlineStr">
        <is>
          <t>Haiti</t>
        </is>
      </c>
      <c r="I131" s="4" t="n">
        <v>3</v>
      </c>
      <c r="J131" s="4" t="n">
        <v>0</v>
      </c>
      <c r="K131" s="6">
        <f>IF(OR(I131="",J131=""),"",I131&amp;"-"&amp;J131)</f>
        <v/>
      </c>
      <c r="L131" s="6">
        <f>IF(OR(I131="",J131=""),"",IF(I131&gt;J131,"Gana",IF(I131=J131,"Empata","Pierde")))</f>
        <v/>
      </c>
      <c r="M131" s="4" t="b">
        <v>0</v>
      </c>
      <c r="N131" s="4" t="b">
        <v>0</v>
      </c>
      <c r="O131" s="6">
        <f>IF(OR(I131="",J131=""),"",I131+J131)</f>
        <v/>
      </c>
      <c r="P131" s="6">
        <f>IF(OR(I131="",J131=""),"",I131-J131)</f>
        <v/>
      </c>
      <c r="Q131" s="6">
        <f>IF(L131="","",IF(L131="Gana",3,IF(L131="Empata",1,0)))</f>
        <v/>
      </c>
      <c r="R131" s="6">
        <f>IF(L131="","",IF(L131="Pierde",3,IF(L131="Empata",1,0)))</f>
        <v/>
      </c>
      <c r="S131" s="4" t="inlineStr">
        <is>
          <t>https://en.wikipedia.org/wiki/2026_FIFA_World_Cup_Group_C</t>
        </is>
      </c>
    </row>
    <row r="132">
      <c r="A132" s="4" t="inlineStr">
        <is>
          <t>M-2026-021</t>
        </is>
      </c>
      <c r="B132" s="4" t="n">
        <v>2026</v>
      </c>
      <c r="C132" s="4" t="inlineStr">
        <is>
          <t>Fase de grupos</t>
        </is>
      </c>
      <c r="D132" s="4" t="inlineStr">
        <is>
          <t>D</t>
        </is>
      </c>
      <c r="E132" s="4" t="n">
        <v>2</v>
      </c>
      <c r="F132" s="14" t="n">
        <v>46192</v>
      </c>
      <c r="G132" s="4" t="inlineStr">
        <is>
          <t>United States</t>
        </is>
      </c>
      <c r="H132" s="4" t="inlineStr">
        <is>
          <t>Australia</t>
        </is>
      </c>
      <c r="I132" s="4" t="n">
        <v>2</v>
      </c>
      <c r="J132" s="4" t="n">
        <v>0</v>
      </c>
      <c r="K132" s="6">
        <f>IF(OR(I132="",J132=""),"",I132&amp;"-"&amp;J132)</f>
        <v/>
      </c>
      <c r="L132" s="6">
        <f>IF(OR(I132="",J132=""),"",IF(I132&gt;J132,"Gana",IF(I132=J132,"Empata","Pierde")))</f>
        <v/>
      </c>
      <c r="M132" s="4" t="b">
        <v>1</v>
      </c>
      <c r="N132" s="4" t="b">
        <v>0</v>
      </c>
      <c r="O132" s="6">
        <f>IF(OR(I132="",J132=""),"",I132+J132)</f>
        <v/>
      </c>
      <c r="P132" s="6">
        <f>IF(OR(I132="",J132=""),"",I132-J132)</f>
        <v/>
      </c>
      <c r="Q132" s="6">
        <f>IF(L132="","",IF(L132="Gana",3,IF(L132="Empata",1,0)))</f>
        <v/>
      </c>
      <c r="R132" s="6">
        <f>IF(L132="","",IF(L132="Pierde",3,IF(L132="Empata",1,0)))</f>
        <v/>
      </c>
      <c r="S132" s="4" t="inlineStr">
        <is>
          <t>https://en.wikipedia.org/wiki/2026_FIFA_World_Cup_Group_D</t>
        </is>
      </c>
    </row>
    <row r="133">
      <c r="A133" s="4" t="inlineStr">
        <is>
          <t>M-2026-022</t>
        </is>
      </c>
      <c r="B133" s="4" t="n">
        <v>2026</v>
      </c>
      <c r="C133" s="4" t="inlineStr">
        <is>
          <t>Fase de grupos</t>
        </is>
      </c>
      <c r="D133" s="4" t="inlineStr">
        <is>
          <t>D</t>
        </is>
      </c>
      <c r="E133" s="4" t="n">
        <v>2</v>
      </c>
      <c r="F133" s="14" t="n">
        <v>46193</v>
      </c>
      <c r="G133" s="4" t="inlineStr">
        <is>
          <t>Turkey</t>
        </is>
      </c>
      <c r="H133" s="4" t="inlineStr">
        <is>
          <t>Paraguay</t>
        </is>
      </c>
      <c r="I133" s="4" t="n">
        <v>0</v>
      </c>
      <c r="J133" s="4" t="n">
        <v>1</v>
      </c>
      <c r="K133" s="6">
        <f>IF(OR(I133="",J133=""),"",I133&amp;"-"&amp;J133)</f>
        <v/>
      </c>
      <c r="L133" s="6">
        <f>IF(OR(I133="",J133=""),"",IF(I133&gt;J133,"Gana",IF(I133=J133,"Empata","Pierde")))</f>
        <v/>
      </c>
      <c r="M133" s="4" t="b">
        <v>0</v>
      </c>
      <c r="N133" s="4" t="b">
        <v>0</v>
      </c>
      <c r="O133" s="6">
        <f>IF(OR(I133="",J133=""),"",I133+J133)</f>
        <v/>
      </c>
      <c r="P133" s="6">
        <f>IF(OR(I133="",J133=""),"",I133-J133)</f>
        <v/>
      </c>
      <c r="Q133" s="6">
        <f>IF(L133="","",IF(L133="Gana",3,IF(L133="Empata",1,0)))</f>
        <v/>
      </c>
      <c r="R133" s="6">
        <f>IF(L133="","",IF(L133="Pierde",3,IF(L133="Empata",1,0)))</f>
        <v/>
      </c>
      <c r="S133" s="4" t="inlineStr">
        <is>
          <t>https://en.wikipedia.org/wiki/2026_FIFA_World_Cup_Group_D</t>
        </is>
      </c>
    </row>
    <row r="134">
      <c r="A134" s="4" t="inlineStr">
        <is>
          <t>M-2026-027</t>
        </is>
      </c>
      <c r="B134" s="4" t="n">
        <v>2026</v>
      </c>
      <c r="C134" s="4" t="inlineStr">
        <is>
          <t>Fase de grupos</t>
        </is>
      </c>
      <c r="D134" s="4" t="inlineStr">
        <is>
          <t>E</t>
        </is>
      </c>
      <c r="E134" s="4" t="n">
        <v>2</v>
      </c>
      <c r="F134" s="14" t="n">
        <v>46193</v>
      </c>
      <c r="G134" s="4" t="inlineStr">
        <is>
          <t>Germany</t>
        </is>
      </c>
      <c r="H134" s="4" t="inlineStr">
        <is>
          <t>Ivory Coast</t>
        </is>
      </c>
      <c r="I134" s="4" t="n">
        <v>2</v>
      </c>
      <c r="J134" s="4" t="n">
        <v>1</v>
      </c>
      <c r="K134" s="6">
        <f>IF(OR(I134="",J134=""),"",I134&amp;"-"&amp;J134)</f>
        <v/>
      </c>
      <c r="L134" s="6">
        <f>IF(OR(I134="",J134=""),"",IF(I134&gt;J134,"Gana",IF(I134=J134,"Empata","Pierde")))</f>
        <v/>
      </c>
      <c r="M134" s="4" t="b">
        <v>0</v>
      </c>
      <c r="N134" s="4" t="b">
        <v>0</v>
      </c>
      <c r="O134" s="6">
        <f>IF(OR(I134="",J134=""),"",I134+J134)</f>
        <v/>
      </c>
      <c r="P134" s="6">
        <f>IF(OR(I134="",J134=""),"",I134-J134)</f>
        <v/>
      </c>
      <c r="Q134" s="6">
        <f>IF(L134="","",IF(L134="Gana",3,IF(L134="Empata",1,0)))</f>
        <v/>
      </c>
      <c r="R134" s="6">
        <f>IF(L134="","",IF(L134="Pierde",3,IF(L134="Empata",1,0)))</f>
        <v/>
      </c>
      <c r="S134" s="4" t="inlineStr">
        <is>
          <t>https://en.wikipedia.org/wiki/2026_FIFA_World_Cup_Group_E</t>
        </is>
      </c>
    </row>
    <row r="135">
      <c r="A135" s="4" t="inlineStr">
        <is>
          <t>M-2026-028</t>
        </is>
      </c>
      <c r="B135" s="4" t="n">
        <v>2026</v>
      </c>
      <c r="C135" s="4" t="inlineStr">
        <is>
          <t>Fase de grupos</t>
        </is>
      </c>
      <c r="D135" s="4" t="inlineStr">
        <is>
          <t>E</t>
        </is>
      </c>
      <c r="E135" s="4" t="n">
        <v>2</v>
      </c>
      <c r="F135" s="14" t="n">
        <v>46193</v>
      </c>
      <c r="G135" s="4" t="inlineStr">
        <is>
          <t>Ecuador</t>
        </is>
      </c>
      <c r="H135" s="4" t="inlineStr">
        <is>
          <t>Curacao</t>
        </is>
      </c>
      <c r="I135" s="4" t="n">
        <v>0</v>
      </c>
      <c r="J135" s="4" t="n">
        <v>0</v>
      </c>
      <c r="K135" s="6">
        <f>IF(OR(I135="",J135=""),"",I135&amp;"-"&amp;J135)</f>
        <v/>
      </c>
      <c r="L135" s="6">
        <f>IF(OR(I135="",J135=""),"",IF(I135&gt;J135,"Gana",IF(I135=J135,"Empata","Pierde")))</f>
        <v/>
      </c>
      <c r="M135" s="4" t="b">
        <v>0</v>
      </c>
      <c r="N135" s="4" t="b">
        <v>0</v>
      </c>
      <c r="O135" s="6">
        <f>IF(OR(I135="",J135=""),"",I135+J135)</f>
        <v/>
      </c>
      <c r="P135" s="6">
        <f>IF(OR(I135="",J135=""),"",I135-J135)</f>
        <v/>
      </c>
      <c r="Q135" s="6">
        <f>IF(L135="","",IF(L135="Gana",3,IF(L135="Empata",1,0)))</f>
        <v/>
      </c>
      <c r="R135" s="6">
        <f>IF(L135="","",IF(L135="Pierde",3,IF(L135="Empata",1,0)))</f>
        <v/>
      </c>
      <c r="S135" s="4" t="inlineStr">
        <is>
          <t>https://en.wikipedia.org/wiki/2026_FIFA_World_Cup_Group_E</t>
        </is>
      </c>
    </row>
    <row r="136">
      <c r="A136" s="4" t="inlineStr">
        <is>
          <t>M-2026-033</t>
        </is>
      </c>
      <c r="B136" s="4" t="n">
        <v>2026</v>
      </c>
      <c r="C136" s="4" t="inlineStr">
        <is>
          <t>Fase de grupos</t>
        </is>
      </c>
      <c r="D136" s="4" t="inlineStr">
        <is>
          <t>F</t>
        </is>
      </c>
      <c r="E136" s="4" t="n">
        <v>2</v>
      </c>
      <c r="F136" s="14" t="n">
        <v>46193</v>
      </c>
      <c r="G136" s="4" t="inlineStr">
        <is>
          <t>Netherlands</t>
        </is>
      </c>
      <c r="H136" s="4" t="inlineStr">
        <is>
          <t>Sweden</t>
        </is>
      </c>
      <c r="I136" s="4" t="n">
        <v>5</v>
      </c>
      <c r="J136" s="4" t="n">
        <v>1</v>
      </c>
      <c r="K136" s="6">
        <f>IF(OR(I136="",J136=""),"",I136&amp;"-"&amp;J136)</f>
        <v/>
      </c>
      <c r="L136" s="6">
        <f>IF(OR(I136="",J136=""),"",IF(I136&gt;J136,"Gana",IF(I136=J136,"Empata","Pierde")))</f>
        <v/>
      </c>
      <c r="M136" s="4" t="b">
        <v>0</v>
      </c>
      <c r="N136" s="4" t="b">
        <v>0</v>
      </c>
      <c r="O136" s="6">
        <f>IF(OR(I136="",J136=""),"",I136+J136)</f>
        <v/>
      </c>
      <c r="P136" s="6">
        <f>IF(OR(I136="",J136=""),"",I136-J136)</f>
        <v/>
      </c>
      <c r="Q136" s="6">
        <f>IF(L136="","",IF(L136="Gana",3,IF(L136="Empata",1,0)))</f>
        <v/>
      </c>
      <c r="R136" s="6">
        <f>IF(L136="","",IF(L136="Pierde",3,IF(L136="Empata",1,0)))</f>
        <v/>
      </c>
      <c r="S136" s="4" t="inlineStr">
        <is>
          <t>https://en.wikipedia.org/wiki/2026_FIFA_World_Cup_Group_F</t>
        </is>
      </c>
    </row>
    <row r="137">
      <c r="A137" s="4" t="inlineStr">
        <is>
          <t>M-2026-034</t>
        </is>
      </c>
      <c r="B137" s="4" t="n">
        <v>2026</v>
      </c>
      <c r="C137" s="4" t="inlineStr">
        <is>
          <t>Fase de grupos</t>
        </is>
      </c>
      <c r="D137" s="4" t="inlineStr">
        <is>
          <t>F</t>
        </is>
      </c>
      <c r="E137" s="4" t="n">
        <v>2</v>
      </c>
      <c r="F137" s="14" t="n">
        <v>46193</v>
      </c>
      <c r="G137" s="4" t="inlineStr">
        <is>
          <t>Tunisia</t>
        </is>
      </c>
      <c r="H137" s="4" t="inlineStr">
        <is>
          <t>Japan</t>
        </is>
      </c>
      <c r="I137" s="4" t="n">
        <v>0</v>
      </c>
      <c r="J137" s="4" t="n">
        <v>4</v>
      </c>
      <c r="K137" s="6">
        <f>IF(OR(I137="",J137=""),"",I137&amp;"-"&amp;J137)</f>
        <v/>
      </c>
      <c r="L137" s="6">
        <f>IF(OR(I137="",J137=""),"",IF(I137&gt;J137,"Gana",IF(I137=J137,"Empata","Pierde")))</f>
        <v/>
      </c>
      <c r="M137" s="4" t="b">
        <v>0</v>
      </c>
      <c r="N137" s="4" t="b">
        <v>0</v>
      </c>
      <c r="O137" s="6">
        <f>IF(OR(I137="",J137=""),"",I137+J137)</f>
        <v/>
      </c>
      <c r="P137" s="6">
        <f>IF(OR(I137="",J137=""),"",I137-J137)</f>
        <v/>
      </c>
      <c r="Q137" s="6">
        <f>IF(L137="","",IF(L137="Gana",3,IF(L137="Empata",1,0)))</f>
        <v/>
      </c>
      <c r="R137" s="6">
        <f>IF(L137="","",IF(L137="Pierde",3,IF(L137="Empata",1,0)))</f>
        <v/>
      </c>
      <c r="S137" s="4" t="inlineStr">
        <is>
          <t>https://en.wikipedia.org/wiki/2026_FIFA_World_Cup_Group_F</t>
        </is>
      </c>
    </row>
    <row r="138">
      <c r="A138" s="4" t="inlineStr">
        <is>
          <t>M-2026-039</t>
        </is>
      </c>
      <c r="B138" s="4" t="n">
        <v>2026</v>
      </c>
      <c r="C138" s="4" t="inlineStr">
        <is>
          <t>Fase de grupos</t>
        </is>
      </c>
      <c r="D138" s="4" t="inlineStr">
        <is>
          <t>G</t>
        </is>
      </c>
      <c r="E138" s="4" t="n">
        <v>2</v>
      </c>
      <c r="F138" s="14" t="n">
        <v>46194</v>
      </c>
      <c r="G138" s="4" t="inlineStr">
        <is>
          <t>Belgium</t>
        </is>
      </c>
      <c r="H138" s="4" t="inlineStr">
        <is>
          <t>Iran</t>
        </is>
      </c>
      <c r="I138" s="4" t="n">
        <v>0</v>
      </c>
      <c r="J138" s="4" t="n">
        <v>0</v>
      </c>
      <c r="K138" s="6">
        <f>IF(OR(I138="",J138=""),"",I138&amp;"-"&amp;J138)</f>
        <v/>
      </c>
      <c r="L138" s="6">
        <f>IF(OR(I138="",J138=""),"",IF(I138&gt;J138,"Gana",IF(I138=J138,"Empata","Pierde")))</f>
        <v/>
      </c>
      <c r="M138" s="4" t="b">
        <v>0</v>
      </c>
      <c r="N138" s="4" t="b">
        <v>0</v>
      </c>
      <c r="O138" s="6">
        <f>IF(OR(I138="",J138=""),"",I138+J138)</f>
        <v/>
      </c>
      <c r="P138" s="6">
        <f>IF(OR(I138="",J138=""),"",I138-J138)</f>
        <v/>
      </c>
      <c r="Q138" s="6">
        <f>IF(L138="","",IF(L138="Gana",3,IF(L138="Empata",1,0)))</f>
        <v/>
      </c>
      <c r="R138" s="6">
        <f>IF(L138="","",IF(L138="Pierde",3,IF(L138="Empata",1,0)))</f>
        <v/>
      </c>
      <c r="S138" s="4" t="inlineStr">
        <is>
          <t>https://en.wikipedia.org/wiki/2026_FIFA_World_Cup_Group_G</t>
        </is>
      </c>
    </row>
    <row r="139">
      <c r="A139" s="4" t="inlineStr">
        <is>
          <t>M-2026-040</t>
        </is>
      </c>
      <c r="B139" s="4" t="n">
        <v>2026</v>
      </c>
      <c r="C139" s="4" t="inlineStr">
        <is>
          <t>Fase de grupos</t>
        </is>
      </c>
      <c r="D139" s="4" t="inlineStr">
        <is>
          <t>G</t>
        </is>
      </c>
      <c r="E139" s="4" t="n">
        <v>2</v>
      </c>
      <c r="F139" s="14" t="n">
        <v>46194</v>
      </c>
      <c r="G139" s="4" t="inlineStr">
        <is>
          <t>New Zealand</t>
        </is>
      </c>
      <c r="H139" s="4" t="inlineStr">
        <is>
          <t>Egypt</t>
        </is>
      </c>
      <c r="I139" s="4" t="n">
        <v>1</v>
      </c>
      <c r="J139" s="4" t="n">
        <v>3</v>
      </c>
      <c r="K139" s="6">
        <f>IF(OR(I139="",J139=""),"",I139&amp;"-"&amp;J139)</f>
        <v/>
      </c>
      <c r="L139" s="6">
        <f>IF(OR(I139="",J139=""),"",IF(I139&gt;J139,"Gana",IF(I139=J139,"Empata","Pierde")))</f>
        <v/>
      </c>
      <c r="M139" s="4" t="b">
        <v>0</v>
      </c>
      <c r="N139" s="4" t="b">
        <v>0</v>
      </c>
      <c r="O139" s="6">
        <f>IF(OR(I139="",J139=""),"",I139+J139)</f>
        <v/>
      </c>
      <c r="P139" s="6">
        <f>IF(OR(I139="",J139=""),"",I139-J139)</f>
        <v/>
      </c>
      <c r="Q139" s="6">
        <f>IF(L139="","",IF(L139="Gana",3,IF(L139="Empata",1,0)))</f>
        <v/>
      </c>
      <c r="R139" s="6">
        <f>IF(L139="","",IF(L139="Pierde",3,IF(L139="Empata",1,0)))</f>
        <v/>
      </c>
      <c r="S139" s="4" t="inlineStr">
        <is>
          <t>https://en.wikipedia.org/wiki/2026_FIFA_World_Cup_Group_G</t>
        </is>
      </c>
    </row>
    <row r="140">
      <c r="A140" s="4" t="inlineStr">
        <is>
          <t>M-2026-045</t>
        </is>
      </c>
      <c r="B140" s="4" t="n">
        <v>2026</v>
      </c>
      <c r="C140" s="4" t="inlineStr">
        <is>
          <t>Fase de grupos</t>
        </is>
      </c>
      <c r="D140" s="4" t="inlineStr">
        <is>
          <t>H</t>
        </is>
      </c>
      <c r="E140" s="4" t="n">
        <v>2</v>
      </c>
      <c r="F140" s="14" t="n">
        <v>46194</v>
      </c>
      <c r="G140" s="4" t="inlineStr">
        <is>
          <t>Spain</t>
        </is>
      </c>
      <c r="H140" s="4" t="inlineStr">
        <is>
          <t>Saudi Arabia</t>
        </is>
      </c>
      <c r="I140" s="4" t="n">
        <v>4</v>
      </c>
      <c r="J140" s="4" t="n">
        <v>0</v>
      </c>
      <c r="K140" s="6">
        <f>IF(OR(I140="",J140=""),"",I140&amp;"-"&amp;J140)</f>
        <v/>
      </c>
      <c r="L140" s="6">
        <f>IF(OR(I140="",J140=""),"",IF(I140&gt;J140,"Gana",IF(I140=J140,"Empata","Pierde")))</f>
        <v/>
      </c>
      <c r="M140" s="4" t="b">
        <v>0</v>
      </c>
      <c r="N140" s="4" t="b">
        <v>0</v>
      </c>
      <c r="O140" s="6">
        <f>IF(OR(I140="",J140=""),"",I140+J140)</f>
        <v/>
      </c>
      <c r="P140" s="6">
        <f>IF(OR(I140="",J140=""),"",I140-J140)</f>
        <v/>
      </c>
      <c r="Q140" s="6">
        <f>IF(L140="","",IF(L140="Gana",3,IF(L140="Empata",1,0)))</f>
        <v/>
      </c>
      <c r="R140" s="6">
        <f>IF(L140="","",IF(L140="Pierde",3,IF(L140="Empata",1,0)))</f>
        <v/>
      </c>
      <c r="S140" s="4" t="inlineStr">
        <is>
          <t>https://en.wikipedia.org/wiki/2026_FIFA_World_Cup_Group_H</t>
        </is>
      </c>
    </row>
    <row r="141">
      <c r="A141" s="4" t="inlineStr">
        <is>
          <t>M-2026-046</t>
        </is>
      </c>
      <c r="B141" s="4" t="n">
        <v>2026</v>
      </c>
      <c r="C141" s="4" t="inlineStr">
        <is>
          <t>Fase de grupos</t>
        </is>
      </c>
      <c r="D141" s="4" t="inlineStr">
        <is>
          <t>H</t>
        </is>
      </c>
      <c r="E141" s="4" t="n">
        <v>2</v>
      </c>
      <c r="F141" s="14" t="n">
        <v>46194</v>
      </c>
      <c r="G141" s="4" t="inlineStr">
        <is>
          <t>Uruguay</t>
        </is>
      </c>
      <c r="H141" s="4" t="inlineStr">
        <is>
          <t>Cape Verde</t>
        </is>
      </c>
      <c r="I141" s="4" t="n">
        <v>2</v>
      </c>
      <c r="J141" s="4" t="n">
        <v>2</v>
      </c>
      <c r="K141" s="6">
        <f>IF(OR(I141="",J141=""),"",I141&amp;"-"&amp;J141)</f>
        <v/>
      </c>
      <c r="L141" s="6">
        <f>IF(OR(I141="",J141=""),"",IF(I141&gt;J141,"Gana",IF(I141=J141,"Empata","Pierde")))</f>
        <v/>
      </c>
      <c r="M141" s="4" t="b">
        <v>0</v>
      </c>
      <c r="N141" s="4" t="b">
        <v>0</v>
      </c>
      <c r="O141" s="6">
        <f>IF(OR(I141="",J141=""),"",I141+J141)</f>
        <v/>
      </c>
      <c r="P141" s="6">
        <f>IF(OR(I141="",J141=""),"",I141-J141)</f>
        <v/>
      </c>
      <c r="Q141" s="6">
        <f>IF(L141="","",IF(L141="Gana",3,IF(L141="Empata",1,0)))</f>
        <v/>
      </c>
      <c r="R141" s="6">
        <f>IF(L141="","",IF(L141="Pierde",3,IF(L141="Empata",1,0)))</f>
        <v/>
      </c>
      <c r="S141" s="4" t="inlineStr">
        <is>
          <t>https://en.wikipedia.org/wiki/2026_FIFA_World_Cup_Group_H</t>
        </is>
      </c>
    </row>
    <row r="142">
      <c r="A142" s="4" t="inlineStr">
        <is>
          <t>M-2026-051</t>
        </is>
      </c>
      <c r="B142" s="4" t="n">
        <v>2026</v>
      </c>
      <c r="C142" s="4" t="inlineStr">
        <is>
          <t>Fase de grupos</t>
        </is>
      </c>
      <c r="D142" s="4" t="inlineStr">
        <is>
          <t>I</t>
        </is>
      </c>
      <c r="E142" s="4" t="n">
        <v>2</v>
      </c>
      <c r="F142" s="14" t="n">
        <v>46195</v>
      </c>
      <c r="G142" s="4" t="inlineStr">
        <is>
          <t>France</t>
        </is>
      </c>
      <c r="H142" s="4" t="inlineStr">
        <is>
          <t>Iraq</t>
        </is>
      </c>
      <c r="I142" s="4" t="n">
        <v>3</v>
      </c>
      <c r="J142" s="4" t="n">
        <v>0</v>
      </c>
      <c r="K142" s="6">
        <f>IF(OR(I142="",J142=""),"",I142&amp;"-"&amp;J142)</f>
        <v/>
      </c>
      <c r="L142" s="6">
        <f>IF(OR(I142="",J142=""),"",IF(I142&gt;J142,"Gana",IF(I142=J142,"Empata","Pierde")))</f>
        <v/>
      </c>
      <c r="M142" s="4" t="b">
        <v>0</v>
      </c>
      <c r="N142" s="4" t="b">
        <v>0</v>
      </c>
      <c r="O142" s="6">
        <f>IF(OR(I142="",J142=""),"",I142+J142)</f>
        <v/>
      </c>
      <c r="P142" s="6">
        <f>IF(OR(I142="",J142=""),"",I142-J142)</f>
        <v/>
      </c>
      <c r="Q142" s="6">
        <f>IF(L142="","",IF(L142="Gana",3,IF(L142="Empata",1,0)))</f>
        <v/>
      </c>
      <c r="R142" s="6">
        <f>IF(L142="","",IF(L142="Pierde",3,IF(L142="Empata",1,0)))</f>
        <v/>
      </c>
      <c r="S142" s="4" t="inlineStr">
        <is>
          <t>https://en.wikipedia.org/wiki/2026_FIFA_World_Cup_Group_I</t>
        </is>
      </c>
    </row>
    <row r="143">
      <c r="A143" s="4" t="inlineStr">
        <is>
          <t>M-2026-052</t>
        </is>
      </c>
      <c r="B143" s="4" t="n">
        <v>2026</v>
      </c>
      <c r="C143" s="4" t="inlineStr">
        <is>
          <t>Fase de grupos</t>
        </is>
      </c>
      <c r="D143" s="4" t="inlineStr">
        <is>
          <t>I</t>
        </is>
      </c>
      <c r="E143" s="4" t="n">
        <v>2</v>
      </c>
      <c r="F143" s="14" t="n">
        <v>46195</v>
      </c>
      <c r="G143" s="4" t="inlineStr">
        <is>
          <t>Norway</t>
        </is>
      </c>
      <c r="H143" s="4" t="inlineStr">
        <is>
          <t>Senegal</t>
        </is>
      </c>
      <c r="I143" s="4" t="n">
        <v>3</v>
      </c>
      <c r="J143" s="4" t="n">
        <v>2</v>
      </c>
      <c r="K143" s="6">
        <f>IF(OR(I143="",J143=""),"",I143&amp;"-"&amp;J143)</f>
        <v/>
      </c>
      <c r="L143" s="6">
        <f>IF(OR(I143="",J143=""),"",IF(I143&gt;J143,"Gana",IF(I143=J143,"Empata","Pierde")))</f>
        <v/>
      </c>
      <c r="M143" s="4" t="b">
        <v>0</v>
      </c>
      <c r="N143" s="4" t="b">
        <v>0</v>
      </c>
      <c r="O143" s="6">
        <f>IF(OR(I143="",J143=""),"",I143+J143)</f>
        <v/>
      </c>
      <c r="P143" s="6">
        <f>IF(OR(I143="",J143=""),"",I143-J143)</f>
        <v/>
      </c>
      <c r="Q143" s="6">
        <f>IF(L143="","",IF(L143="Gana",3,IF(L143="Empata",1,0)))</f>
        <v/>
      </c>
      <c r="R143" s="6">
        <f>IF(L143="","",IF(L143="Pierde",3,IF(L143="Empata",1,0)))</f>
        <v/>
      </c>
      <c r="S143" s="4" t="inlineStr">
        <is>
          <t>https://en.wikipedia.org/wiki/2026_FIFA_World_Cup_Group_I</t>
        </is>
      </c>
    </row>
    <row r="144">
      <c r="A144" s="4" t="inlineStr">
        <is>
          <t>M-2026-057</t>
        </is>
      </c>
      <c r="B144" s="4" t="n">
        <v>2026</v>
      </c>
      <c r="C144" s="4" t="inlineStr">
        <is>
          <t>Fase de grupos</t>
        </is>
      </c>
      <c r="D144" s="4" t="inlineStr">
        <is>
          <t>J</t>
        </is>
      </c>
      <c r="E144" s="4" t="n">
        <v>2</v>
      </c>
      <c r="F144" s="14" t="n">
        <v>46195</v>
      </c>
      <c r="G144" s="4" t="inlineStr">
        <is>
          <t>Argentina</t>
        </is>
      </c>
      <c r="H144" s="4" t="inlineStr">
        <is>
          <t>Austria</t>
        </is>
      </c>
      <c r="I144" s="4" t="n">
        <v>2</v>
      </c>
      <c r="J144" s="4" t="n">
        <v>0</v>
      </c>
      <c r="K144" s="6">
        <f>IF(OR(I144="",J144=""),"",I144&amp;"-"&amp;J144)</f>
        <v/>
      </c>
      <c r="L144" s="6">
        <f>IF(OR(I144="",J144=""),"",IF(I144&gt;J144,"Gana",IF(I144=J144,"Empata","Pierde")))</f>
        <v/>
      </c>
      <c r="M144" s="4" t="b">
        <v>0</v>
      </c>
      <c r="N144" s="4" t="b">
        <v>0</v>
      </c>
      <c r="O144" s="6">
        <f>IF(OR(I144="",J144=""),"",I144+J144)</f>
        <v/>
      </c>
      <c r="P144" s="6">
        <f>IF(OR(I144="",J144=""),"",I144-J144)</f>
        <v/>
      </c>
      <c r="Q144" s="6">
        <f>IF(L144="","",IF(L144="Gana",3,IF(L144="Empata",1,0)))</f>
        <v/>
      </c>
      <c r="R144" s="6">
        <f>IF(L144="","",IF(L144="Pierde",3,IF(L144="Empata",1,0)))</f>
        <v/>
      </c>
      <c r="S144" s="4" t="inlineStr">
        <is>
          <t>https://en.wikipedia.org/wiki/2026_FIFA_World_Cup_Group_J</t>
        </is>
      </c>
    </row>
    <row r="145">
      <c r="A145" s="4" t="inlineStr">
        <is>
          <t>M-2026-058</t>
        </is>
      </c>
      <c r="B145" s="4" t="n">
        <v>2026</v>
      </c>
      <c r="C145" s="4" t="inlineStr">
        <is>
          <t>Fase de grupos</t>
        </is>
      </c>
      <c r="D145" s="4" t="inlineStr">
        <is>
          <t>J</t>
        </is>
      </c>
      <c r="E145" s="4" t="n">
        <v>2</v>
      </c>
      <c r="F145" s="14" t="n">
        <v>46195</v>
      </c>
      <c r="G145" s="4" t="inlineStr">
        <is>
          <t>Jordan</t>
        </is>
      </c>
      <c r="H145" s="4" t="inlineStr">
        <is>
          <t>Algeria</t>
        </is>
      </c>
      <c r="I145" s="4" t="n">
        <v>1</v>
      </c>
      <c r="J145" s="4" t="n">
        <v>2</v>
      </c>
      <c r="K145" s="6">
        <f>IF(OR(I145="",J145=""),"",I145&amp;"-"&amp;J145)</f>
        <v/>
      </c>
      <c r="L145" s="6">
        <f>IF(OR(I145="",J145=""),"",IF(I145&gt;J145,"Gana",IF(I145=J145,"Empata","Pierde")))</f>
        <v/>
      </c>
      <c r="M145" s="4" t="b">
        <v>0</v>
      </c>
      <c r="N145" s="4" t="b">
        <v>0</v>
      </c>
      <c r="O145" s="6">
        <f>IF(OR(I145="",J145=""),"",I145+J145)</f>
        <v/>
      </c>
      <c r="P145" s="6">
        <f>IF(OR(I145="",J145=""),"",I145-J145)</f>
        <v/>
      </c>
      <c r="Q145" s="6">
        <f>IF(L145="","",IF(L145="Gana",3,IF(L145="Empata",1,0)))</f>
        <v/>
      </c>
      <c r="R145" s="6">
        <f>IF(L145="","",IF(L145="Pierde",3,IF(L145="Empata",1,0)))</f>
        <v/>
      </c>
      <c r="S145" s="4" t="inlineStr">
        <is>
          <t>https://en.wikipedia.org/wiki/2026_FIFA_World_Cup_Group_J</t>
        </is>
      </c>
    </row>
    <row r="146">
      <c r="A146" s="4" t="inlineStr">
        <is>
          <t>M-2026-063</t>
        </is>
      </c>
      <c r="B146" s="4" t="n">
        <v>2026</v>
      </c>
      <c r="C146" s="4" t="inlineStr">
        <is>
          <t>Fase de grupos</t>
        </is>
      </c>
      <c r="D146" s="4" t="inlineStr">
        <is>
          <t>K</t>
        </is>
      </c>
      <c r="E146" s="4" t="n">
        <v>2</v>
      </c>
      <c r="F146" s="14" t="n">
        <v>46196</v>
      </c>
      <c r="G146" s="4" t="inlineStr">
        <is>
          <t>Portugal</t>
        </is>
      </c>
      <c r="H146" s="4" t="inlineStr">
        <is>
          <t>Uzbekistan</t>
        </is>
      </c>
      <c r="I146" s="4" t="n">
        <v>5</v>
      </c>
      <c r="J146" s="4" t="n">
        <v>0</v>
      </c>
      <c r="K146" s="6">
        <f>IF(OR(I146="",J146=""),"",I146&amp;"-"&amp;J146)</f>
        <v/>
      </c>
      <c r="L146" s="6">
        <f>IF(OR(I146="",J146=""),"",IF(I146&gt;J146,"Gana",IF(I146=J146,"Empata","Pierde")))</f>
        <v/>
      </c>
      <c r="M146" s="4" t="b">
        <v>0</v>
      </c>
      <c r="N146" s="4" t="b">
        <v>0</v>
      </c>
      <c r="O146" s="6">
        <f>IF(OR(I146="",J146=""),"",I146+J146)</f>
        <v/>
      </c>
      <c r="P146" s="6">
        <f>IF(OR(I146="",J146=""),"",I146-J146)</f>
        <v/>
      </c>
      <c r="Q146" s="6">
        <f>IF(L146="","",IF(L146="Gana",3,IF(L146="Empata",1,0)))</f>
        <v/>
      </c>
      <c r="R146" s="6">
        <f>IF(L146="","",IF(L146="Pierde",3,IF(L146="Empata",1,0)))</f>
        <v/>
      </c>
      <c r="S146" s="4" t="inlineStr">
        <is>
          <t>https://en.wikipedia.org/wiki/2026_FIFA_World_Cup_Group_K</t>
        </is>
      </c>
    </row>
    <row r="147">
      <c r="A147" s="4" t="inlineStr">
        <is>
          <t>M-2026-064</t>
        </is>
      </c>
      <c r="B147" s="4" t="n">
        <v>2026</v>
      </c>
      <c r="C147" s="4" t="inlineStr">
        <is>
          <t>Fase de grupos</t>
        </is>
      </c>
      <c r="D147" s="4" t="inlineStr">
        <is>
          <t>K</t>
        </is>
      </c>
      <c r="E147" s="4" t="n">
        <v>2</v>
      </c>
      <c r="F147" s="14" t="n">
        <v>46196</v>
      </c>
      <c r="G147" s="4" t="inlineStr">
        <is>
          <t>Colombia</t>
        </is>
      </c>
      <c r="H147" s="4" t="inlineStr">
        <is>
          <t>DR Congo</t>
        </is>
      </c>
      <c r="I147" s="4" t="n">
        <v>1</v>
      </c>
      <c r="J147" s="4" t="n">
        <v>0</v>
      </c>
      <c r="K147" s="6">
        <f>IF(OR(I147="",J147=""),"",I147&amp;"-"&amp;J147)</f>
        <v/>
      </c>
      <c r="L147" s="6">
        <f>IF(OR(I147="",J147=""),"",IF(I147&gt;J147,"Gana",IF(I147=J147,"Empata","Pierde")))</f>
        <v/>
      </c>
      <c r="M147" s="4" t="b">
        <v>0</v>
      </c>
      <c r="N147" s="4" t="b">
        <v>0</v>
      </c>
      <c r="O147" s="6">
        <f>IF(OR(I147="",J147=""),"",I147+J147)</f>
        <v/>
      </c>
      <c r="P147" s="6">
        <f>IF(OR(I147="",J147=""),"",I147-J147)</f>
        <v/>
      </c>
      <c r="Q147" s="6">
        <f>IF(L147="","",IF(L147="Gana",3,IF(L147="Empata",1,0)))</f>
        <v/>
      </c>
      <c r="R147" s="6">
        <f>IF(L147="","",IF(L147="Pierde",3,IF(L147="Empata",1,0)))</f>
        <v/>
      </c>
      <c r="S147" s="4" t="inlineStr">
        <is>
          <t>https://en.wikipedia.org/wiki/2026_FIFA_World_Cup_Group_K</t>
        </is>
      </c>
    </row>
    <row r="148">
      <c r="A148" s="4" t="inlineStr">
        <is>
          <t>M-2026-069</t>
        </is>
      </c>
      <c r="B148" s="4" t="n">
        <v>2026</v>
      </c>
      <c r="C148" s="4" t="inlineStr">
        <is>
          <t>Fase de grupos</t>
        </is>
      </c>
      <c r="D148" s="4" t="inlineStr">
        <is>
          <t>L</t>
        </is>
      </c>
      <c r="E148" s="4" t="n">
        <v>2</v>
      </c>
      <c r="F148" s="14" t="n">
        <v>46196</v>
      </c>
      <c r="G148" s="4" t="inlineStr">
        <is>
          <t>England</t>
        </is>
      </c>
      <c r="H148" s="4" t="inlineStr">
        <is>
          <t>Ghana</t>
        </is>
      </c>
      <c r="I148" s="4" t="n">
        <v>0</v>
      </c>
      <c r="J148" s="4" t="n">
        <v>0</v>
      </c>
      <c r="K148" s="6">
        <f>IF(OR(I148="",J148=""),"",I148&amp;"-"&amp;J148)</f>
        <v/>
      </c>
      <c r="L148" s="6">
        <f>IF(OR(I148="",J148=""),"",IF(I148&gt;J148,"Gana",IF(I148=J148,"Empata","Pierde")))</f>
        <v/>
      </c>
      <c r="M148" s="4" t="b">
        <v>0</v>
      </c>
      <c r="N148" s="4" t="b">
        <v>0</v>
      </c>
      <c r="O148" s="6">
        <f>IF(OR(I148="",J148=""),"",I148+J148)</f>
        <v/>
      </c>
      <c r="P148" s="6">
        <f>IF(OR(I148="",J148=""),"",I148-J148)</f>
        <v/>
      </c>
      <c r="Q148" s="6">
        <f>IF(L148="","",IF(L148="Gana",3,IF(L148="Empata",1,0)))</f>
        <v/>
      </c>
      <c r="R148" s="6">
        <f>IF(L148="","",IF(L148="Pierde",3,IF(L148="Empata",1,0)))</f>
        <v/>
      </c>
      <c r="S148" s="4" t="inlineStr">
        <is>
          <t>https://en.wikipedia.org/wiki/2026_FIFA_World_Cup_Group_L</t>
        </is>
      </c>
    </row>
    <row r="149">
      <c r="A149" s="4" t="inlineStr">
        <is>
          <t>M-2026-070</t>
        </is>
      </c>
      <c r="B149" s="4" t="n">
        <v>2026</v>
      </c>
      <c r="C149" s="4" t="inlineStr">
        <is>
          <t>Fase de grupos</t>
        </is>
      </c>
      <c r="D149" s="4" t="inlineStr">
        <is>
          <t>L</t>
        </is>
      </c>
      <c r="E149" s="4" t="n">
        <v>2</v>
      </c>
      <c r="F149" s="14" t="n">
        <v>46196</v>
      </c>
      <c r="G149" s="4" t="inlineStr">
        <is>
          <t>Panama</t>
        </is>
      </c>
      <c r="H149" s="4" t="inlineStr">
        <is>
          <t>Croatia</t>
        </is>
      </c>
      <c r="I149" s="4" t="n">
        <v>0</v>
      </c>
      <c r="J149" s="4" t="n">
        <v>1</v>
      </c>
      <c r="K149" s="6">
        <f>IF(OR(I149="",J149=""),"",I149&amp;"-"&amp;J149)</f>
        <v/>
      </c>
      <c r="L149" s="6">
        <f>IF(OR(I149="",J149=""),"",IF(I149&gt;J149,"Gana",IF(I149=J149,"Empata","Pierde")))</f>
        <v/>
      </c>
      <c r="M149" s="4" t="b">
        <v>0</v>
      </c>
      <c r="N149" s="4" t="b">
        <v>0</v>
      </c>
      <c r="O149" s="6">
        <f>IF(OR(I149="",J149=""),"",I149+J149)</f>
        <v/>
      </c>
      <c r="P149" s="6">
        <f>IF(OR(I149="",J149=""),"",I149-J149)</f>
        <v/>
      </c>
      <c r="Q149" s="6">
        <f>IF(L149="","",IF(L149="Gana",3,IF(L149="Empata",1,0)))</f>
        <v/>
      </c>
      <c r="R149" s="6">
        <f>IF(L149="","",IF(L149="Pierde",3,IF(L149="Empata",1,0)))</f>
        <v/>
      </c>
      <c r="S149" s="4" t="inlineStr">
        <is>
          <t>https://en.wikipedia.org/wiki/2026_FIFA_World_Cup_Group_L</t>
        </is>
      </c>
    </row>
    <row r="150">
      <c r="A150" s="4" t="inlineStr">
        <is>
          <t>M-2026-005</t>
        </is>
      </c>
      <c r="B150" s="4" t="n">
        <v>2026</v>
      </c>
      <c r="C150" s="4" t="inlineStr">
        <is>
          <t>Fase de grupos</t>
        </is>
      </c>
      <c r="D150" s="4" t="inlineStr">
        <is>
          <t>A</t>
        </is>
      </c>
      <c r="E150" s="4" t="n">
        <v>3</v>
      </c>
      <c r="F150" s="14" t="n">
        <v>46197</v>
      </c>
      <c r="G150" s="4" t="inlineStr">
        <is>
          <t>Czechia</t>
        </is>
      </c>
      <c r="H150" s="4" t="inlineStr">
        <is>
          <t>Mexico</t>
        </is>
      </c>
      <c r="I150" s="4" t="n">
        <v>0</v>
      </c>
      <c r="J150" s="4" t="n">
        <v>3</v>
      </c>
      <c r="K150" s="6">
        <f>IF(OR(I150="",J150=""),"",I150&amp;"-"&amp;J150)</f>
        <v/>
      </c>
      <c r="L150" s="6">
        <f>IF(OR(I150="",J150=""),"",IF(I150&gt;J150,"Gana",IF(I150=J150,"Empata","Pierde")))</f>
        <v/>
      </c>
      <c r="M150" s="4" t="b">
        <v>0</v>
      </c>
      <c r="N150" s="4" t="b">
        <v>1</v>
      </c>
      <c r="O150" s="6">
        <f>IF(OR(I150="",J150=""),"",I150+J150)</f>
        <v/>
      </c>
      <c r="P150" s="6">
        <f>IF(OR(I150="",J150=""),"",I150-J150)</f>
        <v/>
      </c>
      <c r="Q150" s="6">
        <f>IF(L150="","",IF(L150="Gana",3,IF(L150="Empata",1,0)))</f>
        <v/>
      </c>
      <c r="R150" s="6">
        <f>IF(L150="","",IF(L150="Pierde",3,IF(L150="Empata",1,0)))</f>
        <v/>
      </c>
      <c r="S150" s="4" t="inlineStr">
        <is>
          <t>https://en.wikipedia.org/wiki/2026_FIFA_World_Cup_Group_A</t>
        </is>
      </c>
    </row>
    <row r="151">
      <c r="A151" s="4" t="inlineStr">
        <is>
          <t>M-2026-006</t>
        </is>
      </c>
      <c r="B151" s="4" t="n">
        <v>2026</v>
      </c>
      <c r="C151" s="4" t="inlineStr">
        <is>
          <t>Fase de grupos</t>
        </is>
      </c>
      <c r="D151" s="4" t="inlineStr">
        <is>
          <t>A</t>
        </is>
      </c>
      <c r="E151" s="4" t="n">
        <v>3</v>
      </c>
      <c r="F151" s="14" t="n">
        <v>46197</v>
      </c>
      <c r="G151" s="4" t="inlineStr">
        <is>
          <t>South Africa</t>
        </is>
      </c>
      <c r="H151" s="4" t="inlineStr">
        <is>
          <t>South Korea</t>
        </is>
      </c>
      <c r="I151" s="4" t="n">
        <v>1</v>
      </c>
      <c r="J151" s="4" t="n">
        <v>0</v>
      </c>
      <c r="K151" s="6">
        <f>IF(OR(I151="",J151=""),"",I151&amp;"-"&amp;J151)</f>
        <v/>
      </c>
      <c r="L151" s="6">
        <f>IF(OR(I151="",J151=""),"",IF(I151&gt;J151,"Gana",IF(I151=J151,"Empata","Pierde")))</f>
        <v/>
      </c>
      <c r="M151" s="4" t="b">
        <v>0</v>
      </c>
      <c r="N151" s="4" t="b">
        <v>0</v>
      </c>
      <c r="O151" s="6">
        <f>IF(OR(I151="",J151=""),"",I151+J151)</f>
        <v/>
      </c>
      <c r="P151" s="6">
        <f>IF(OR(I151="",J151=""),"",I151-J151)</f>
        <v/>
      </c>
      <c r="Q151" s="6">
        <f>IF(L151="","",IF(L151="Gana",3,IF(L151="Empata",1,0)))</f>
        <v/>
      </c>
      <c r="R151" s="6">
        <f>IF(L151="","",IF(L151="Pierde",3,IF(L151="Empata",1,0)))</f>
        <v/>
      </c>
      <c r="S151" s="4" t="inlineStr">
        <is>
          <t>https://en.wikipedia.org/wiki/2026_FIFA_World_Cup_Group_A</t>
        </is>
      </c>
    </row>
    <row r="152">
      <c r="A152" s="4" t="inlineStr">
        <is>
          <t>M-2026-011</t>
        </is>
      </c>
      <c r="B152" s="4" t="n">
        <v>2026</v>
      </c>
      <c r="C152" s="4" t="inlineStr">
        <is>
          <t>Fase de grupos</t>
        </is>
      </c>
      <c r="D152" s="4" t="inlineStr">
        <is>
          <t>B</t>
        </is>
      </c>
      <c r="E152" s="4" t="n">
        <v>3</v>
      </c>
      <c r="F152" s="14" t="n">
        <v>46197</v>
      </c>
      <c r="G152" s="4" t="inlineStr">
        <is>
          <t>Switzerland</t>
        </is>
      </c>
      <c r="H152" s="4" t="inlineStr">
        <is>
          <t>Canada</t>
        </is>
      </c>
      <c r="I152" s="4" t="n">
        <v>2</v>
      </c>
      <c r="J152" s="4" t="n">
        <v>1</v>
      </c>
      <c r="K152" s="6">
        <f>IF(OR(I152="",J152=""),"",I152&amp;"-"&amp;J152)</f>
        <v/>
      </c>
      <c r="L152" s="6">
        <f>IF(OR(I152="",J152=""),"",IF(I152&gt;J152,"Gana",IF(I152=J152,"Empata","Pierde")))</f>
        <v/>
      </c>
      <c r="M152" s="4" t="b">
        <v>0</v>
      </c>
      <c r="N152" s="4" t="b">
        <v>1</v>
      </c>
      <c r="O152" s="6">
        <f>IF(OR(I152="",J152=""),"",I152+J152)</f>
        <v/>
      </c>
      <c r="P152" s="6">
        <f>IF(OR(I152="",J152=""),"",I152-J152)</f>
        <v/>
      </c>
      <c r="Q152" s="6">
        <f>IF(L152="","",IF(L152="Gana",3,IF(L152="Empata",1,0)))</f>
        <v/>
      </c>
      <c r="R152" s="6">
        <f>IF(L152="","",IF(L152="Pierde",3,IF(L152="Empata",1,0)))</f>
        <v/>
      </c>
      <c r="S152" s="4" t="inlineStr">
        <is>
          <t>https://en.wikipedia.org/wiki/2026_FIFA_World_Cup_Group_B</t>
        </is>
      </c>
    </row>
    <row r="153">
      <c r="A153" s="4" t="inlineStr">
        <is>
          <t>M-2026-012</t>
        </is>
      </c>
      <c r="B153" s="4" t="n">
        <v>2026</v>
      </c>
      <c r="C153" s="4" t="inlineStr">
        <is>
          <t>Fase de grupos</t>
        </is>
      </c>
      <c r="D153" s="4" t="inlineStr">
        <is>
          <t>B</t>
        </is>
      </c>
      <c r="E153" s="4" t="n">
        <v>3</v>
      </c>
      <c r="F153" s="14" t="n">
        <v>46197</v>
      </c>
      <c r="G153" s="4" t="inlineStr">
        <is>
          <t>Bosnia and Herzegovina</t>
        </is>
      </c>
      <c r="H153" s="4" t="inlineStr">
        <is>
          <t>Qatar</t>
        </is>
      </c>
      <c r="I153" s="4" t="n">
        <v>3</v>
      </c>
      <c r="J153" s="4" t="n">
        <v>1</v>
      </c>
      <c r="K153" s="6">
        <f>IF(OR(I153="",J153=""),"",I153&amp;"-"&amp;J153)</f>
        <v/>
      </c>
      <c r="L153" s="6">
        <f>IF(OR(I153="",J153=""),"",IF(I153&gt;J153,"Gana",IF(I153=J153,"Empata","Pierde")))</f>
        <v/>
      </c>
      <c r="M153" s="4" t="b">
        <v>0</v>
      </c>
      <c r="N153" s="4" t="b">
        <v>0</v>
      </c>
      <c r="O153" s="6">
        <f>IF(OR(I153="",J153=""),"",I153+J153)</f>
        <v/>
      </c>
      <c r="P153" s="6">
        <f>IF(OR(I153="",J153=""),"",I153-J153)</f>
        <v/>
      </c>
      <c r="Q153" s="6">
        <f>IF(L153="","",IF(L153="Gana",3,IF(L153="Empata",1,0)))</f>
        <v/>
      </c>
      <c r="R153" s="6">
        <f>IF(L153="","",IF(L153="Pierde",3,IF(L153="Empata",1,0)))</f>
        <v/>
      </c>
      <c r="S153" s="4" t="inlineStr">
        <is>
          <t>https://en.wikipedia.org/wiki/2026_FIFA_World_Cup_Group_B</t>
        </is>
      </c>
    </row>
    <row r="154">
      <c r="A154" s="4" t="inlineStr">
        <is>
          <t>M-2026-017</t>
        </is>
      </c>
      <c r="B154" s="4" t="n">
        <v>2026</v>
      </c>
      <c r="C154" s="4" t="inlineStr">
        <is>
          <t>Fase de grupos</t>
        </is>
      </c>
      <c r="D154" s="4" t="inlineStr">
        <is>
          <t>C</t>
        </is>
      </c>
      <c r="E154" s="4" t="n">
        <v>3</v>
      </c>
      <c r="F154" s="14" t="n">
        <v>46198</v>
      </c>
      <c r="G154" s="4" t="inlineStr">
        <is>
          <t>Scotland</t>
        </is>
      </c>
      <c r="H154" s="4" t="inlineStr">
        <is>
          <t>Brazil</t>
        </is>
      </c>
      <c r="I154" s="4" t="n">
        <v>0</v>
      </c>
      <c r="J154" s="4" t="n">
        <v>3</v>
      </c>
      <c r="K154" s="6">
        <f>IF(OR(I154="",J154=""),"",I154&amp;"-"&amp;J154)</f>
        <v/>
      </c>
      <c r="L154" s="6">
        <f>IF(OR(I154="",J154=""),"",IF(I154&gt;J154,"Gana",IF(I154=J154,"Empata","Pierde")))</f>
        <v/>
      </c>
      <c r="M154" s="4" t="b">
        <v>0</v>
      </c>
      <c r="N154" s="4" t="b">
        <v>0</v>
      </c>
      <c r="O154" s="6">
        <f>IF(OR(I154="",J154=""),"",I154+J154)</f>
        <v/>
      </c>
      <c r="P154" s="6">
        <f>IF(OR(I154="",J154=""),"",I154-J154)</f>
        <v/>
      </c>
      <c r="Q154" s="6">
        <f>IF(L154="","",IF(L154="Gana",3,IF(L154="Empata",1,0)))</f>
        <v/>
      </c>
      <c r="R154" s="6">
        <f>IF(L154="","",IF(L154="Pierde",3,IF(L154="Empata",1,0)))</f>
        <v/>
      </c>
      <c r="S154" s="4" t="inlineStr">
        <is>
          <t>https://en.wikipedia.org/wiki/2026_FIFA_World_Cup_Group_C</t>
        </is>
      </c>
    </row>
    <row r="155">
      <c r="A155" s="4" t="inlineStr">
        <is>
          <t>M-2026-018</t>
        </is>
      </c>
      <c r="B155" s="4" t="n">
        <v>2026</v>
      </c>
      <c r="C155" s="4" t="inlineStr">
        <is>
          <t>Fase de grupos</t>
        </is>
      </c>
      <c r="D155" s="4" t="inlineStr">
        <is>
          <t>C</t>
        </is>
      </c>
      <c r="E155" s="4" t="n">
        <v>3</v>
      </c>
      <c r="F155" s="14" t="n">
        <v>46198</v>
      </c>
      <c r="G155" s="4" t="inlineStr">
        <is>
          <t>Morocco</t>
        </is>
      </c>
      <c r="H155" s="4" t="inlineStr">
        <is>
          <t>Haiti</t>
        </is>
      </c>
      <c r="I155" s="4" t="n">
        <v>4</v>
      </c>
      <c r="J155" s="4" t="n">
        <v>2</v>
      </c>
      <c r="K155" s="6">
        <f>IF(OR(I155="",J155=""),"",I155&amp;"-"&amp;J155)</f>
        <v/>
      </c>
      <c r="L155" s="6">
        <f>IF(OR(I155="",J155=""),"",IF(I155&gt;J155,"Gana",IF(I155=J155,"Empata","Pierde")))</f>
        <v/>
      </c>
      <c r="M155" s="4" t="b">
        <v>0</v>
      </c>
      <c r="N155" s="4" t="b">
        <v>0</v>
      </c>
      <c r="O155" s="6">
        <f>IF(OR(I155="",J155=""),"",I155+J155)</f>
        <v/>
      </c>
      <c r="P155" s="6">
        <f>IF(OR(I155="",J155=""),"",I155-J155)</f>
        <v/>
      </c>
      <c r="Q155" s="6">
        <f>IF(L155="","",IF(L155="Gana",3,IF(L155="Empata",1,0)))</f>
        <v/>
      </c>
      <c r="R155" s="6">
        <f>IF(L155="","",IF(L155="Pierde",3,IF(L155="Empata",1,0)))</f>
        <v/>
      </c>
      <c r="S155" s="4" t="inlineStr">
        <is>
          <t>https://en.wikipedia.org/wiki/2026_FIFA_World_Cup_Group_C</t>
        </is>
      </c>
    </row>
    <row r="156">
      <c r="A156" s="4" t="inlineStr">
        <is>
          <t>M-2026-023</t>
        </is>
      </c>
      <c r="B156" s="4" t="n">
        <v>2026</v>
      </c>
      <c r="C156" s="4" t="inlineStr">
        <is>
          <t>Fase de grupos</t>
        </is>
      </c>
      <c r="D156" s="4" t="inlineStr">
        <is>
          <t>D</t>
        </is>
      </c>
      <c r="E156" s="4" t="n">
        <v>3</v>
      </c>
      <c r="F156" s="14" t="n">
        <v>46198</v>
      </c>
      <c r="G156" s="4" t="inlineStr">
        <is>
          <t>Turkey</t>
        </is>
      </c>
      <c r="H156" s="4" t="inlineStr">
        <is>
          <t>United States</t>
        </is>
      </c>
      <c r="I156" s="4" t="n">
        <v>3</v>
      </c>
      <c r="J156" s="4" t="n">
        <v>2</v>
      </c>
      <c r="K156" s="6">
        <f>IF(OR(I156="",J156=""),"",I156&amp;"-"&amp;J156)</f>
        <v/>
      </c>
      <c r="L156" s="6">
        <f>IF(OR(I156="",J156=""),"",IF(I156&gt;J156,"Gana",IF(I156=J156,"Empata","Pierde")))</f>
        <v/>
      </c>
      <c r="M156" s="4" t="b">
        <v>0</v>
      </c>
      <c r="N156" s="4" t="b">
        <v>1</v>
      </c>
      <c r="O156" s="6">
        <f>IF(OR(I156="",J156=""),"",I156+J156)</f>
        <v/>
      </c>
      <c r="P156" s="6">
        <f>IF(OR(I156="",J156=""),"",I156-J156)</f>
        <v/>
      </c>
      <c r="Q156" s="6">
        <f>IF(L156="","",IF(L156="Gana",3,IF(L156="Empata",1,0)))</f>
        <v/>
      </c>
      <c r="R156" s="6">
        <f>IF(L156="","",IF(L156="Pierde",3,IF(L156="Empata",1,0)))</f>
        <v/>
      </c>
      <c r="S156" s="4" t="inlineStr">
        <is>
          <t>https://en.wikipedia.org/wiki/2026_FIFA_World_Cup_Group_D</t>
        </is>
      </c>
    </row>
    <row r="157">
      <c r="A157" s="4" t="inlineStr">
        <is>
          <t>M-2026-024</t>
        </is>
      </c>
      <c r="B157" s="4" t="n">
        <v>2026</v>
      </c>
      <c r="C157" s="4" t="inlineStr">
        <is>
          <t>Fase de grupos</t>
        </is>
      </c>
      <c r="D157" s="4" t="inlineStr">
        <is>
          <t>D</t>
        </is>
      </c>
      <c r="E157" s="4" t="n">
        <v>3</v>
      </c>
      <c r="F157" s="14" t="n"/>
      <c r="G157" s="4" t="inlineStr">
        <is>
          <t>Paraguay</t>
        </is>
      </c>
      <c r="H157" s="4" t="inlineStr">
        <is>
          <t>Australia</t>
        </is>
      </c>
      <c r="I157" s="4" t="n">
        <v>0</v>
      </c>
      <c r="J157" s="4" t="n">
        <v>0</v>
      </c>
      <c r="K157" s="6">
        <f>IF(OR(I157="",J157=""),"",I157&amp;"-"&amp;J157)</f>
        <v/>
      </c>
      <c r="L157" s="6">
        <f>IF(OR(I157="",J157=""),"",IF(I157&gt;J157,"Gana",IF(I157=J157,"Empata","Pierde")))</f>
        <v/>
      </c>
      <c r="M157" s="4" t="b">
        <v>0</v>
      </c>
      <c r="N157" s="4" t="b">
        <v>0</v>
      </c>
      <c r="O157" s="6">
        <f>IF(OR(I157="",J157=""),"",I157+J157)</f>
        <v/>
      </c>
      <c r="P157" s="6">
        <f>IF(OR(I157="",J157=""),"",I157-J157)</f>
        <v/>
      </c>
      <c r="Q157" s="6">
        <f>IF(L157="","",IF(L157="Gana",3,IF(L157="Empata",1,0)))</f>
        <v/>
      </c>
      <c r="R157" s="6">
        <f>IF(L157="","",IF(L157="Pierde",3,IF(L157="Empata",1,0)))</f>
        <v/>
      </c>
      <c r="S157" s="4" t="inlineStr">
        <is>
          <t>https://en.wikipedia.org/wiki/2026_FIFA_World_Cup_Group_D</t>
        </is>
      </c>
    </row>
    <row r="158">
      <c r="A158" s="4" t="inlineStr">
        <is>
          <t>M-2026-029</t>
        </is>
      </c>
      <c r="B158" s="4" t="n">
        <v>2026</v>
      </c>
      <c r="C158" s="4" t="inlineStr">
        <is>
          <t>Fase de grupos</t>
        </is>
      </c>
      <c r="D158" s="4" t="inlineStr">
        <is>
          <t>E</t>
        </is>
      </c>
      <c r="E158" s="4" t="n">
        <v>3</v>
      </c>
      <c r="F158" s="14" t="n">
        <v>46198</v>
      </c>
      <c r="G158" s="4" t="inlineStr">
        <is>
          <t>Curacao</t>
        </is>
      </c>
      <c r="H158" s="4" t="inlineStr">
        <is>
          <t>Ivory Coast</t>
        </is>
      </c>
      <c r="I158" s="4" t="n">
        <v>0</v>
      </c>
      <c r="J158" s="4" t="n">
        <v>2</v>
      </c>
      <c r="K158" s="6">
        <f>IF(OR(I158="",J158=""),"",I158&amp;"-"&amp;J158)</f>
        <v/>
      </c>
      <c r="L158" s="6">
        <f>IF(OR(I158="",J158=""),"",IF(I158&gt;J158,"Gana",IF(I158=J158,"Empata","Pierde")))</f>
        <v/>
      </c>
      <c r="M158" s="4" t="b">
        <v>0</v>
      </c>
      <c r="N158" s="4" t="b">
        <v>0</v>
      </c>
      <c r="O158" s="6">
        <f>IF(OR(I158="",J158=""),"",I158+J158)</f>
        <v/>
      </c>
      <c r="P158" s="6">
        <f>IF(OR(I158="",J158=""),"",I158-J158)</f>
        <v/>
      </c>
      <c r="Q158" s="6">
        <f>IF(L158="","",IF(L158="Gana",3,IF(L158="Empata",1,0)))</f>
        <v/>
      </c>
      <c r="R158" s="6">
        <f>IF(L158="","",IF(L158="Pierde",3,IF(L158="Empata",1,0)))</f>
        <v/>
      </c>
      <c r="S158" s="4" t="inlineStr">
        <is>
          <t>https://en.wikipedia.org/wiki/2026_FIFA_World_Cup_Group_E</t>
        </is>
      </c>
    </row>
    <row r="159">
      <c r="A159" s="4" t="inlineStr">
        <is>
          <t>M-2026-030</t>
        </is>
      </c>
      <c r="B159" s="4" t="n">
        <v>2026</v>
      </c>
      <c r="C159" s="4" t="inlineStr">
        <is>
          <t>Fase de grupos</t>
        </is>
      </c>
      <c r="D159" s="4" t="inlineStr">
        <is>
          <t>E</t>
        </is>
      </c>
      <c r="E159" s="4" t="n">
        <v>3</v>
      </c>
      <c r="F159" s="14" t="n">
        <v>46198</v>
      </c>
      <c r="G159" s="4" t="inlineStr">
        <is>
          <t>Ecuador</t>
        </is>
      </c>
      <c r="H159" s="4" t="inlineStr">
        <is>
          <t>Germany</t>
        </is>
      </c>
      <c r="I159" s="4" t="n">
        <v>2</v>
      </c>
      <c r="J159" s="4" t="n">
        <v>1</v>
      </c>
      <c r="K159" s="6">
        <f>IF(OR(I159="",J159=""),"",I159&amp;"-"&amp;J159)</f>
        <v/>
      </c>
      <c r="L159" s="6">
        <f>IF(OR(I159="",J159=""),"",IF(I159&gt;J159,"Gana",IF(I159=J159,"Empata","Pierde")))</f>
        <v/>
      </c>
      <c r="M159" s="4" t="b">
        <v>0</v>
      </c>
      <c r="N159" s="4" t="b">
        <v>0</v>
      </c>
      <c r="O159" s="6">
        <f>IF(OR(I159="",J159=""),"",I159+J159)</f>
        <v/>
      </c>
      <c r="P159" s="6">
        <f>IF(OR(I159="",J159=""),"",I159-J159)</f>
        <v/>
      </c>
      <c r="Q159" s="6">
        <f>IF(L159="","",IF(L159="Gana",3,IF(L159="Empata",1,0)))</f>
        <v/>
      </c>
      <c r="R159" s="6">
        <f>IF(L159="","",IF(L159="Pierde",3,IF(L159="Empata",1,0)))</f>
        <v/>
      </c>
      <c r="S159" s="4" t="inlineStr">
        <is>
          <t>https://en.wikipedia.org/wiki/2026_FIFA_World_Cup_Group_E</t>
        </is>
      </c>
    </row>
    <row r="160">
      <c r="A160" s="4" t="inlineStr">
        <is>
          <t>M-2026-035</t>
        </is>
      </c>
      <c r="B160" s="4" t="n">
        <v>2026</v>
      </c>
      <c r="C160" s="4" t="inlineStr">
        <is>
          <t>Fase de grupos</t>
        </is>
      </c>
      <c r="D160" s="4" t="inlineStr">
        <is>
          <t>F</t>
        </is>
      </c>
      <c r="E160" s="4" t="n">
        <v>3</v>
      </c>
      <c r="F160" s="14" t="n">
        <v>46199</v>
      </c>
      <c r="G160" s="4" t="inlineStr">
        <is>
          <t>Japan</t>
        </is>
      </c>
      <c r="H160" s="4" t="inlineStr">
        <is>
          <t>Sweden</t>
        </is>
      </c>
      <c r="I160" s="4" t="n">
        <v>1</v>
      </c>
      <c r="J160" s="4" t="n">
        <v>1</v>
      </c>
      <c r="K160" s="6">
        <f>IF(OR(I160="",J160=""),"",I160&amp;"-"&amp;J160)</f>
        <v/>
      </c>
      <c r="L160" s="6">
        <f>IF(OR(I160="",J160=""),"",IF(I160&gt;J160,"Gana",IF(I160=J160,"Empata","Pierde")))</f>
        <v/>
      </c>
      <c r="M160" s="4" t="b">
        <v>0</v>
      </c>
      <c r="N160" s="4" t="b">
        <v>0</v>
      </c>
      <c r="O160" s="6">
        <f>IF(OR(I160="",J160=""),"",I160+J160)</f>
        <v/>
      </c>
      <c r="P160" s="6">
        <f>IF(OR(I160="",J160=""),"",I160-J160)</f>
        <v/>
      </c>
      <c r="Q160" s="6">
        <f>IF(L160="","",IF(L160="Gana",3,IF(L160="Empata",1,0)))</f>
        <v/>
      </c>
      <c r="R160" s="6">
        <f>IF(L160="","",IF(L160="Pierde",3,IF(L160="Empata",1,0)))</f>
        <v/>
      </c>
      <c r="S160" s="4" t="inlineStr">
        <is>
          <t>https://en.wikipedia.org/wiki/2026_FIFA_World_Cup_Group_F</t>
        </is>
      </c>
    </row>
    <row r="161">
      <c r="A161" s="4" t="inlineStr">
        <is>
          <t>M-2026-036</t>
        </is>
      </c>
      <c r="B161" s="4" t="n">
        <v>2026</v>
      </c>
      <c r="C161" s="4" t="inlineStr">
        <is>
          <t>Fase de grupos</t>
        </is>
      </c>
      <c r="D161" s="4" t="inlineStr">
        <is>
          <t>F</t>
        </is>
      </c>
      <c r="E161" s="4" t="n">
        <v>3</v>
      </c>
      <c r="F161" s="14" t="n">
        <v>46199</v>
      </c>
      <c r="G161" s="4" t="inlineStr">
        <is>
          <t>Tunisia</t>
        </is>
      </c>
      <c r="H161" s="4" t="inlineStr">
        <is>
          <t>Netherlands</t>
        </is>
      </c>
      <c r="I161" s="4" t="n">
        <v>1</v>
      </c>
      <c r="J161" s="4" t="n">
        <v>3</v>
      </c>
      <c r="K161" s="6">
        <f>IF(OR(I161="",J161=""),"",I161&amp;"-"&amp;J161)</f>
        <v/>
      </c>
      <c r="L161" s="6">
        <f>IF(OR(I161="",J161=""),"",IF(I161&gt;J161,"Gana",IF(I161=J161,"Empata","Pierde")))</f>
        <v/>
      </c>
      <c r="M161" s="4" t="b">
        <v>0</v>
      </c>
      <c r="N161" s="4" t="b">
        <v>0</v>
      </c>
      <c r="O161" s="6">
        <f>IF(OR(I161="",J161=""),"",I161+J161)</f>
        <v/>
      </c>
      <c r="P161" s="6">
        <f>IF(OR(I161="",J161=""),"",I161-J161)</f>
        <v/>
      </c>
      <c r="Q161" s="6">
        <f>IF(L161="","",IF(L161="Gana",3,IF(L161="Empata",1,0)))</f>
        <v/>
      </c>
      <c r="R161" s="6">
        <f>IF(L161="","",IF(L161="Pierde",3,IF(L161="Empata",1,0)))</f>
        <v/>
      </c>
      <c r="S161" s="4" t="inlineStr">
        <is>
          <t>https://en.wikipedia.org/wiki/2026_FIFA_World_Cup_Group_F</t>
        </is>
      </c>
    </row>
    <row r="162">
      <c r="A162" s="4" t="inlineStr">
        <is>
          <t>M-2026-041</t>
        </is>
      </c>
      <c r="B162" s="4" t="n">
        <v>2026</v>
      </c>
      <c r="C162" s="4" t="inlineStr">
        <is>
          <t>Fase de grupos</t>
        </is>
      </c>
      <c r="D162" s="4" t="inlineStr">
        <is>
          <t>G</t>
        </is>
      </c>
      <c r="E162" s="4" t="n">
        <v>3</v>
      </c>
      <c r="F162" s="14" t="n">
        <v>46199</v>
      </c>
      <c r="G162" s="4" t="inlineStr">
        <is>
          <t>Egypt</t>
        </is>
      </c>
      <c r="H162" s="4" t="inlineStr">
        <is>
          <t>Iran</t>
        </is>
      </c>
      <c r="I162" s="4" t="n">
        <v>1</v>
      </c>
      <c r="J162" s="4" t="n">
        <v>1</v>
      </c>
      <c r="K162" s="6">
        <f>IF(OR(I162="",J162=""),"",I162&amp;"-"&amp;J162)</f>
        <v/>
      </c>
      <c r="L162" s="6">
        <f>IF(OR(I162="",J162=""),"",IF(I162&gt;J162,"Gana",IF(I162=J162,"Empata","Pierde")))</f>
        <v/>
      </c>
      <c r="M162" s="4" t="b">
        <v>0</v>
      </c>
      <c r="N162" s="4" t="b">
        <v>0</v>
      </c>
      <c r="O162" s="6">
        <f>IF(OR(I162="",J162=""),"",I162+J162)</f>
        <v/>
      </c>
      <c r="P162" s="6">
        <f>IF(OR(I162="",J162=""),"",I162-J162)</f>
        <v/>
      </c>
      <c r="Q162" s="6">
        <f>IF(L162="","",IF(L162="Gana",3,IF(L162="Empata",1,0)))</f>
        <v/>
      </c>
      <c r="R162" s="6">
        <f>IF(L162="","",IF(L162="Pierde",3,IF(L162="Empata",1,0)))</f>
        <v/>
      </c>
      <c r="S162" s="4" t="inlineStr">
        <is>
          <t>https://en.wikipedia.org/wiki/2026_FIFA_World_Cup_Group_G</t>
        </is>
      </c>
    </row>
    <row r="163">
      <c r="A163" s="4" t="inlineStr">
        <is>
          <t>M-2026-042</t>
        </is>
      </c>
      <c r="B163" s="4" t="n">
        <v>2026</v>
      </c>
      <c r="C163" s="4" t="inlineStr">
        <is>
          <t>Fase de grupos</t>
        </is>
      </c>
      <c r="D163" s="4" t="inlineStr">
        <is>
          <t>G</t>
        </is>
      </c>
      <c r="E163" s="4" t="n">
        <v>3</v>
      </c>
      <c r="F163" s="14" t="n">
        <v>46199</v>
      </c>
      <c r="G163" s="4" t="inlineStr">
        <is>
          <t>New Zealand</t>
        </is>
      </c>
      <c r="H163" s="4" t="inlineStr">
        <is>
          <t>Belgium</t>
        </is>
      </c>
      <c r="I163" s="4" t="n">
        <v>1</v>
      </c>
      <c r="J163" s="4" t="n">
        <v>5</v>
      </c>
      <c r="K163" s="6">
        <f>IF(OR(I163="",J163=""),"",I163&amp;"-"&amp;J163)</f>
        <v/>
      </c>
      <c r="L163" s="6">
        <f>IF(OR(I163="",J163=""),"",IF(I163&gt;J163,"Gana",IF(I163=J163,"Empata","Pierde")))</f>
        <v/>
      </c>
      <c r="M163" s="4" t="b">
        <v>0</v>
      </c>
      <c r="N163" s="4" t="b">
        <v>0</v>
      </c>
      <c r="O163" s="6">
        <f>IF(OR(I163="",J163=""),"",I163+J163)</f>
        <v/>
      </c>
      <c r="P163" s="6">
        <f>IF(OR(I163="",J163=""),"",I163-J163)</f>
        <v/>
      </c>
      <c r="Q163" s="6">
        <f>IF(L163="","",IF(L163="Gana",3,IF(L163="Empata",1,0)))</f>
        <v/>
      </c>
      <c r="R163" s="6">
        <f>IF(L163="","",IF(L163="Pierde",3,IF(L163="Empata",1,0)))</f>
        <v/>
      </c>
      <c r="S163" s="4" t="inlineStr">
        <is>
          <t>https://en.wikipedia.org/wiki/2026_FIFA_World_Cup_Group_G</t>
        </is>
      </c>
    </row>
    <row r="164">
      <c r="A164" s="4" t="inlineStr">
        <is>
          <t>M-2026-047</t>
        </is>
      </c>
      <c r="B164" s="4" t="n">
        <v>2026</v>
      </c>
      <c r="C164" s="4" t="inlineStr">
        <is>
          <t>Fase de grupos</t>
        </is>
      </c>
      <c r="D164" s="4" t="inlineStr">
        <is>
          <t>H</t>
        </is>
      </c>
      <c r="E164" s="4" t="n">
        <v>3</v>
      </c>
      <c r="F164" s="14" t="n">
        <v>46199</v>
      </c>
      <c r="G164" s="4" t="inlineStr">
        <is>
          <t>Cape Verde</t>
        </is>
      </c>
      <c r="H164" s="4" t="inlineStr">
        <is>
          <t>Saudi Arabia</t>
        </is>
      </c>
      <c r="I164" s="4" t="n">
        <v>0</v>
      </c>
      <c r="J164" s="4" t="n">
        <v>0</v>
      </c>
      <c r="K164" s="6">
        <f>IF(OR(I164="",J164=""),"",I164&amp;"-"&amp;J164)</f>
        <v/>
      </c>
      <c r="L164" s="6">
        <f>IF(OR(I164="",J164=""),"",IF(I164&gt;J164,"Gana",IF(I164=J164,"Empata","Pierde")))</f>
        <v/>
      </c>
      <c r="M164" s="4" t="b">
        <v>0</v>
      </c>
      <c r="N164" s="4" t="b">
        <v>0</v>
      </c>
      <c r="O164" s="6">
        <f>IF(OR(I164="",J164=""),"",I164+J164)</f>
        <v/>
      </c>
      <c r="P164" s="6">
        <f>IF(OR(I164="",J164=""),"",I164-J164)</f>
        <v/>
      </c>
      <c r="Q164" s="6">
        <f>IF(L164="","",IF(L164="Gana",3,IF(L164="Empata",1,0)))</f>
        <v/>
      </c>
      <c r="R164" s="6">
        <f>IF(L164="","",IF(L164="Pierde",3,IF(L164="Empata",1,0)))</f>
        <v/>
      </c>
      <c r="S164" s="4" t="inlineStr">
        <is>
          <t>https://en.wikipedia.org/wiki/2026_FIFA_World_Cup_Group_H</t>
        </is>
      </c>
    </row>
    <row r="165">
      <c r="A165" s="4" t="inlineStr">
        <is>
          <t>M-2026-048</t>
        </is>
      </c>
      <c r="B165" s="4" t="n">
        <v>2026</v>
      </c>
      <c r="C165" s="4" t="inlineStr">
        <is>
          <t>Fase de grupos</t>
        </is>
      </c>
      <c r="D165" s="4" t="inlineStr">
        <is>
          <t>H</t>
        </is>
      </c>
      <c r="E165" s="4" t="n">
        <v>3</v>
      </c>
      <c r="F165" s="14" t="n">
        <v>46199</v>
      </c>
      <c r="G165" s="4" t="inlineStr">
        <is>
          <t>Uruguay</t>
        </is>
      </c>
      <c r="H165" s="4" t="inlineStr">
        <is>
          <t>Spain</t>
        </is>
      </c>
      <c r="I165" s="4" t="n">
        <v>0</v>
      </c>
      <c r="J165" s="4" t="n">
        <v>1</v>
      </c>
      <c r="K165" s="6">
        <f>IF(OR(I165="",J165=""),"",I165&amp;"-"&amp;J165)</f>
        <v/>
      </c>
      <c r="L165" s="6">
        <f>IF(OR(I165="",J165=""),"",IF(I165&gt;J165,"Gana",IF(I165=J165,"Empata","Pierde")))</f>
        <v/>
      </c>
      <c r="M165" s="4" t="b">
        <v>0</v>
      </c>
      <c r="N165" s="4" t="b">
        <v>0</v>
      </c>
      <c r="O165" s="6">
        <f>IF(OR(I165="",J165=""),"",I165+J165)</f>
        <v/>
      </c>
      <c r="P165" s="6">
        <f>IF(OR(I165="",J165=""),"",I165-J165)</f>
        <v/>
      </c>
      <c r="Q165" s="6">
        <f>IF(L165="","",IF(L165="Gana",3,IF(L165="Empata",1,0)))</f>
        <v/>
      </c>
      <c r="R165" s="6">
        <f>IF(L165="","",IF(L165="Pierde",3,IF(L165="Empata",1,0)))</f>
        <v/>
      </c>
      <c r="S165" s="4" t="inlineStr">
        <is>
          <t>https://en.wikipedia.org/wiki/2026_FIFA_World_Cup_Group_H</t>
        </is>
      </c>
    </row>
    <row r="166">
      <c r="A166" s="4" t="inlineStr">
        <is>
          <t>M-2026-053</t>
        </is>
      </c>
      <c r="B166" s="4" t="n">
        <v>2026</v>
      </c>
      <c r="C166" s="4" t="inlineStr">
        <is>
          <t>Fase de grupos</t>
        </is>
      </c>
      <c r="D166" s="4" t="inlineStr">
        <is>
          <t>I</t>
        </is>
      </c>
      <c r="E166" s="4" t="n">
        <v>3</v>
      </c>
      <c r="F166" s="14" t="n">
        <v>46199</v>
      </c>
      <c r="G166" s="4" t="inlineStr">
        <is>
          <t>Norway</t>
        </is>
      </c>
      <c r="H166" s="4" t="inlineStr">
        <is>
          <t>France</t>
        </is>
      </c>
      <c r="I166" s="4" t="n">
        <v>1</v>
      </c>
      <c r="J166" s="4" t="n">
        <v>4</v>
      </c>
      <c r="K166" s="6">
        <f>IF(OR(I166="",J166=""),"",I166&amp;"-"&amp;J166)</f>
        <v/>
      </c>
      <c r="L166" s="6">
        <f>IF(OR(I166="",J166=""),"",IF(I166&gt;J166,"Gana",IF(I166=J166,"Empata","Pierde")))</f>
        <v/>
      </c>
      <c r="M166" s="4" t="b">
        <v>0</v>
      </c>
      <c r="N166" s="4" t="b">
        <v>0</v>
      </c>
      <c r="O166" s="6">
        <f>IF(OR(I166="",J166=""),"",I166+J166)</f>
        <v/>
      </c>
      <c r="P166" s="6">
        <f>IF(OR(I166="",J166=""),"",I166-J166)</f>
        <v/>
      </c>
      <c r="Q166" s="6">
        <f>IF(L166="","",IF(L166="Gana",3,IF(L166="Empata",1,0)))</f>
        <v/>
      </c>
      <c r="R166" s="6">
        <f>IF(L166="","",IF(L166="Pierde",3,IF(L166="Empata",1,0)))</f>
        <v/>
      </c>
      <c r="S166" s="4" t="inlineStr">
        <is>
          <t>https://en.wikipedia.org/wiki/2026_FIFA_World_Cup_Group_I</t>
        </is>
      </c>
    </row>
    <row r="167">
      <c r="A167" s="4" t="inlineStr">
        <is>
          <t>M-2026-054</t>
        </is>
      </c>
      <c r="B167" s="4" t="n">
        <v>2026</v>
      </c>
      <c r="C167" s="4" t="inlineStr">
        <is>
          <t>Fase de grupos</t>
        </is>
      </c>
      <c r="D167" s="4" t="inlineStr">
        <is>
          <t>I</t>
        </is>
      </c>
      <c r="E167" s="4" t="n">
        <v>3</v>
      </c>
      <c r="F167" s="14" t="n">
        <v>46199</v>
      </c>
      <c r="G167" s="4" t="inlineStr">
        <is>
          <t>Senegal</t>
        </is>
      </c>
      <c r="H167" s="4" t="inlineStr">
        <is>
          <t>Iraq</t>
        </is>
      </c>
      <c r="I167" s="4" t="n">
        <v>5</v>
      </c>
      <c r="J167" s="4" t="n">
        <v>0</v>
      </c>
      <c r="K167" s="6">
        <f>IF(OR(I167="",J167=""),"",I167&amp;"-"&amp;J167)</f>
        <v/>
      </c>
      <c r="L167" s="6">
        <f>IF(OR(I167="",J167=""),"",IF(I167&gt;J167,"Gana",IF(I167=J167,"Empata","Pierde")))</f>
        <v/>
      </c>
      <c r="M167" s="4" t="b">
        <v>0</v>
      </c>
      <c r="N167" s="4" t="b">
        <v>0</v>
      </c>
      <c r="O167" s="6">
        <f>IF(OR(I167="",J167=""),"",I167+J167)</f>
        <v/>
      </c>
      <c r="P167" s="6">
        <f>IF(OR(I167="",J167=""),"",I167-J167)</f>
        <v/>
      </c>
      <c r="Q167" s="6">
        <f>IF(L167="","",IF(L167="Gana",3,IF(L167="Empata",1,0)))</f>
        <v/>
      </c>
      <c r="R167" s="6">
        <f>IF(L167="","",IF(L167="Pierde",3,IF(L167="Empata",1,0)))</f>
        <v/>
      </c>
      <c r="S167" s="4" t="inlineStr">
        <is>
          <t>https://en.wikipedia.org/wiki/2026_FIFA_World_Cup_Group_I</t>
        </is>
      </c>
    </row>
    <row r="168">
      <c r="A168" s="4" t="inlineStr">
        <is>
          <t>M-2026-059</t>
        </is>
      </c>
      <c r="B168" s="4" t="n">
        <v>2026</v>
      </c>
      <c r="C168" s="4" t="inlineStr">
        <is>
          <t>Fase de grupos</t>
        </is>
      </c>
      <c r="D168" s="4" t="inlineStr">
        <is>
          <t>J</t>
        </is>
      </c>
      <c r="E168" s="4" t="n">
        <v>3</v>
      </c>
      <c r="F168" s="14" t="n">
        <v>46200</v>
      </c>
      <c r="G168" s="4" t="inlineStr">
        <is>
          <t>Algeria</t>
        </is>
      </c>
      <c r="H168" s="4" t="inlineStr">
        <is>
          <t>Austria</t>
        </is>
      </c>
      <c r="I168" s="4" t="n">
        <v>3</v>
      </c>
      <c r="J168" s="4" t="n">
        <v>3</v>
      </c>
      <c r="K168" s="6">
        <f>IF(OR(I168="",J168=""),"",I168&amp;"-"&amp;J168)</f>
        <v/>
      </c>
      <c r="L168" s="6">
        <f>IF(OR(I168="",J168=""),"",IF(I168&gt;J168,"Gana",IF(I168=J168,"Empata","Pierde")))</f>
        <v/>
      </c>
      <c r="M168" s="4" t="b">
        <v>0</v>
      </c>
      <c r="N168" s="4" t="b">
        <v>0</v>
      </c>
      <c r="O168" s="6">
        <f>IF(OR(I168="",J168=""),"",I168+J168)</f>
        <v/>
      </c>
      <c r="P168" s="6">
        <f>IF(OR(I168="",J168=""),"",I168-J168)</f>
        <v/>
      </c>
      <c r="Q168" s="6">
        <f>IF(L168="","",IF(L168="Gana",3,IF(L168="Empata",1,0)))</f>
        <v/>
      </c>
      <c r="R168" s="6">
        <f>IF(L168="","",IF(L168="Pierde",3,IF(L168="Empata",1,0)))</f>
        <v/>
      </c>
      <c r="S168" s="4" t="inlineStr">
        <is>
          <t>https://en.wikipedia.org/wiki/2026_FIFA_World_Cup_Group_J</t>
        </is>
      </c>
    </row>
    <row r="169">
      <c r="A169" s="4" t="inlineStr">
        <is>
          <t>M-2026-060</t>
        </is>
      </c>
      <c r="B169" s="4" t="n">
        <v>2026</v>
      </c>
      <c r="C169" s="4" t="inlineStr">
        <is>
          <t>Fase de grupos</t>
        </is>
      </c>
      <c r="D169" s="4" t="inlineStr">
        <is>
          <t>J</t>
        </is>
      </c>
      <c r="E169" s="4" t="n">
        <v>3</v>
      </c>
      <c r="F169" s="14" t="n">
        <v>46200</v>
      </c>
      <c r="G169" s="4" t="inlineStr">
        <is>
          <t>Jordan</t>
        </is>
      </c>
      <c r="H169" s="4" t="inlineStr">
        <is>
          <t>Argentina</t>
        </is>
      </c>
      <c r="I169" s="4" t="n">
        <v>1</v>
      </c>
      <c r="J169" s="4" t="n">
        <v>3</v>
      </c>
      <c r="K169" s="6">
        <f>IF(OR(I169="",J169=""),"",I169&amp;"-"&amp;J169)</f>
        <v/>
      </c>
      <c r="L169" s="6">
        <f>IF(OR(I169="",J169=""),"",IF(I169&gt;J169,"Gana",IF(I169=J169,"Empata","Pierde")))</f>
        <v/>
      </c>
      <c r="M169" s="4" t="b">
        <v>0</v>
      </c>
      <c r="N169" s="4" t="b">
        <v>0</v>
      </c>
      <c r="O169" s="6">
        <f>IF(OR(I169="",J169=""),"",I169+J169)</f>
        <v/>
      </c>
      <c r="P169" s="6">
        <f>IF(OR(I169="",J169=""),"",I169-J169)</f>
        <v/>
      </c>
      <c r="Q169" s="6">
        <f>IF(L169="","",IF(L169="Gana",3,IF(L169="Empata",1,0)))</f>
        <v/>
      </c>
      <c r="R169" s="6">
        <f>IF(L169="","",IF(L169="Pierde",3,IF(L169="Empata",1,0)))</f>
        <v/>
      </c>
      <c r="S169" s="4" t="inlineStr">
        <is>
          <t>https://en.wikipedia.org/wiki/2026_FIFA_World_Cup_Group_J</t>
        </is>
      </c>
    </row>
    <row r="170">
      <c r="A170" s="4" t="inlineStr">
        <is>
          <t>M-2026-065</t>
        </is>
      </c>
      <c r="B170" s="4" t="n">
        <v>2026</v>
      </c>
      <c r="C170" s="4" t="inlineStr">
        <is>
          <t>Fase de grupos</t>
        </is>
      </c>
      <c r="D170" s="4" t="inlineStr">
        <is>
          <t>K</t>
        </is>
      </c>
      <c r="E170" s="4" t="n">
        <v>3</v>
      </c>
      <c r="F170" s="14" t="n">
        <v>46200</v>
      </c>
      <c r="G170" s="4" t="inlineStr">
        <is>
          <t>Colombia</t>
        </is>
      </c>
      <c r="H170" s="4" t="inlineStr">
        <is>
          <t>Portugal</t>
        </is>
      </c>
      <c r="I170" s="4" t="n">
        <v>0</v>
      </c>
      <c r="J170" s="4" t="n">
        <v>0</v>
      </c>
      <c r="K170" s="6">
        <f>IF(OR(I170="",J170=""),"",I170&amp;"-"&amp;J170)</f>
        <v/>
      </c>
      <c r="L170" s="6">
        <f>IF(OR(I170="",J170=""),"",IF(I170&gt;J170,"Gana",IF(I170=J170,"Empata","Pierde")))</f>
        <v/>
      </c>
      <c r="M170" s="4" t="b">
        <v>0</v>
      </c>
      <c r="N170" s="4" t="b">
        <v>0</v>
      </c>
      <c r="O170" s="6">
        <f>IF(OR(I170="",J170=""),"",I170+J170)</f>
        <v/>
      </c>
      <c r="P170" s="6">
        <f>IF(OR(I170="",J170=""),"",I170-J170)</f>
        <v/>
      </c>
      <c r="Q170" s="6">
        <f>IF(L170="","",IF(L170="Gana",3,IF(L170="Empata",1,0)))</f>
        <v/>
      </c>
      <c r="R170" s="6">
        <f>IF(L170="","",IF(L170="Pierde",3,IF(L170="Empata",1,0)))</f>
        <v/>
      </c>
      <c r="S170" s="4" t="inlineStr">
        <is>
          <t>https://en.wikipedia.org/wiki/2026_FIFA_World_Cup_Group_K</t>
        </is>
      </c>
    </row>
    <row r="171">
      <c r="A171" s="4" t="inlineStr">
        <is>
          <t>M-2026-066</t>
        </is>
      </c>
      <c r="B171" s="4" t="n">
        <v>2026</v>
      </c>
      <c r="C171" s="4" t="inlineStr">
        <is>
          <t>Fase de grupos</t>
        </is>
      </c>
      <c r="D171" s="4" t="inlineStr">
        <is>
          <t>K</t>
        </is>
      </c>
      <c r="E171" s="4" t="n">
        <v>3</v>
      </c>
      <c r="F171" s="14" t="n">
        <v>46200</v>
      </c>
      <c r="G171" s="4" t="inlineStr">
        <is>
          <t>DR Congo</t>
        </is>
      </c>
      <c r="H171" s="4" t="inlineStr">
        <is>
          <t>Uzbekistan</t>
        </is>
      </c>
      <c r="I171" s="4" t="n">
        <v>3</v>
      </c>
      <c r="J171" s="4" t="n">
        <v>1</v>
      </c>
      <c r="K171" s="6">
        <f>IF(OR(I171="",J171=""),"",I171&amp;"-"&amp;J171)</f>
        <v/>
      </c>
      <c r="L171" s="6">
        <f>IF(OR(I171="",J171=""),"",IF(I171&gt;J171,"Gana",IF(I171=J171,"Empata","Pierde")))</f>
        <v/>
      </c>
      <c r="M171" s="4" t="b">
        <v>0</v>
      </c>
      <c r="N171" s="4" t="b">
        <v>0</v>
      </c>
      <c r="O171" s="6">
        <f>IF(OR(I171="",J171=""),"",I171+J171)</f>
        <v/>
      </c>
      <c r="P171" s="6">
        <f>IF(OR(I171="",J171=""),"",I171-J171)</f>
        <v/>
      </c>
      <c r="Q171" s="6">
        <f>IF(L171="","",IF(L171="Gana",3,IF(L171="Empata",1,0)))</f>
        <v/>
      </c>
      <c r="R171" s="6">
        <f>IF(L171="","",IF(L171="Pierde",3,IF(L171="Empata",1,0)))</f>
        <v/>
      </c>
      <c r="S171" s="4" t="inlineStr">
        <is>
          <t>https://en.wikipedia.org/wiki/2026_FIFA_World_Cup_Group_K</t>
        </is>
      </c>
    </row>
    <row r="172">
      <c r="A172" s="4" t="inlineStr">
        <is>
          <t>M-2026-071</t>
        </is>
      </c>
      <c r="B172" s="4" t="n">
        <v>2026</v>
      </c>
      <c r="C172" s="4" t="inlineStr">
        <is>
          <t>Fase de grupos</t>
        </is>
      </c>
      <c r="D172" s="4" t="inlineStr">
        <is>
          <t>L</t>
        </is>
      </c>
      <c r="E172" s="4" t="n">
        <v>3</v>
      </c>
      <c r="F172" s="14" t="n">
        <v>46200</v>
      </c>
      <c r="G172" s="4" t="inlineStr">
        <is>
          <t>Panama</t>
        </is>
      </c>
      <c r="H172" s="4" t="inlineStr">
        <is>
          <t>England</t>
        </is>
      </c>
      <c r="I172" s="4" t="n">
        <v>0</v>
      </c>
      <c r="J172" s="4" t="n">
        <v>2</v>
      </c>
      <c r="K172" s="6">
        <f>IF(OR(I172="",J172=""),"",I172&amp;"-"&amp;J172)</f>
        <v/>
      </c>
      <c r="L172" s="6">
        <f>IF(OR(I172="",J172=""),"",IF(I172&gt;J172,"Gana",IF(I172=J172,"Empata","Pierde")))</f>
        <v/>
      </c>
      <c r="M172" s="4" t="b">
        <v>0</v>
      </c>
      <c r="N172" s="4" t="b">
        <v>0</v>
      </c>
      <c r="O172" s="6">
        <f>IF(OR(I172="",J172=""),"",I172+J172)</f>
        <v/>
      </c>
      <c r="P172" s="6">
        <f>IF(OR(I172="",J172=""),"",I172-J172)</f>
        <v/>
      </c>
      <c r="Q172" s="6">
        <f>IF(L172="","",IF(L172="Gana",3,IF(L172="Empata",1,0)))</f>
        <v/>
      </c>
      <c r="R172" s="6">
        <f>IF(L172="","",IF(L172="Pierde",3,IF(L172="Empata",1,0)))</f>
        <v/>
      </c>
      <c r="S172" s="4" t="inlineStr">
        <is>
          <t>https://en.wikipedia.org/wiki/2026_FIFA_World_Cup_Group_L</t>
        </is>
      </c>
    </row>
    <row r="173">
      <c r="A173" s="4" t="inlineStr">
        <is>
          <t>M-2026-072</t>
        </is>
      </c>
      <c r="B173" s="4" t="n">
        <v>2026</v>
      </c>
      <c r="C173" s="4" t="inlineStr">
        <is>
          <t>Fase de grupos</t>
        </is>
      </c>
      <c r="D173" s="4" t="inlineStr">
        <is>
          <t>L</t>
        </is>
      </c>
      <c r="E173" s="4" t="n">
        <v>3</v>
      </c>
      <c r="F173" s="14" t="n">
        <v>46200</v>
      </c>
      <c r="G173" s="4" t="inlineStr">
        <is>
          <t>Croatia</t>
        </is>
      </c>
      <c r="H173" s="4" t="inlineStr">
        <is>
          <t>Ghana</t>
        </is>
      </c>
      <c r="I173" s="4" t="n">
        <v>2</v>
      </c>
      <c r="J173" s="4" t="n">
        <v>1</v>
      </c>
      <c r="K173" s="6">
        <f>IF(OR(I173="",J173=""),"",I173&amp;"-"&amp;J173)</f>
        <v/>
      </c>
      <c r="L173" s="6">
        <f>IF(OR(I173="",J173=""),"",IF(I173&gt;J173,"Gana",IF(I173=J173,"Empata","Pierde")))</f>
        <v/>
      </c>
      <c r="M173" s="4" t="b">
        <v>0</v>
      </c>
      <c r="N173" s="4" t="b">
        <v>0</v>
      </c>
      <c r="O173" s="6">
        <f>IF(OR(I173="",J173=""),"",I173+J173)</f>
        <v/>
      </c>
      <c r="P173" s="6">
        <f>IF(OR(I173="",J173=""),"",I173-J173)</f>
        <v/>
      </c>
      <c r="Q173" s="6">
        <f>IF(L173="","",IF(L173="Gana",3,IF(L173="Empata",1,0)))</f>
        <v/>
      </c>
      <c r="R173" s="6">
        <f>IF(L173="","",IF(L173="Pierde",3,IF(L173="Empata",1,0)))</f>
        <v/>
      </c>
      <c r="S173" s="4" t="inlineStr">
        <is>
          <t>https://en.wikipedia.org/wiki/2026_FIFA_World_Cup_Group_L</t>
        </is>
      </c>
    </row>
    <row r="174">
      <c r="A174" s="4" t="n"/>
      <c r="B174" s="4" t="n"/>
      <c r="C174" s="4" t="n"/>
      <c r="D174" s="4" t="n"/>
      <c r="E174" s="4" t="n"/>
      <c r="F174" s="7" t="n"/>
      <c r="G174" s="4" t="n"/>
      <c r="H174" s="4" t="n"/>
      <c r="I174" s="4" t="n"/>
      <c r="J174" s="4" t="n"/>
      <c r="K174" s="6">
        <f>IF(OR(I174="",J174=""),"",I174&amp;"-"&amp;J174)</f>
        <v/>
      </c>
      <c r="L174" s="6">
        <f>IF(OR(I174="",J174=""),"",IF(I174&gt;J174,"Gana",IF(I174=J174,"Empata","Pierde")))</f>
        <v/>
      </c>
      <c r="M174" s="4" t="n"/>
      <c r="N174" s="4" t="n"/>
      <c r="O174" s="6">
        <f>IF(OR(I174="",J174=""),"",I174+J174)</f>
        <v/>
      </c>
      <c r="P174" s="6">
        <f>IF(OR(I174="",J174=""),"",I174-J174)</f>
        <v/>
      </c>
      <c r="Q174" s="6">
        <f>IF(L174="","",IF(L174="Gana",3,IF(L174="Empata",1,0)))</f>
        <v/>
      </c>
      <c r="R174" s="6">
        <f>IF(L174="","",IF(L174="Pierde",3,IF(L174="Empata",1,0)))</f>
        <v/>
      </c>
      <c r="S174" s="4" t="n"/>
    </row>
    <row r="175">
      <c r="A175" s="4" t="n"/>
      <c r="B175" s="4" t="n"/>
      <c r="C175" s="4" t="n"/>
      <c r="D175" s="4" t="n"/>
      <c r="E175" s="4" t="n"/>
      <c r="F175" s="7" t="n"/>
      <c r="G175" s="4" t="n"/>
      <c r="H175" s="4" t="n"/>
      <c r="I175" s="4" t="n"/>
      <c r="J175" s="4" t="n"/>
      <c r="K175" s="6">
        <f>IF(OR(I175="",J175=""),"",I175&amp;"-"&amp;J175)</f>
        <v/>
      </c>
      <c r="L175" s="6">
        <f>IF(OR(I175="",J175=""),"",IF(I175&gt;J175,"Gana",IF(I175=J175,"Empata","Pierde")))</f>
        <v/>
      </c>
      <c r="M175" s="4" t="n"/>
      <c r="N175" s="4" t="n"/>
      <c r="O175" s="6">
        <f>IF(OR(I175="",J175=""),"",I175+J175)</f>
        <v/>
      </c>
      <c r="P175" s="6">
        <f>IF(OR(I175="",J175=""),"",I175-J175)</f>
        <v/>
      </c>
      <c r="Q175" s="6">
        <f>IF(L175="","",IF(L175="Gana",3,IF(L175="Empata",1,0)))</f>
        <v/>
      </c>
      <c r="R175" s="6">
        <f>IF(L175="","",IF(L175="Pierde",3,IF(L175="Empata",1,0)))</f>
        <v/>
      </c>
      <c r="S175" s="4" t="n"/>
    </row>
    <row r="176">
      <c r="A176" s="4" t="n"/>
      <c r="B176" s="4" t="n"/>
      <c r="C176" s="4" t="n"/>
      <c r="D176" s="4" t="n"/>
      <c r="E176" s="4" t="n"/>
      <c r="F176" s="7" t="n"/>
      <c r="G176" s="4" t="n"/>
      <c r="H176" s="4" t="n"/>
      <c r="I176" s="4" t="n"/>
      <c r="J176" s="4" t="n"/>
      <c r="K176" s="6">
        <f>IF(OR(I176="",J176=""),"",I176&amp;"-"&amp;J176)</f>
        <v/>
      </c>
      <c r="L176" s="6">
        <f>IF(OR(I176="",J176=""),"",IF(I176&gt;J176,"Gana",IF(I176=J176,"Empata","Pierde")))</f>
        <v/>
      </c>
      <c r="M176" s="4" t="n"/>
      <c r="N176" s="4" t="n"/>
      <c r="O176" s="6">
        <f>IF(OR(I176="",J176=""),"",I176+J176)</f>
        <v/>
      </c>
      <c r="P176" s="6">
        <f>IF(OR(I176="",J176=""),"",I176-J176)</f>
        <v/>
      </c>
      <c r="Q176" s="6">
        <f>IF(L176="","",IF(L176="Gana",3,IF(L176="Empata",1,0)))</f>
        <v/>
      </c>
      <c r="R176" s="6">
        <f>IF(L176="","",IF(L176="Pierde",3,IF(L176="Empata",1,0)))</f>
        <v/>
      </c>
      <c r="S176" s="4" t="n"/>
    </row>
    <row r="177">
      <c r="A177" s="4" t="n"/>
      <c r="B177" s="4" t="n"/>
      <c r="C177" s="4" t="n"/>
      <c r="D177" s="4" t="n"/>
      <c r="E177" s="4" t="n"/>
      <c r="F177" s="7" t="n"/>
      <c r="G177" s="4" t="n"/>
      <c r="H177" s="4" t="n"/>
      <c r="I177" s="4" t="n"/>
      <c r="J177" s="4" t="n"/>
      <c r="K177" s="6">
        <f>IF(OR(I177="",J177=""),"",I177&amp;"-"&amp;J177)</f>
        <v/>
      </c>
      <c r="L177" s="6">
        <f>IF(OR(I177="",J177=""),"",IF(I177&gt;J177,"Gana",IF(I177=J177,"Empata","Pierde")))</f>
        <v/>
      </c>
      <c r="M177" s="4" t="n"/>
      <c r="N177" s="4" t="n"/>
      <c r="O177" s="6">
        <f>IF(OR(I177="",J177=""),"",I177+J177)</f>
        <v/>
      </c>
      <c r="P177" s="6">
        <f>IF(OR(I177="",J177=""),"",I177-J177)</f>
        <v/>
      </c>
      <c r="Q177" s="6">
        <f>IF(L177="","",IF(L177="Gana",3,IF(L177="Empata",1,0)))</f>
        <v/>
      </c>
      <c r="R177" s="6">
        <f>IF(L177="","",IF(L177="Pierde",3,IF(L177="Empata",1,0)))</f>
        <v/>
      </c>
      <c r="S177" s="4" t="n"/>
    </row>
    <row r="178">
      <c r="A178" s="4" t="n"/>
      <c r="B178" s="4" t="n"/>
      <c r="C178" s="4" t="n"/>
      <c r="D178" s="4" t="n"/>
      <c r="E178" s="4" t="n"/>
      <c r="F178" s="7" t="n"/>
      <c r="G178" s="4" t="n"/>
      <c r="H178" s="4" t="n"/>
      <c r="I178" s="4" t="n"/>
      <c r="J178" s="4" t="n"/>
      <c r="K178" s="6">
        <f>IF(OR(I178="",J178=""),"",I178&amp;"-"&amp;J178)</f>
        <v/>
      </c>
      <c r="L178" s="6">
        <f>IF(OR(I178="",J178=""),"",IF(I178&gt;J178,"Gana",IF(I178=J178,"Empata","Pierde")))</f>
        <v/>
      </c>
      <c r="M178" s="4" t="n"/>
      <c r="N178" s="4" t="n"/>
      <c r="O178" s="6">
        <f>IF(OR(I178="",J178=""),"",I178+J178)</f>
        <v/>
      </c>
      <c r="P178" s="6">
        <f>IF(OR(I178="",J178=""),"",I178-J178)</f>
        <v/>
      </c>
      <c r="Q178" s="6">
        <f>IF(L178="","",IF(L178="Gana",3,IF(L178="Empata",1,0)))</f>
        <v/>
      </c>
      <c r="R178" s="6">
        <f>IF(L178="","",IF(L178="Pierde",3,IF(L178="Empata",1,0)))</f>
        <v/>
      </c>
      <c r="S178" s="4" t="n"/>
    </row>
    <row r="179">
      <c r="A179" s="4" t="n"/>
      <c r="B179" s="4" t="n"/>
      <c r="C179" s="4" t="n"/>
      <c r="D179" s="4" t="n"/>
      <c r="E179" s="4" t="n"/>
      <c r="F179" s="7" t="n"/>
      <c r="G179" s="4" t="n"/>
      <c r="H179" s="4" t="n"/>
      <c r="I179" s="4" t="n"/>
      <c r="J179" s="4" t="n"/>
      <c r="K179" s="6">
        <f>IF(OR(I179="",J179=""),"",I179&amp;"-"&amp;J179)</f>
        <v/>
      </c>
      <c r="L179" s="6">
        <f>IF(OR(I179="",J179=""),"",IF(I179&gt;J179,"Gana",IF(I179=J179,"Empata","Pierde")))</f>
        <v/>
      </c>
      <c r="M179" s="4" t="n"/>
      <c r="N179" s="4" t="n"/>
      <c r="O179" s="6">
        <f>IF(OR(I179="",J179=""),"",I179+J179)</f>
        <v/>
      </c>
      <c r="P179" s="6">
        <f>IF(OR(I179="",J179=""),"",I179-J179)</f>
        <v/>
      </c>
      <c r="Q179" s="6">
        <f>IF(L179="","",IF(L179="Gana",3,IF(L179="Empata",1,0)))</f>
        <v/>
      </c>
      <c r="R179" s="6">
        <f>IF(L179="","",IF(L179="Pierde",3,IF(L179="Empata",1,0)))</f>
        <v/>
      </c>
      <c r="S179" s="4" t="n"/>
    </row>
    <row r="180">
      <c r="A180" s="4" t="n"/>
      <c r="B180" s="4" t="n"/>
      <c r="C180" s="4" t="n"/>
      <c r="D180" s="4" t="n"/>
      <c r="E180" s="4" t="n"/>
      <c r="F180" s="7" t="n"/>
      <c r="G180" s="4" t="n"/>
      <c r="H180" s="4" t="n"/>
      <c r="I180" s="4" t="n"/>
      <c r="J180" s="4" t="n"/>
      <c r="K180" s="6">
        <f>IF(OR(I180="",J180=""),"",I180&amp;"-"&amp;J180)</f>
        <v/>
      </c>
      <c r="L180" s="6">
        <f>IF(OR(I180="",J180=""),"",IF(I180&gt;J180,"Gana",IF(I180=J180,"Empata","Pierde")))</f>
        <v/>
      </c>
      <c r="M180" s="4" t="n"/>
      <c r="N180" s="4" t="n"/>
      <c r="O180" s="6">
        <f>IF(OR(I180="",J180=""),"",I180+J180)</f>
        <v/>
      </c>
      <c r="P180" s="6">
        <f>IF(OR(I180="",J180=""),"",I180-J180)</f>
        <v/>
      </c>
      <c r="Q180" s="6">
        <f>IF(L180="","",IF(L180="Gana",3,IF(L180="Empata",1,0)))</f>
        <v/>
      </c>
      <c r="R180" s="6">
        <f>IF(L180="","",IF(L180="Pierde",3,IF(L180="Empata",1,0)))</f>
        <v/>
      </c>
      <c r="S180" s="4" t="n"/>
    </row>
    <row r="181">
      <c r="A181" s="4" t="n"/>
      <c r="B181" s="4" t="n"/>
      <c r="C181" s="4" t="n"/>
      <c r="D181" s="4" t="n"/>
      <c r="E181" s="4" t="n"/>
      <c r="F181" s="7" t="n"/>
      <c r="G181" s="4" t="n"/>
      <c r="H181" s="4" t="n"/>
      <c r="I181" s="4" t="n"/>
      <c r="J181" s="4" t="n"/>
      <c r="K181" s="6">
        <f>IF(OR(I181="",J181=""),"",I181&amp;"-"&amp;J181)</f>
        <v/>
      </c>
      <c r="L181" s="6">
        <f>IF(OR(I181="",J181=""),"",IF(I181&gt;J181,"Gana",IF(I181=J181,"Empata","Pierde")))</f>
        <v/>
      </c>
      <c r="M181" s="4" t="n"/>
      <c r="N181" s="4" t="n"/>
      <c r="O181" s="6">
        <f>IF(OR(I181="",J181=""),"",I181+J181)</f>
        <v/>
      </c>
      <c r="P181" s="6">
        <f>IF(OR(I181="",J181=""),"",I181-J181)</f>
        <v/>
      </c>
      <c r="Q181" s="6">
        <f>IF(L181="","",IF(L181="Gana",3,IF(L181="Empata",1,0)))</f>
        <v/>
      </c>
      <c r="R181" s="6">
        <f>IF(L181="","",IF(L181="Pierde",3,IF(L181="Empata",1,0)))</f>
        <v/>
      </c>
      <c r="S181" s="4" t="n"/>
    </row>
    <row r="182">
      <c r="A182" s="4" t="n"/>
      <c r="B182" s="4" t="n"/>
      <c r="C182" s="4" t="n"/>
      <c r="D182" s="4" t="n"/>
      <c r="E182" s="4" t="n"/>
      <c r="F182" s="7" t="n"/>
      <c r="G182" s="4" t="n"/>
      <c r="H182" s="4" t="n"/>
      <c r="I182" s="4" t="n"/>
      <c r="J182" s="4" t="n"/>
      <c r="K182" s="6">
        <f>IF(OR(I182="",J182=""),"",I182&amp;"-"&amp;J182)</f>
        <v/>
      </c>
      <c r="L182" s="6">
        <f>IF(OR(I182="",J182=""),"",IF(I182&gt;J182,"Gana",IF(I182=J182,"Empata","Pierde")))</f>
        <v/>
      </c>
      <c r="M182" s="4" t="n"/>
      <c r="N182" s="4" t="n"/>
      <c r="O182" s="6">
        <f>IF(OR(I182="",J182=""),"",I182+J182)</f>
        <v/>
      </c>
      <c r="P182" s="6">
        <f>IF(OR(I182="",J182=""),"",I182-J182)</f>
        <v/>
      </c>
      <c r="Q182" s="6">
        <f>IF(L182="","",IF(L182="Gana",3,IF(L182="Empata",1,0)))</f>
        <v/>
      </c>
      <c r="R182" s="6">
        <f>IF(L182="","",IF(L182="Pierde",3,IF(L182="Empata",1,0)))</f>
        <v/>
      </c>
      <c r="S182" s="4" t="n"/>
    </row>
    <row r="183">
      <c r="A183" s="4" t="n"/>
      <c r="B183" s="4" t="n"/>
      <c r="C183" s="4" t="n"/>
      <c r="D183" s="4" t="n"/>
      <c r="E183" s="4" t="n"/>
      <c r="F183" s="7" t="n"/>
      <c r="G183" s="4" t="n"/>
      <c r="H183" s="4" t="n"/>
      <c r="I183" s="4" t="n"/>
      <c r="J183" s="4" t="n"/>
      <c r="K183" s="6">
        <f>IF(OR(I183="",J183=""),"",I183&amp;"-"&amp;J183)</f>
        <v/>
      </c>
      <c r="L183" s="6">
        <f>IF(OR(I183="",J183=""),"",IF(I183&gt;J183,"Gana",IF(I183=J183,"Empata","Pierde")))</f>
        <v/>
      </c>
      <c r="M183" s="4" t="n"/>
      <c r="N183" s="4" t="n"/>
      <c r="O183" s="6">
        <f>IF(OR(I183="",J183=""),"",I183+J183)</f>
        <v/>
      </c>
      <c r="P183" s="6">
        <f>IF(OR(I183="",J183=""),"",I183-J183)</f>
        <v/>
      </c>
      <c r="Q183" s="6">
        <f>IF(L183="","",IF(L183="Gana",3,IF(L183="Empata",1,0)))</f>
        <v/>
      </c>
      <c r="R183" s="6">
        <f>IF(L183="","",IF(L183="Pierde",3,IF(L183="Empata",1,0)))</f>
        <v/>
      </c>
      <c r="S183" s="4" t="n"/>
    </row>
    <row r="184">
      <c r="A184" s="4" t="n"/>
      <c r="B184" s="4" t="n"/>
      <c r="C184" s="4" t="n"/>
      <c r="D184" s="4" t="n"/>
      <c r="E184" s="4" t="n"/>
      <c r="F184" s="7" t="n"/>
      <c r="G184" s="4" t="n"/>
      <c r="H184" s="4" t="n"/>
      <c r="I184" s="4" t="n"/>
      <c r="J184" s="4" t="n"/>
      <c r="K184" s="6">
        <f>IF(OR(I184="",J184=""),"",I184&amp;"-"&amp;J184)</f>
        <v/>
      </c>
      <c r="L184" s="6">
        <f>IF(OR(I184="",J184=""),"",IF(I184&gt;J184,"Gana",IF(I184=J184,"Empata","Pierde")))</f>
        <v/>
      </c>
      <c r="M184" s="4" t="n"/>
      <c r="N184" s="4" t="n"/>
      <c r="O184" s="6">
        <f>IF(OR(I184="",J184=""),"",I184+J184)</f>
        <v/>
      </c>
      <c r="P184" s="6">
        <f>IF(OR(I184="",J184=""),"",I184-J184)</f>
        <v/>
      </c>
      <c r="Q184" s="6">
        <f>IF(L184="","",IF(L184="Gana",3,IF(L184="Empata",1,0)))</f>
        <v/>
      </c>
      <c r="R184" s="6">
        <f>IF(L184="","",IF(L184="Pierde",3,IF(L184="Empata",1,0)))</f>
        <v/>
      </c>
      <c r="S184" s="4" t="n"/>
    </row>
    <row r="185">
      <c r="A185" s="4" t="n"/>
      <c r="B185" s="4" t="n"/>
      <c r="C185" s="4" t="n"/>
      <c r="D185" s="4" t="n"/>
      <c r="E185" s="4" t="n"/>
      <c r="F185" s="7" t="n"/>
      <c r="G185" s="4" t="n"/>
      <c r="H185" s="4" t="n"/>
      <c r="I185" s="4" t="n"/>
      <c r="J185" s="4" t="n"/>
      <c r="K185" s="6">
        <f>IF(OR(I185="",J185=""),"",I185&amp;"-"&amp;J185)</f>
        <v/>
      </c>
      <c r="L185" s="6">
        <f>IF(OR(I185="",J185=""),"",IF(I185&gt;J185,"Gana",IF(I185=J185,"Empata","Pierde")))</f>
        <v/>
      </c>
      <c r="M185" s="4" t="n"/>
      <c r="N185" s="4" t="n"/>
      <c r="O185" s="6">
        <f>IF(OR(I185="",J185=""),"",I185+J185)</f>
        <v/>
      </c>
      <c r="P185" s="6">
        <f>IF(OR(I185="",J185=""),"",I185-J185)</f>
        <v/>
      </c>
      <c r="Q185" s="6">
        <f>IF(L185="","",IF(L185="Gana",3,IF(L185="Empata",1,0)))</f>
        <v/>
      </c>
      <c r="R185" s="6">
        <f>IF(L185="","",IF(L185="Pierde",3,IF(L185="Empata",1,0)))</f>
        <v/>
      </c>
      <c r="S185" s="4" t="n"/>
    </row>
    <row r="186">
      <c r="A186" s="4" t="n"/>
      <c r="B186" s="4" t="n"/>
      <c r="C186" s="4" t="n"/>
      <c r="D186" s="4" t="n"/>
      <c r="E186" s="4" t="n"/>
      <c r="F186" s="7" t="n"/>
      <c r="G186" s="4" t="n"/>
      <c r="H186" s="4" t="n"/>
      <c r="I186" s="4" t="n"/>
      <c r="J186" s="4" t="n"/>
      <c r="K186" s="6">
        <f>IF(OR(I186="",J186=""),"",I186&amp;"-"&amp;J186)</f>
        <v/>
      </c>
      <c r="L186" s="6">
        <f>IF(OR(I186="",J186=""),"",IF(I186&gt;J186,"Gana",IF(I186=J186,"Empata","Pierde")))</f>
        <v/>
      </c>
      <c r="M186" s="4" t="n"/>
      <c r="N186" s="4" t="n"/>
      <c r="O186" s="6">
        <f>IF(OR(I186="",J186=""),"",I186+J186)</f>
        <v/>
      </c>
      <c r="P186" s="6">
        <f>IF(OR(I186="",J186=""),"",I186-J186)</f>
        <v/>
      </c>
      <c r="Q186" s="6">
        <f>IF(L186="","",IF(L186="Gana",3,IF(L186="Empata",1,0)))</f>
        <v/>
      </c>
      <c r="R186" s="6">
        <f>IF(L186="","",IF(L186="Pierde",3,IF(L186="Empata",1,0)))</f>
        <v/>
      </c>
      <c r="S186" s="4" t="n"/>
    </row>
    <row r="187">
      <c r="A187" s="4" t="n"/>
      <c r="B187" s="4" t="n"/>
      <c r="C187" s="4" t="n"/>
      <c r="D187" s="4" t="n"/>
      <c r="E187" s="4" t="n"/>
      <c r="F187" s="7" t="n"/>
      <c r="G187" s="4" t="n"/>
      <c r="H187" s="4" t="n"/>
      <c r="I187" s="4" t="n"/>
      <c r="J187" s="4" t="n"/>
      <c r="K187" s="6">
        <f>IF(OR(I187="",J187=""),"",I187&amp;"-"&amp;J187)</f>
        <v/>
      </c>
      <c r="L187" s="6">
        <f>IF(OR(I187="",J187=""),"",IF(I187&gt;J187,"Gana",IF(I187=J187,"Empata","Pierde")))</f>
        <v/>
      </c>
      <c r="M187" s="4" t="n"/>
      <c r="N187" s="4" t="n"/>
      <c r="O187" s="6">
        <f>IF(OR(I187="",J187=""),"",I187+J187)</f>
        <v/>
      </c>
      <c r="P187" s="6">
        <f>IF(OR(I187="",J187=""),"",I187-J187)</f>
        <v/>
      </c>
      <c r="Q187" s="6">
        <f>IF(L187="","",IF(L187="Gana",3,IF(L187="Empata",1,0)))</f>
        <v/>
      </c>
      <c r="R187" s="6">
        <f>IF(L187="","",IF(L187="Pierde",3,IF(L187="Empata",1,0)))</f>
        <v/>
      </c>
      <c r="S187" s="4" t="n"/>
    </row>
    <row r="188">
      <c r="A188" s="4" t="n"/>
      <c r="B188" s="4" t="n"/>
      <c r="C188" s="4" t="n"/>
      <c r="D188" s="4" t="n"/>
      <c r="E188" s="4" t="n"/>
      <c r="F188" s="7" t="n"/>
      <c r="G188" s="4" t="n"/>
      <c r="H188" s="4" t="n"/>
      <c r="I188" s="4" t="n"/>
      <c r="J188" s="4" t="n"/>
      <c r="K188" s="6">
        <f>IF(OR(I188="",J188=""),"",I188&amp;"-"&amp;J188)</f>
        <v/>
      </c>
      <c r="L188" s="6">
        <f>IF(OR(I188="",J188=""),"",IF(I188&gt;J188,"Gana",IF(I188=J188,"Empata","Pierde")))</f>
        <v/>
      </c>
      <c r="M188" s="4" t="n"/>
      <c r="N188" s="4" t="n"/>
      <c r="O188" s="6">
        <f>IF(OR(I188="",J188=""),"",I188+J188)</f>
        <v/>
      </c>
      <c r="P188" s="6">
        <f>IF(OR(I188="",J188=""),"",I188-J188)</f>
        <v/>
      </c>
      <c r="Q188" s="6">
        <f>IF(L188="","",IF(L188="Gana",3,IF(L188="Empata",1,0)))</f>
        <v/>
      </c>
      <c r="R188" s="6">
        <f>IF(L188="","",IF(L188="Pierde",3,IF(L188="Empata",1,0)))</f>
        <v/>
      </c>
      <c r="S188" s="4" t="n"/>
    </row>
    <row r="189">
      <c r="A189" s="4" t="n"/>
      <c r="B189" s="4" t="n"/>
      <c r="C189" s="4" t="n"/>
      <c r="D189" s="4" t="n"/>
      <c r="E189" s="4" t="n"/>
      <c r="F189" s="7" t="n"/>
      <c r="G189" s="4" t="n"/>
      <c r="H189" s="4" t="n"/>
      <c r="I189" s="4" t="n"/>
      <c r="J189" s="4" t="n"/>
      <c r="K189" s="6">
        <f>IF(OR(I189="",J189=""),"",I189&amp;"-"&amp;J189)</f>
        <v/>
      </c>
      <c r="L189" s="6">
        <f>IF(OR(I189="",J189=""),"",IF(I189&gt;J189,"Gana",IF(I189=J189,"Empata","Pierde")))</f>
        <v/>
      </c>
      <c r="M189" s="4" t="n"/>
      <c r="N189" s="4" t="n"/>
      <c r="O189" s="6">
        <f>IF(OR(I189="",J189=""),"",I189+J189)</f>
        <v/>
      </c>
      <c r="P189" s="6">
        <f>IF(OR(I189="",J189=""),"",I189-J189)</f>
        <v/>
      </c>
      <c r="Q189" s="6">
        <f>IF(L189="","",IF(L189="Gana",3,IF(L189="Empata",1,0)))</f>
        <v/>
      </c>
      <c r="R189" s="6">
        <f>IF(L189="","",IF(L189="Pierde",3,IF(L189="Empata",1,0)))</f>
        <v/>
      </c>
      <c r="S189" s="4" t="n"/>
    </row>
    <row r="190">
      <c r="A190" s="4" t="n"/>
      <c r="B190" s="4" t="n"/>
      <c r="C190" s="4" t="n"/>
      <c r="D190" s="4" t="n"/>
      <c r="E190" s="4" t="n"/>
      <c r="F190" s="7" t="n"/>
      <c r="G190" s="4" t="n"/>
      <c r="H190" s="4" t="n"/>
      <c r="I190" s="4" t="n"/>
      <c r="J190" s="4" t="n"/>
      <c r="K190" s="6">
        <f>IF(OR(I190="",J190=""),"",I190&amp;"-"&amp;J190)</f>
        <v/>
      </c>
      <c r="L190" s="6">
        <f>IF(OR(I190="",J190=""),"",IF(I190&gt;J190,"Gana",IF(I190=J190,"Empata","Pierde")))</f>
        <v/>
      </c>
      <c r="M190" s="4" t="n"/>
      <c r="N190" s="4" t="n"/>
      <c r="O190" s="6">
        <f>IF(OR(I190="",J190=""),"",I190+J190)</f>
        <v/>
      </c>
      <c r="P190" s="6">
        <f>IF(OR(I190="",J190=""),"",I190-J190)</f>
        <v/>
      </c>
      <c r="Q190" s="6">
        <f>IF(L190="","",IF(L190="Gana",3,IF(L190="Empata",1,0)))</f>
        <v/>
      </c>
      <c r="R190" s="6">
        <f>IF(L190="","",IF(L190="Pierde",3,IF(L190="Empata",1,0)))</f>
        <v/>
      </c>
      <c r="S190" s="4" t="n"/>
    </row>
    <row r="191">
      <c r="A191" s="4" t="n"/>
      <c r="B191" s="4" t="n"/>
      <c r="C191" s="4" t="n"/>
      <c r="D191" s="4" t="n"/>
      <c r="E191" s="4" t="n"/>
      <c r="F191" s="7" t="n"/>
      <c r="G191" s="4" t="n"/>
      <c r="H191" s="4" t="n"/>
      <c r="I191" s="4" t="n"/>
      <c r="J191" s="4" t="n"/>
      <c r="K191" s="6">
        <f>IF(OR(I191="",J191=""),"",I191&amp;"-"&amp;J191)</f>
        <v/>
      </c>
      <c r="L191" s="6">
        <f>IF(OR(I191="",J191=""),"",IF(I191&gt;J191,"Gana",IF(I191=J191,"Empata","Pierde")))</f>
        <v/>
      </c>
      <c r="M191" s="4" t="n"/>
      <c r="N191" s="4" t="n"/>
      <c r="O191" s="6">
        <f>IF(OR(I191="",J191=""),"",I191+J191)</f>
        <v/>
      </c>
      <c r="P191" s="6">
        <f>IF(OR(I191="",J191=""),"",I191-J191)</f>
        <v/>
      </c>
      <c r="Q191" s="6">
        <f>IF(L191="","",IF(L191="Gana",3,IF(L191="Empata",1,0)))</f>
        <v/>
      </c>
      <c r="R191" s="6">
        <f>IF(L191="","",IF(L191="Pierde",3,IF(L191="Empata",1,0)))</f>
        <v/>
      </c>
      <c r="S191" s="4" t="n"/>
    </row>
    <row r="192">
      <c r="A192" s="4" t="n"/>
      <c r="B192" s="4" t="n"/>
      <c r="C192" s="4" t="n"/>
      <c r="D192" s="4" t="n"/>
      <c r="E192" s="4" t="n"/>
      <c r="F192" s="7" t="n"/>
      <c r="G192" s="4" t="n"/>
      <c r="H192" s="4" t="n"/>
      <c r="I192" s="4" t="n"/>
      <c r="J192" s="4" t="n"/>
      <c r="K192" s="6">
        <f>IF(OR(I192="",J192=""),"",I192&amp;"-"&amp;J192)</f>
        <v/>
      </c>
      <c r="L192" s="6">
        <f>IF(OR(I192="",J192=""),"",IF(I192&gt;J192,"Gana",IF(I192=J192,"Empata","Pierde")))</f>
        <v/>
      </c>
      <c r="M192" s="4" t="n"/>
      <c r="N192" s="4" t="n"/>
      <c r="O192" s="6">
        <f>IF(OR(I192="",J192=""),"",I192+J192)</f>
        <v/>
      </c>
      <c r="P192" s="6">
        <f>IF(OR(I192="",J192=""),"",I192-J192)</f>
        <v/>
      </c>
      <c r="Q192" s="6">
        <f>IF(L192="","",IF(L192="Gana",3,IF(L192="Empata",1,0)))</f>
        <v/>
      </c>
      <c r="R192" s="6">
        <f>IF(L192="","",IF(L192="Pierde",3,IF(L192="Empata",1,0)))</f>
        <v/>
      </c>
      <c r="S192" s="4" t="n"/>
    </row>
    <row r="193">
      <c r="A193" s="4" t="n"/>
      <c r="B193" s="4" t="n"/>
      <c r="C193" s="4" t="n"/>
      <c r="D193" s="4" t="n"/>
      <c r="E193" s="4" t="n"/>
      <c r="F193" s="7" t="n"/>
      <c r="G193" s="4" t="n"/>
      <c r="H193" s="4" t="n"/>
      <c r="I193" s="4" t="n"/>
      <c r="J193" s="4" t="n"/>
      <c r="K193" s="6">
        <f>IF(OR(I193="",J193=""),"",I193&amp;"-"&amp;J193)</f>
        <v/>
      </c>
      <c r="L193" s="6">
        <f>IF(OR(I193="",J193=""),"",IF(I193&gt;J193,"Gana",IF(I193=J193,"Empata","Pierde")))</f>
        <v/>
      </c>
      <c r="M193" s="4" t="n"/>
      <c r="N193" s="4" t="n"/>
      <c r="O193" s="6">
        <f>IF(OR(I193="",J193=""),"",I193+J193)</f>
        <v/>
      </c>
      <c r="P193" s="6">
        <f>IF(OR(I193="",J193=""),"",I193-J193)</f>
        <v/>
      </c>
      <c r="Q193" s="6">
        <f>IF(L193="","",IF(L193="Gana",3,IF(L193="Empata",1,0)))</f>
        <v/>
      </c>
      <c r="R193" s="6">
        <f>IF(L193="","",IF(L193="Pierde",3,IF(L193="Empata",1,0)))</f>
        <v/>
      </c>
      <c r="S193" s="4" t="n"/>
    </row>
    <row r="194">
      <c r="A194" s="4" t="n"/>
      <c r="B194" s="4" t="n"/>
      <c r="C194" s="4" t="n"/>
      <c r="D194" s="4" t="n"/>
      <c r="E194" s="4" t="n"/>
      <c r="F194" s="7" t="n"/>
      <c r="G194" s="4" t="n"/>
      <c r="H194" s="4" t="n"/>
      <c r="I194" s="4" t="n"/>
      <c r="J194" s="4" t="n"/>
      <c r="K194" s="6">
        <f>IF(OR(I194="",J194=""),"",I194&amp;"-"&amp;J194)</f>
        <v/>
      </c>
      <c r="L194" s="6">
        <f>IF(OR(I194="",J194=""),"",IF(I194&gt;J194,"Gana",IF(I194=J194,"Empata","Pierde")))</f>
        <v/>
      </c>
      <c r="M194" s="4" t="n"/>
      <c r="N194" s="4" t="n"/>
      <c r="O194" s="6">
        <f>IF(OR(I194="",J194=""),"",I194+J194)</f>
        <v/>
      </c>
      <c r="P194" s="6">
        <f>IF(OR(I194="",J194=""),"",I194-J194)</f>
        <v/>
      </c>
      <c r="Q194" s="6">
        <f>IF(L194="","",IF(L194="Gana",3,IF(L194="Empata",1,0)))</f>
        <v/>
      </c>
      <c r="R194" s="6">
        <f>IF(L194="","",IF(L194="Pierde",3,IF(L194="Empata",1,0)))</f>
        <v/>
      </c>
      <c r="S194" s="4" t="n"/>
    </row>
    <row r="195">
      <c r="A195" s="4" t="n"/>
      <c r="B195" s="4" t="n"/>
      <c r="C195" s="4" t="n"/>
      <c r="D195" s="4" t="n"/>
      <c r="E195" s="4" t="n"/>
      <c r="F195" s="7" t="n"/>
      <c r="G195" s="4" t="n"/>
      <c r="H195" s="4" t="n"/>
      <c r="I195" s="4" t="n"/>
      <c r="J195" s="4" t="n"/>
      <c r="K195" s="6">
        <f>IF(OR(I195="",J195=""),"",I195&amp;"-"&amp;J195)</f>
        <v/>
      </c>
      <c r="L195" s="6">
        <f>IF(OR(I195="",J195=""),"",IF(I195&gt;J195,"Gana",IF(I195=J195,"Empata","Pierde")))</f>
        <v/>
      </c>
      <c r="M195" s="4" t="n"/>
      <c r="N195" s="4" t="n"/>
      <c r="O195" s="6">
        <f>IF(OR(I195="",J195=""),"",I195+J195)</f>
        <v/>
      </c>
      <c r="P195" s="6">
        <f>IF(OR(I195="",J195=""),"",I195-J195)</f>
        <v/>
      </c>
      <c r="Q195" s="6">
        <f>IF(L195="","",IF(L195="Gana",3,IF(L195="Empata",1,0)))</f>
        <v/>
      </c>
      <c r="R195" s="6">
        <f>IF(L195="","",IF(L195="Pierde",3,IF(L195="Empata",1,0)))</f>
        <v/>
      </c>
      <c r="S195" s="4" t="n"/>
    </row>
    <row r="196">
      <c r="A196" s="4" t="n"/>
      <c r="B196" s="4" t="n"/>
      <c r="C196" s="4" t="n"/>
      <c r="D196" s="4" t="n"/>
      <c r="E196" s="4" t="n"/>
      <c r="F196" s="7" t="n"/>
      <c r="G196" s="4" t="n"/>
      <c r="H196" s="4" t="n"/>
      <c r="I196" s="4" t="n"/>
      <c r="J196" s="4" t="n"/>
      <c r="K196" s="6">
        <f>IF(OR(I196="",J196=""),"",I196&amp;"-"&amp;J196)</f>
        <v/>
      </c>
      <c r="L196" s="6">
        <f>IF(OR(I196="",J196=""),"",IF(I196&gt;J196,"Gana",IF(I196=J196,"Empata","Pierde")))</f>
        <v/>
      </c>
      <c r="M196" s="4" t="n"/>
      <c r="N196" s="4" t="n"/>
      <c r="O196" s="6">
        <f>IF(OR(I196="",J196=""),"",I196+J196)</f>
        <v/>
      </c>
      <c r="P196" s="6">
        <f>IF(OR(I196="",J196=""),"",I196-J196)</f>
        <v/>
      </c>
      <c r="Q196" s="6">
        <f>IF(L196="","",IF(L196="Gana",3,IF(L196="Empata",1,0)))</f>
        <v/>
      </c>
      <c r="R196" s="6">
        <f>IF(L196="","",IF(L196="Pierde",3,IF(L196="Empata",1,0)))</f>
        <v/>
      </c>
      <c r="S196" s="4" t="n"/>
    </row>
    <row r="197">
      <c r="A197" s="4" t="n"/>
      <c r="B197" s="4" t="n"/>
      <c r="C197" s="4" t="n"/>
      <c r="D197" s="4" t="n"/>
      <c r="E197" s="4" t="n"/>
      <c r="F197" s="7" t="n"/>
      <c r="G197" s="4" t="n"/>
      <c r="H197" s="4" t="n"/>
      <c r="I197" s="4" t="n"/>
      <c r="J197" s="4" t="n"/>
      <c r="K197" s="6">
        <f>IF(OR(I197="",J197=""),"",I197&amp;"-"&amp;J197)</f>
        <v/>
      </c>
      <c r="L197" s="6">
        <f>IF(OR(I197="",J197=""),"",IF(I197&gt;J197,"Gana",IF(I197=J197,"Empata","Pierde")))</f>
        <v/>
      </c>
      <c r="M197" s="4" t="n"/>
      <c r="N197" s="4" t="n"/>
      <c r="O197" s="6">
        <f>IF(OR(I197="",J197=""),"",I197+J197)</f>
        <v/>
      </c>
      <c r="P197" s="6">
        <f>IF(OR(I197="",J197=""),"",I197-J197)</f>
        <v/>
      </c>
      <c r="Q197" s="6">
        <f>IF(L197="","",IF(L197="Gana",3,IF(L197="Empata",1,0)))</f>
        <v/>
      </c>
      <c r="R197" s="6">
        <f>IF(L197="","",IF(L197="Pierde",3,IF(L197="Empata",1,0)))</f>
        <v/>
      </c>
      <c r="S197" s="4" t="n"/>
    </row>
    <row r="198">
      <c r="A198" s="4" t="n"/>
      <c r="B198" s="4" t="n"/>
      <c r="C198" s="4" t="n"/>
      <c r="D198" s="4" t="n"/>
      <c r="E198" s="4" t="n"/>
      <c r="F198" s="7" t="n"/>
      <c r="G198" s="4" t="n"/>
      <c r="H198" s="4" t="n"/>
      <c r="I198" s="4" t="n"/>
      <c r="J198" s="4" t="n"/>
      <c r="K198" s="6">
        <f>IF(OR(I198="",J198=""),"",I198&amp;"-"&amp;J198)</f>
        <v/>
      </c>
      <c r="L198" s="6">
        <f>IF(OR(I198="",J198=""),"",IF(I198&gt;J198,"Gana",IF(I198=J198,"Empata","Pierde")))</f>
        <v/>
      </c>
      <c r="M198" s="4" t="n"/>
      <c r="N198" s="4" t="n"/>
      <c r="O198" s="6">
        <f>IF(OR(I198="",J198=""),"",I198+J198)</f>
        <v/>
      </c>
      <c r="P198" s="6">
        <f>IF(OR(I198="",J198=""),"",I198-J198)</f>
        <v/>
      </c>
      <c r="Q198" s="6">
        <f>IF(L198="","",IF(L198="Gana",3,IF(L198="Empata",1,0)))</f>
        <v/>
      </c>
      <c r="R198" s="6">
        <f>IF(L198="","",IF(L198="Pierde",3,IF(L198="Empata",1,0)))</f>
        <v/>
      </c>
      <c r="S198" s="4" t="n"/>
    </row>
    <row r="199">
      <c r="A199" s="4" t="n"/>
      <c r="B199" s="4" t="n"/>
      <c r="C199" s="4" t="n"/>
      <c r="D199" s="4" t="n"/>
      <c r="E199" s="4" t="n"/>
      <c r="F199" s="7" t="n"/>
      <c r="G199" s="4" t="n"/>
      <c r="H199" s="4" t="n"/>
      <c r="I199" s="4" t="n"/>
      <c r="J199" s="4" t="n"/>
      <c r="K199" s="6">
        <f>IF(OR(I199="",J199=""),"",I199&amp;"-"&amp;J199)</f>
        <v/>
      </c>
      <c r="L199" s="6">
        <f>IF(OR(I199="",J199=""),"",IF(I199&gt;J199,"Gana",IF(I199=J199,"Empata","Pierde")))</f>
        <v/>
      </c>
      <c r="M199" s="4" t="n"/>
      <c r="N199" s="4" t="n"/>
      <c r="O199" s="6">
        <f>IF(OR(I199="",J199=""),"",I199+J199)</f>
        <v/>
      </c>
      <c r="P199" s="6">
        <f>IF(OR(I199="",J199=""),"",I199-J199)</f>
        <v/>
      </c>
      <c r="Q199" s="6">
        <f>IF(L199="","",IF(L199="Gana",3,IF(L199="Empata",1,0)))</f>
        <v/>
      </c>
      <c r="R199" s="6">
        <f>IF(L199="","",IF(L199="Pierde",3,IF(L199="Empata",1,0)))</f>
        <v/>
      </c>
      <c r="S199" s="4" t="n"/>
    </row>
    <row r="200">
      <c r="A200" s="4" t="n"/>
      <c r="B200" s="4" t="n"/>
      <c r="C200" s="4" t="n"/>
      <c r="D200" s="4" t="n"/>
      <c r="E200" s="4" t="n"/>
      <c r="F200" s="7" t="n"/>
      <c r="G200" s="4" t="n"/>
      <c r="H200" s="4" t="n"/>
      <c r="I200" s="4" t="n"/>
      <c r="J200" s="4" t="n"/>
      <c r="K200" s="6">
        <f>IF(OR(I200="",J200=""),"",I200&amp;"-"&amp;J200)</f>
        <v/>
      </c>
      <c r="L200" s="6">
        <f>IF(OR(I200="",J200=""),"",IF(I200&gt;J200,"Gana",IF(I200=J200,"Empata","Pierde")))</f>
        <v/>
      </c>
      <c r="M200" s="4" t="n"/>
      <c r="N200" s="4" t="n"/>
      <c r="O200" s="6">
        <f>IF(OR(I200="",J200=""),"",I200+J200)</f>
        <v/>
      </c>
      <c r="P200" s="6">
        <f>IF(OR(I200="",J200=""),"",I200-J200)</f>
        <v/>
      </c>
      <c r="Q200" s="6">
        <f>IF(L200="","",IF(L200="Gana",3,IF(L200="Empata",1,0)))</f>
        <v/>
      </c>
      <c r="R200" s="6">
        <f>IF(L200="","",IF(L200="Pierde",3,IF(L200="Empata",1,0)))</f>
        <v/>
      </c>
      <c r="S200" s="4" t="n"/>
    </row>
    <row r="201">
      <c r="A201" s="4" t="n"/>
      <c r="B201" s="4" t="n"/>
      <c r="C201" s="4" t="n"/>
      <c r="D201" s="4" t="n"/>
      <c r="E201" s="4" t="n"/>
      <c r="F201" s="7" t="n"/>
      <c r="G201" s="4" t="n"/>
      <c r="H201" s="4" t="n"/>
      <c r="I201" s="4" t="n"/>
      <c r="J201" s="4" t="n"/>
      <c r="K201" s="6">
        <f>IF(OR(I201="",J201=""),"",I201&amp;"-"&amp;J201)</f>
        <v/>
      </c>
      <c r="L201" s="6">
        <f>IF(OR(I201="",J201=""),"",IF(I201&gt;J201,"Gana",IF(I201=J201,"Empata","Pierde")))</f>
        <v/>
      </c>
      <c r="M201" s="4" t="n"/>
      <c r="N201" s="4" t="n"/>
      <c r="O201" s="6">
        <f>IF(OR(I201="",J201=""),"",I201+J201)</f>
        <v/>
      </c>
      <c r="P201" s="6">
        <f>IF(OR(I201="",J201=""),"",I201-J201)</f>
        <v/>
      </c>
      <c r="Q201" s="6">
        <f>IF(L201="","",IF(L201="Gana",3,IF(L201="Empata",1,0)))</f>
        <v/>
      </c>
      <c r="R201" s="6">
        <f>IF(L201="","",IF(L201="Pierde",3,IF(L201="Empata",1,0)))</f>
        <v/>
      </c>
      <c r="S201" s="4" t="n"/>
    </row>
    <row r="202">
      <c r="A202" s="4" t="n"/>
      <c r="B202" s="4" t="n"/>
      <c r="C202" s="4" t="n"/>
      <c r="D202" s="4" t="n"/>
      <c r="E202" s="4" t="n"/>
      <c r="F202" s="7" t="n"/>
      <c r="G202" s="4" t="n"/>
      <c r="H202" s="4" t="n"/>
      <c r="I202" s="4" t="n"/>
      <c r="J202" s="4" t="n"/>
      <c r="K202" s="6">
        <f>IF(OR(I202="",J202=""),"",I202&amp;"-"&amp;J202)</f>
        <v/>
      </c>
      <c r="L202" s="6">
        <f>IF(OR(I202="",J202=""),"",IF(I202&gt;J202,"Gana",IF(I202=J202,"Empata","Pierde")))</f>
        <v/>
      </c>
      <c r="M202" s="4" t="n"/>
      <c r="N202" s="4" t="n"/>
      <c r="O202" s="6">
        <f>IF(OR(I202="",J202=""),"",I202+J202)</f>
        <v/>
      </c>
      <c r="P202" s="6">
        <f>IF(OR(I202="",J202=""),"",I202-J202)</f>
        <v/>
      </c>
      <c r="Q202" s="6">
        <f>IF(L202="","",IF(L202="Gana",3,IF(L202="Empata",1,0)))</f>
        <v/>
      </c>
      <c r="R202" s="6">
        <f>IF(L202="","",IF(L202="Pierde",3,IF(L202="Empata",1,0)))</f>
        <v/>
      </c>
      <c r="S202" s="4" t="n"/>
    </row>
    <row r="203">
      <c r="A203" s="4" t="n"/>
      <c r="B203" s="4" t="n"/>
      <c r="C203" s="4" t="n"/>
      <c r="D203" s="4" t="n"/>
      <c r="E203" s="4" t="n"/>
      <c r="F203" s="7" t="n"/>
      <c r="G203" s="4" t="n"/>
      <c r="H203" s="4" t="n"/>
      <c r="I203" s="4" t="n"/>
      <c r="J203" s="4" t="n"/>
      <c r="K203" s="6">
        <f>IF(OR(I203="",J203=""),"",I203&amp;"-"&amp;J203)</f>
        <v/>
      </c>
      <c r="L203" s="6">
        <f>IF(OR(I203="",J203=""),"",IF(I203&gt;J203,"Gana",IF(I203=J203,"Empata","Pierde")))</f>
        <v/>
      </c>
      <c r="M203" s="4" t="n"/>
      <c r="N203" s="4" t="n"/>
      <c r="O203" s="6">
        <f>IF(OR(I203="",J203=""),"",I203+J203)</f>
        <v/>
      </c>
      <c r="P203" s="6">
        <f>IF(OR(I203="",J203=""),"",I203-J203)</f>
        <v/>
      </c>
      <c r="Q203" s="6">
        <f>IF(L203="","",IF(L203="Gana",3,IF(L203="Empata",1,0)))</f>
        <v/>
      </c>
      <c r="R203" s="6">
        <f>IF(L203="","",IF(L203="Pierde",3,IF(L203="Empata",1,0)))</f>
        <v/>
      </c>
      <c r="S203" s="4" t="n"/>
    </row>
    <row r="204">
      <c r="A204" s="4" t="n"/>
      <c r="B204" s="4" t="n"/>
      <c r="C204" s="4" t="n"/>
      <c r="D204" s="4" t="n"/>
      <c r="E204" s="4" t="n"/>
      <c r="F204" s="7" t="n"/>
      <c r="G204" s="4" t="n"/>
      <c r="H204" s="4" t="n"/>
      <c r="I204" s="4" t="n"/>
      <c r="J204" s="4" t="n"/>
      <c r="K204" s="6">
        <f>IF(OR(I204="",J204=""),"",I204&amp;"-"&amp;J204)</f>
        <v/>
      </c>
      <c r="L204" s="6">
        <f>IF(OR(I204="",J204=""),"",IF(I204&gt;J204,"Gana",IF(I204=J204,"Empata","Pierde")))</f>
        <v/>
      </c>
      <c r="M204" s="4" t="n"/>
      <c r="N204" s="4" t="n"/>
      <c r="O204" s="6">
        <f>IF(OR(I204="",J204=""),"",I204+J204)</f>
        <v/>
      </c>
      <c r="P204" s="6">
        <f>IF(OR(I204="",J204=""),"",I204-J204)</f>
        <v/>
      </c>
      <c r="Q204" s="6">
        <f>IF(L204="","",IF(L204="Gana",3,IF(L204="Empata",1,0)))</f>
        <v/>
      </c>
      <c r="R204" s="6">
        <f>IF(L204="","",IF(L204="Pierde",3,IF(L204="Empata",1,0)))</f>
        <v/>
      </c>
      <c r="S204" s="4" t="n"/>
    </row>
    <row r="205">
      <c r="A205" s="4" t="n"/>
      <c r="B205" s="4" t="n"/>
      <c r="C205" s="4" t="n"/>
      <c r="D205" s="4" t="n"/>
      <c r="E205" s="4" t="n"/>
      <c r="F205" s="7" t="n"/>
      <c r="G205" s="4" t="n"/>
      <c r="H205" s="4" t="n"/>
      <c r="I205" s="4" t="n"/>
      <c r="J205" s="4" t="n"/>
      <c r="K205" s="6">
        <f>IF(OR(I205="",J205=""),"",I205&amp;"-"&amp;J205)</f>
        <v/>
      </c>
      <c r="L205" s="6">
        <f>IF(OR(I205="",J205=""),"",IF(I205&gt;J205,"Gana",IF(I205=J205,"Empata","Pierde")))</f>
        <v/>
      </c>
      <c r="M205" s="4" t="n"/>
      <c r="N205" s="4" t="n"/>
      <c r="O205" s="6">
        <f>IF(OR(I205="",J205=""),"",I205+J205)</f>
        <v/>
      </c>
      <c r="P205" s="6">
        <f>IF(OR(I205="",J205=""),"",I205-J205)</f>
        <v/>
      </c>
      <c r="Q205" s="6">
        <f>IF(L205="","",IF(L205="Gana",3,IF(L205="Empata",1,0)))</f>
        <v/>
      </c>
      <c r="R205" s="6">
        <f>IF(L205="","",IF(L205="Pierde",3,IF(L205="Empata",1,0)))</f>
        <v/>
      </c>
      <c r="S205" s="4" t="n"/>
    </row>
    <row r="206">
      <c r="A206" s="4" t="n"/>
      <c r="B206" s="4" t="n"/>
      <c r="C206" s="4" t="n"/>
      <c r="D206" s="4" t="n"/>
      <c r="E206" s="4" t="n"/>
      <c r="F206" s="7" t="n"/>
      <c r="G206" s="4" t="n"/>
      <c r="H206" s="4" t="n"/>
      <c r="I206" s="4" t="n"/>
      <c r="J206" s="4" t="n"/>
      <c r="K206" s="6">
        <f>IF(OR(I206="",J206=""),"",I206&amp;"-"&amp;J206)</f>
        <v/>
      </c>
      <c r="L206" s="6">
        <f>IF(OR(I206="",J206=""),"",IF(I206&gt;J206,"Gana",IF(I206=J206,"Empata","Pierde")))</f>
        <v/>
      </c>
      <c r="M206" s="4" t="n"/>
      <c r="N206" s="4" t="n"/>
      <c r="O206" s="6">
        <f>IF(OR(I206="",J206=""),"",I206+J206)</f>
        <v/>
      </c>
      <c r="P206" s="6">
        <f>IF(OR(I206="",J206=""),"",I206-J206)</f>
        <v/>
      </c>
      <c r="Q206" s="6">
        <f>IF(L206="","",IF(L206="Gana",3,IF(L206="Empata",1,0)))</f>
        <v/>
      </c>
      <c r="R206" s="6">
        <f>IF(L206="","",IF(L206="Pierde",3,IF(L206="Empata",1,0)))</f>
        <v/>
      </c>
      <c r="S206" s="4" t="n"/>
    </row>
    <row r="207">
      <c r="A207" s="4" t="n"/>
      <c r="B207" s="4" t="n"/>
      <c r="C207" s="4" t="n"/>
      <c r="D207" s="4" t="n"/>
      <c r="E207" s="4" t="n"/>
      <c r="F207" s="7" t="n"/>
      <c r="G207" s="4" t="n"/>
      <c r="H207" s="4" t="n"/>
      <c r="I207" s="4" t="n"/>
      <c r="J207" s="4" t="n"/>
      <c r="K207" s="6">
        <f>IF(OR(I207="",J207=""),"",I207&amp;"-"&amp;J207)</f>
        <v/>
      </c>
      <c r="L207" s="6">
        <f>IF(OR(I207="",J207=""),"",IF(I207&gt;J207,"Gana",IF(I207=J207,"Empata","Pierde")))</f>
        <v/>
      </c>
      <c r="M207" s="4" t="n"/>
      <c r="N207" s="4" t="n"/>
      <c r="O207" s="6">
        <f>IF(OR(I207="",J207=""),"",I207+J207)</f>
        <v/>
      </c>
      <c r="P207" s="6">
        <f>IF(OR(I207="",J207=""),"",I207-J207)</f>
        <v/>
      </c>
      <c r="Q207" s="6">
        <f>IF(L207="","",IF(L207="Gana",3,IF(L207="Empata",1,0)))</f>
        <v/>
      </c>
      <c r="R207" s="6">
        <f>IF(L207="","",IF(L207="Pierde",3,IF(L207="Empata",1,0)))</f>
        <v/>
      </c>
      <c r="S207" s="4" t="n"/>
    </row>
    <row r="208">
      <c r="A208" s="4" t="n"/>
      <c r="B208" s="4" t="n"/>
      <c r="C208" s="4" t="n"/>
      <c r="D208" s="4" t="n"/>
      <c r="E208" s="4" t="n"/>
      <c r="F208" s="7" t="n"/>
      <c r="G208" s="4" t="n"/>
      <c r="H208" s="4" t="n"/>
      <c r="I208" s="4" t="n"/>
      <c r="J208" s="4" t="n"/>
      <c r="K208" s="6">
        <f>IF(OR(I208="",J208=""),"",I208&amp;"-"&amp;J208)</f>
        <v/>
      </c>
      <c r="L208" s="6">
        <f>IF(OR(I208="",J208=""),"",IF(I208&gt;J208,"Gana",IF(I208=J208,"Empata","Pierde")))</f>
        <v/>
      </c>
      <c r="M208" s="4" t="n"/>
      <c r="N208" s="4" t="n"/>
      <c r="O208" s="6">
        <f>IF(OR(I208="",J208=""),"",I208+J208)</f>
        <v/>
      </c>
      <c r="P208" s="6">
        <f>IF(OR(I208="",J208=""),"",I208-J208)</f>
        <v/>
      </c>
      <c r="Q208" s="6">
        <f>IF(L208="","",IF(L208="Gana",3,IF(L208="Empata",1,0)))</f>
        <v/>
      </c>
      <c r="R208" s="6">
        <f>IF(L208="","",IF(L208="Pierde",3,IF(L208="Empata",1,0)))</f>
        <v/>
      </c>
      <c r="S208" s="4" t="n"/>
    </row>
    <row r="209">
      <c r="A209" s="4" t="n"/>
      <c r="B209" s="4" t="n"/>
      <c r="C209" s="4" t="n"/>
      <c r="D209" s="4" t="n"/>
      <c r="E209" s="4" t="n"/>
      <c r="F209" s="7" t="n"/>
      <c r="G209" s="4" t="n"/>
      <c r="H209" s="4" t="n"/>
      <c r="I209" s="4" t="n"/>
      <c r="J209" s="4" t="n"/>
      <c r="K209" s="6">
        <f>IF(OR(I209="",J209=""),"",I209&amp;"-"&amp;J209)</f>
        <v/>
      </c>
      <c r="L209" s="6">
        <f>IF(OR(I209="",J209=""),"",IF(I209&gt;J209,"Gana",IF(I209=J209,"Empata","Pierde")))</f>
        <v/>
      </c>
      <c r="M209" s="4" t="n"/>
      <c r="N209" s="4" t="n"/>
      <c r="O209" s="6">
        <f>IF(OR(I209="",J209=""),"",I209+J209)</f>
        <v/>
      </c>
      <c r="P209" s="6">
        <f>IF(OR(I209="",J209=""),"",I209-J209)</f>
        <v/>
      </c>
      <c r="Q209" s="6">
        <f>IF(L209="","",IF(L209="Gana",3,IF(L209="Empata",1,0)))</f>
        <v/>
      </c>
      <c r="R209" s="6">
        <f>IF(L209="","",IF(L209="Pierde",3,IF(L209="Empata",1,0)))</f>
        <v/>
      </c>
      <c r="S209" s="4" t="n"/>
    </row>
    <row r="210">
      <c r="A210" s="4" t="n"/>
      <c r="B210" s="4" t="n"/>
      <c r="C210" s="4" t="n"/>
      <c r="D210" s="4" t="n"/>
      <c r="E210" s="4" t="n"/>
      <c r="F210" s="7" t="n"/>
      <c r="G210" s="4" t="n"/>
      <c r="H210" s="4" t="n"/>
      <c r="I210" s="4" t="n"/>
      <c r="J210" s="4" t="n"/>
      <c r="K210" s="6">
        <f>IF(OR(I210="",J210=""),"",I210&amp;"-"&amp;J210)</f>
        <v/>
      </c>
      <c r="L210" s="6">
        <f>IF(OR(I210="",J210=""),"",IF(I210&gt;J210,"Gana",IF(I210=J210,"Empata","Pierde")))</f>
        <v/>
      </c>
      <c r="M210" s="4" t="n"/>
      <c r="N210" s="4" t="n"/>
      <c r="O210" s="6">
        <f>IF(OR(I210="",J210=""),"",I210+J210)</f>
        <v/>
      </c>
      <c r="P210" s="6">
        <f>IF(OR(I210="",J210=""),"",I210-J210)</f>
        <v/>
      </c>
      <c r="Q210" s="6">
        <f>IF(L210="","",IF(L210="Gana",3,IF(L210="Empata",1,0)))</f>
        <v/>
      </c>
      <c r="R210" s="6">
        <f>IF(L210="","",IF(L210="Pierde",3,IF(L210="Empata",1,0)))</f>
        <v/>
      </c>
      <c r="S210" s="4" t="n"/>
    </row>
    <row r="211">
      <c r="A211" s="4" t="n"/>
      <c r="B211" s="4" t="n"/>
      <c r="C211" s="4" t="n"/>
      <c r="D211" s="4" t="n"/>
      <c r="E211" s="4" t="n"/>
      <c r="F211" s="7" t="n"/>
      <c r="G211" s="4" t="n"/>
      <c r="H211" s="4" t="n"/>
      <c r="I211" s="4" t="n"/>
      <c r="J211" s="4" t="n"/>
      <c r="K211" s="6">
        <f>IF(OR(I211="",J211=""),"",I211&amp;"-"&amp;J211)</f>
        <v/>
      </c>
      <c r="L211" s="6">
        <f>IF(OR(I211="",J211=""),"",IF(I211&gt;J211,"Gana",IF(I211=J211,"Empata","Pierde")))</f>
        <v/>
      </c>
      <c r="M211" s="4" t="n"/>
      <c r="N211" s="4" t="n"/>
      <c r="O211" s="6">
        <f>IF(OR(I211="",J211=""),"",I211+J211)</f>
        <v/>
      </c>
      <c r="P211" s="6">
        <f>IF(OR(I211="",J211=""),"",I211-J211)</f>
        <v/>
      </c>
      <c r="Q211" s="6">
        <f>IF(L211="","",IF(L211="Gana",3,IF(L211="Empata",1,0)))</f>
        <v/>
      </c>
      <c r="R211" s="6">
        <f>IF(L211="","",IF(L211="Pierde",3,IF(L211="Empata",1,0)))</f>
        <v/>
      </c>
      <c r="S211" s="4" t="n"/>
    </row>
    <row r="212">
      <c r="A212" s="4" t="n"/>
      <c r="B212" s="4" t="n"/>
      <c r="C212" s="4" t="n"/>
      <c r="D212" s="4" t="n"/>
      <c r="E212" s="4" t="n"/>
      <c r="F212" s="7" t="n"/>
      <c r="G212" s="4" t="n"/>
      <c r="H212" s="4" t="n"/>
      <c r="I212" s="4" t="n"/>
      <c r="J212" s="4" t="n"/>
      <c r="K212" s="6">
        <f>IF(OR(I212="",J212=""),"",I212&amp;"-"&amp;J212)</f>
        <v/>
      </c>
      <c r="L212" s="6">
        <f>IF(OR(I212="",J212=""),"",IF(I212&gt;J212,"Gana",IF(I212=J212,"Empata","Pierde")))</f>
        <v/>
      </c>
      <c r="M212" s="4" t="n"/>
      <c r="N212" s="4" t="n"/>
      <c r="O212" s="6">
        <f>IF(OR(I212="",J212=""),"",I212+J212)</f>
        <v/>
      </c>
      <c r="P212" s="6">
        <f>IF(OR(I212="",J212=""),"",I212-J212)</f>
        <v/>
      </c>
      <c r="Q212" s="6">
        <f>IF(L212="","",IF(L212="Gana",3,IF(L212="Empata",1,0)))</f>
        <v/>
      </c>
      <c r="R212" s="6">
        <f>IF(L212="","",IF(L212="Pierde",3,IF(L212="Empata",1,0)))</f>
        <v/>
      </c>
      <c r="S212" s="4" t="n"/>
    </row>
    <row r="213">
      <c r="A213" s="4" t="n"/>
      <c r="B213" s="4" t="n"/>
      <c r="C213" s="4" t="n"/>
      <c r="D213" s="4" t="n"/>
      <c r="E213" s="4" t="n"/>
      <c r="F213" s="7" t="n"/>
      <c r="G213" s="4" t="n"/>
      <c r="H213" s="4" t="n"/>
      <c r="I213" s="4" t="n"/>
      <c r="J213" s="4" t="n"/>
      <c r="K213" s="6">
        <f>IF(OR(I213="",J213=""),"",I213&amp;"-"&amp;J213)</f>
        <v/>
      </c>
      <c r="L213" s="6">
        <f>IF(OR(I213="",J213=""),"",IF(I213&gt;J213,"Gana",IF(I213=J213,"Empata","Pierde")))</f>
        <v/>
      </c>
      <c r="M213" s="4" t="n"/>
      <c r="N213" s="4" t="n"/>
      <c r="O213" s="6">
        <f>IF(OR(I213="",J213=""),"",I213+J213)</f>
        <v/>
      </c>
      <c r="P213" s="6">
        <f>IF(OR(I213="",J213=""),"",I213-J213)</f>
        <v/>
      </c>
      <c r="Q213" s="6">
        <f>IF(L213="","",IF(L213="Gana",3,IF(L213="Empata",1,0)))</f>
        <v/>
      </c>
      <c r="R213" s="6">
        <f>IF(L213="","",IF(L213="Pierde",3,IF(L213="Empata",1,0)))</f>
        <v/>
      </c>
      <c r="S213" s="4" t="n"/>
    </row>
    <row r="214">
      <c r="A214" s="4" t="n"/>
      <c r="B214" s="4" t="n"/>
      <c r="C214" s="4" t="n"/>
      <c r="D214" s="4" t="n"/>
      <c r="E214" s="4" t="n"/>
      <c r="F214" s="7" t="n"/>
      <c r="G214" s="4" t="n"/>
      <c r="H214" s="4" t="n"/>
      <c r="I214" s="4" t="n"/>
      <c r="J214" s="4" t="n"/>
      <c r="K214" s="6">
        <f>IF(OR(I214="",J214=""),"",I214&amp;"-"&amp;J214)</f>
        <v/>
      </c>
      <c r="L214" s="6">
        <f>IF(OR(I214="",J214=""),"",IF(I214&gt;J214,"Gana",IF(I214=J214,"Empata","Pierde")))</f>
        <v/>
      </c>
      <c r="M214" s="4" t="n"/>
      <c r="N214" s="4" t="n"/>
      <c r="O214" s="6">
        <f>IF(OR(I214="",J214=""),"",I214+J214)</f>
        <v/>
      </c>
      <c r="P214" s="6">
        <f>IF(OR(I214="",J214=""),"",I214-J214)</f>
        <v/>
      </c>
      <c r="Q214" s="6">
        <f>IF(L214="","",IF(L214="Gana",3,IF(L214="Empata",1,0)))</f>
        <v/>
      </c>
      <c r="R214" s="6">
        <f>IF(L214="","",IF(L214="Pierde",3,IF(L214="Empata",1,0)))</f>
        <v/>
      </c>
      <c r="S214" s="4" t="n"/>
    </row>
    <row r="215">
      <c r="A215" s="4" t="n"/>
      <c r="B215" s="4" t="n"/>
      <c r="C215" s="4" t="n"/>
      <c r="D215" s="4" t="n"/>
      <c r="E215" s="4" t="n"/>
      <c r="F215" s="7" t="n"/>
      <c r="G215" s="4" t="n"/>
      <c r="H215" s="4" t="n"/>
      <c r="I215" s="4" t="n"/>
      <c r="J215" s="4" t="n"/>
      <c r="K215" s="6">
        <f>IF(OR(I215="",J215=""),"",I215&amp;"-"&amp;J215)</f>
        <v/>
      </c>
      <c r="L215" s="6">
        <f>IF(OR(I215="",J215=""),"",IF(I215&gt;J215,"Gana",IF(I215=J215,"Empata","Pierde")))</f>
        <v/>
      </c>
      <c r="M215" s="4" t="n"/>
      <c r="N215" s="4" t="n"/>
      <c r="O215" s="6">
        <f>IF(OR(I215="",J215=""),"",I215+J215)</f>
        <v/>
      </c>
      <c r="P215" s="6">
        <f>IF(OR(I215="",J215=""),"",I215-J215)</f>
        <v/>
      </c>
      <c r="Q215" s="6">
        <f>IF(L215="","",IF(L215="Gana",3,IF(L215="Empata",1,0)))</f>
        <v/>
      </c>
      <c r="R215" s="6">
        <f>IF(L215="","",IF(L215="Pierde",3,IF(L215="Empata",1,0)))</f>
        <v/>
      </c>
      <c r="S215" s="4" t="n"/>
    </row>
    <row r="216">
      <c r="A216" s="4" t="n"/>
      <c r="B216" s="4" t="n"/>
      <c r="C216" s="4" t="n"/>
      <c r="D216" s="4" t="n"/>
      <c r="E216" s="4" t="n"/>
      <c r="F216" s="7" t="n"/>
      <c r="G216" s="4" t="n"/>
      <c r="H216" s="4" t="n"/>
      <c r="I216" s="4" t="n"/>
      <c r="J216" s="4" t="n"/>
      <c r="K216" s="6">
        <f>IF(OR(I216="",J216=""),"",I216&amp;"-"&amp;J216)</f>
        <v/>
      </c>
      <c r="L216" s="6">
        <f>IF(OR(I216="",J216=""),"",IF(I216&gt;J216,"Gana",IF(I216=J216,"Empata","Pierde")))</f>
        <v/>
      </c>
      <c r="M216" s="4" t="n"/>
      <c r="N216" s="4" t="n"/>
      <c r="O216" s="6">
        <f>IF(OR(I216="",J216=""),"",I216+J216)</f>
        <v/>
      </c>
      <c r="P216" s="6">
        <f>IF(OR(I216="",J216=""),"",I216-J216)</f>
        <v/>
      </c>
      <c r="Q216" s="6">
        <f>IF(L216="","",IF(L216="Gana",3,IF(L216="Empata",1,0)))</f>
        <v/>
      </c>
      <c r="R216" s="6">
        <f>IF(L216="","",IF(L216="Pierde",3,IF(L216="Empata",1,0)))</f>
        <v/>
      </c>
      <c r="S216" s="4" t="n"/>
    </row>
    <row r="217">
      <c r="A217" s="4" t="n"/>
      <c r="B217" s="4" t="n"/>
      <c r="C217" s="4" t="n"/>
      <c r="D217" s="4" t="n"/>
      <c r="E217" s="4" t="n"/>
      <c r="F217" s="7" t="n"/>
      <c r="G217" s="4" t="n"/>
      <c r="H217" s="4" t="n"/>
      <c r="I217" s="4" t="n"/>
      <c r="J217" s="4" t="n"/>
      <c r="K217" s="6">
        <f>IF(OR(I217="",J217=""),"",I217&amp;"-"&amp;J217)</f>
        <v/>
      </c>
      <c r="L217" s="6">
        <f>IF(OR(I217="",J217=""),"",IF(I217&gt;J217,"Gana",IF(I217=J217,"Empata","Pierde")))</f>
        <v/>
      </c>
      <c r="M217" s="4" t="n"/>
      <c r="N217" s="4" t="n"/>
      <c r="O217" s="6">
        <f>IF(OR(I217="",J217=""),"",I217+J217)</f>
        <v/>
      </c>
      <c r="P217" s="6">
        <f>IF(OR(I217="",J217=""),"",I217-J217)</f>
        <v/>
      </c>
      <c r="Q217" s="6">
        <f>IF(L217="","",IF(L217="Gana",3,IF(L217="Empata",1,0)))</f>
        <v/>
      </c>
      <c r="R217" s="6">
        <f>IF(L217="","",IF(L217="Pierde",3,IF(L217="Empata",1,0)))</f>
        <v/>
      </c>
      <c r="S217" s="4" t="n"/>
    </row>
    <row r="218">
      <c r="A218" s="4" t="n"/>
      <c r="B218" s="4" t="n"/>
      <c r="C218" s="4" t="n"/>
      <c r="D218" s="4" t="n"/>
      <c r="E218" s="4" t="n"/>
      <c r="F218" s="7" t="n"/>
      <c r="G218" s="4" t="n"/>
      <c r="H218" s="4" t="n"/>
      <c r="I218" s="4" t="n"/>
      <c r="J218" s="4" t="n"/>
      <c r="K218" s="6">
        <f>IF(OR(I218="",J218=""),"",I218&amp;"-"&amp;J218)</f>
        <v/>
      </c>
      <c r="L218" s="6">
        <f>IF(OR(I218="",J218=""),"",IF(I218&gt;J218,"Gana",IF(I218=J218,"Empata","Pierde")))</f>
        <v/>
      </c>
      <c r="M218" s="4" t="n"/>
      <c r="N218" s="4" t="n"/>
      <c r="O218" s="6">
        <f>IF(OR(I218="",J218=""),"",I218+J218)</f>
        <v/>
      </c>
      <c r="P218" s="6">
        <f>IF(OR(I218="",J218=""),"",I218-J218)</f>
        <v/>
      </c>
      <c r="Q218" s="6">
        <f>IF(L218="","",IF(L218="Gana",3,IF(L218="Empata",1,0)))</f>
        <v/>
      </c>
      <c r="R218" s="6">
        <f>IF(L218="","",IF(L218="Pierde",3,IF(L218="Empata",1,0)))</f>
        <v/>
      </c>
      <c r="S218" s="4" t="n"/>
    </row>
    <row r="219">
      <c r="A219" s="4" t="n"/>
      <c r="B219" s="4" t="n"/>
      <c r="C219" s="4" t="n"/>
      <c r="D219" s="4" t="n"/>
      <c r="E219" s="4" t="n"/>
      <c r="F219" s="7" t="n"/>
      <c r="G219" s="4" t="n"/>
      <c r="H219" s="4" t="n"/>
      <c r="I219" s="4" t="n"/>
      <c r="J219" s="4" t="n"/>
      <c r="K219" s="6">
        <f>IF(OR(I219="",J219=""),"",I219&amp;"-"&amp;J219)</f>
        <v/>
      </c>
      <c r="L219" s="6">
        <f>IF(OR(I219="",J219=""),"",IF(I219&gt;J219,"Gana",IF(I219=J219,"Empata","Pierde")))</f>
        <v/>
      </c>
      <c r="M219" s="4" t="n"/>
      <c r="N219" s="4" t="n"/>
      <c r="O219" s="6">
        <f>IF(OR(I219="",J219=""),"",I219+J219)</f>
        <v/>
      </c>
      <c r="P219" s="6">
        <f>IF(OR(I219="",J219=""),"",I219-J219)</f>
        <v/>
      </c>
      <c r="Q219" s="6">
        <f>IF(L219="","",IF(L219="Gana",3,IF(L219="Empata",1,0)))</f>
        <v/>
      </c>
      <c r="R219" s="6">
        <f>IF(L219="","",IF(L219="Pierde",3,IF(L219="Empata",1,0)))</f>
        <v/>
      </c>
      <c r="S219" s="4" t="n"/>
    </row>
    <row r="220">
      <c r="A220" s="4" t="n"/>
      <c r="B220" s="4" t="n"/>
      <c r="C220" s="4" t="n"/>
      <c r="D220" s="4" t="n"/>
      <c r="E220" s="4" t="n"/>
      <c r="F220" s="7" t="n"/>
      <c r="G220" s="4" t="n"/>
      <c r="H220" s="4" t="n"/>
      <c r="I220" s="4" t="n"/>
      <c r="J220" s="4" t="n"/>
      <c r="K220" s="6">
        <f>IF(OR(I220="",J220=""),"",I220&amp;"-"&amp;J220)</f>
        <v/>
      </c>
      <c r="L220" s="6">
        <f>IF(OR(I220="",J220=""),"",IF(I220&gt;J220,"Gana",IF(I220=J220,"Empata","Pierde")))</f>
        <v/>
      </c>
      <c r="M220" s="4" t="n"/>
      <c r="N220" s="4" t="n"/>
      <c r="O220" s="6">
        <f>IF(OR(I220="",J220=""),"",I220+J220)</f>
        <v/>
      </c>
      <c r="P220" s="6">
        <f>IF(OR(I220="",J220=""),"",I220-J220)</f>
        <v/>
      </c>
      <c r="Q220" s="6">
        <f>IF(L220="","",IF(L220="Gana",3,IF(L220="Empata",1,0)))</f>
        <v/>
      </c>
      <c r="R220" s="6">
        <f>IF(L220="","",IF(L220="Pierde",3,IF(L220="Empata",1,0)))</f>
        <v/>
      </c>
      <c r="S220" s="4" t="n"/>
    </row>
    <row r="221">
      <c r="A221" s="4" t="n"/>
      <c r="B221" s="4" t="n"/>
      <c r="C221" s="4" t="n"/>
      <c r="D221" s="4" t="n"/>
      <c r="E221" s="4" t="n"/>
      <c r="F221" s="7" t="n"/>
      <c r="G221" s="4" t="n"/>
      <c r="H221" s="4" t="n"/>
      <c r="I221" s="4" t="n"/>
      <c r="J221" s="4" t="n"/>
      <c r="K221" s="6">
        <f>IF(OR(I221="",J221=""),"",I221&amp;"-"&amp;J221)</f>
        <v/>
      </c>
      <c r="L221" s="6">
        <f>IF(OR(I221="",J221=""),"",IF(I221&gt;J221,"Gana",IF(I221=J221,"Empata","Pierde")))</f>
        <v/>
      </c>
      <c r="M221" s="4" t="n"/>
      <c r="N221" s="4" t="n"/>
      <c r="O221" s="6">
        <f>IF(OR(I221="",J221=""),"",I221+J221)</f>
        <v/>
      </c>
      <c r="P221" s="6">
        <f>IF(OR(I221="",J221=""),"",I221-J221)</f>
        <v/>
      </c>
      <c r="Q221" s="6">
        <f>IF(L221="","",IF(L221="Gana",3,IF(L221="Empata",1,0)))</f>
        <v/>
      </c>
      <c r="R221" s="6">
        <f>IF(L221="","",IF(L221="Pierde",3,IF(L221="Empata",1,0)))</f>
        <v/>
      </c>
      <c r="S221" s="4" t="n"/>
    </row>
    <row r="222">
      <c r="A222" s="4" t="n"/>
      <c r="B222" s="4" t="n"/>
      <c r="C222" s="4" t="n"/>
      <c r="D222" s="4" t="n"/>
      <c r="E222" s="4" t="n"/>
      <c r="F222" s="7" t="n"/>
      <c r="G222" s="4" t="n"/>
      <c r="H222" s="4" t="n"/>
      <c r="I222" s="4" t="n"/>
      <c r="J222" s="4" t="n"/>
      <c r="K222" s="6">
        <f>IF(OR(I222="",J222=""),"",I222&amp;"-"&amp;J222)</f>
        <v/>
      </c>
      <c r="L222" s="6">
        <f>IF(OR(I222="",J222=""),"",IF(I222&gt;J222,"Gana",IF(I222=J222,"Empata","Pierde")))</f>
        <v/>
      </c>
      <c r="M222" s="4" t="n"/>
      <c r="N222" s="4" t="n"/>
      <c r="O222" s="6">
        <f>IF(OR(I222="",J222=""),"",I222+J222)</f>
        <v/>
      </c>
      <c r="P222" s="6">
        <f>IF(OR(I222="",J222=""),"",I222-J222)</f>
        <v/>
      </c>
      <c r="Q222" s="6">
        <f>IF(L222="","",IF(L222="Gana",3,IF(L222="Empata",1,0)))</f>
        <v/>
      </c>
      <c r="R222" s="6">
        <f>IF(L222="","",IF(L222="Pierde",3,IF(L222="Empata",1,0)))</f>
        <v/>
      </c>
      <c r="S222" s="4" t="n"/>
    </row>
    <row r="223">
      <c r="A223" s="4" t="n"/>
      <c r="B223" s="4" t="n"/>
      <c r="C223" s="4" t="n"/>
      <c r="D223" s="4" t="n"/>
      <c r="E223" s="4" t="n"/>
      <c r="F223" s="7" t="n"/>
      <c r="G223" s="4" t="n"/>
      <c r="H223" s="4" t="n"/>
      <c r="I223" s="4" t="n"/>
      <c r="J223" s="4" t="n"/>
      <c r="K223" s="6">
        <f>IF(OR(I223="",J223=""),"",I223&amp;"-"&amp;J223)</f>
        <v/>
      </c>
      <c r="L223" s="6">
        <f>IF(OR(I223="",J223=""),"",IF(I223&gt;J223,"Gana",IF(I223=J223,"Empata","Pierde")))</f>
        <v/>
      </c>
      <c r="M223" s="4" t="n"/>
      <c r="N223" s="4" t="n"/>
      <c r="O223" s="6">
        <f>IF(OR(I223="",J223=""),"",I223+J223)</f>
        <v/>
      </c>
      <c r="P223" s="6">
        <f>IF(OR(I223="",J223=""),"",I223-J223)</f>
        <v/>
      </c>
      <c r="Q223" s="6">
        <f>IF(L223="","",IF(L223="Gana",3,IF(L223="Empata",1,0)))</f>
        <v/>
      </c>
      <c r="R223" s="6">
        <f>IF(L223="","",IF(L223="Pierde",3,IF(L223="Empata",1,0)))</f>
        <v/>
      </c>
      <c r="S223" s="4" t="n"/>
    </row>
    <row r="224">
      <c r="A224" s="4" t="n"/>
      <c r="B224" s="4" t="n"/>
      <c r="C224" s="4" t="n"/>
      <c r="D224" s="4" t="n"/>
      <c r="E224" s="4" t="n"/>
      <c r="F224" s="7" t="n"/>
      <c r="G224" s="4" t="n"/>
      <c r="H224" s="4" t="n"/>
      <c r="I224" s="4" t="n"/>
      <c r="J224" s="4" t="n"/>
      <c r="K224" s="6">
        <f>IF(OR(I224="",J224=""),"",I224&amp;"-"&amp;J224)</f>
        <v/>
      </c>
      <c r="L224" s="6">
        <f>IF(OR(I224="",J224=""),"",IF(I224&gt;J224,"Gana",IF(I224=J224,"Empata","Pierde")))</f>
        <v/>
      </c>
      <c r="M224" s="4" t="n"/>
      <c r="N224" s="4" t="n"/>
      <c r="O224" s="6">
        <f>IF(OR(I224="",J224=""),"",I224+J224)</f>
        <v/>
      </c>
      <c r="P224" s="6">
        <f>IF(OR(I224="",J224=""),"",I224-J224)</f>
        <v/>
      </c>
      <c r="Q224" s="6">
        <f>IF(L224="","",IF(L224="Gana",3,IF(L224="Empata",1,0)))</f>
        <v/>
      </c>
      <c r="R224" s="6">
        <f>IF(L224="","",IF(L224="Pierde",3,IF(L224="Empata",1,0)))</f>
        <v/>
      </c>
      <c r="S224" s="4" t="n"/>
    </row>
    <row r="225">
      <c r="A225" s="4" t="n"/>
      <c r="B225" s="4" t="n"/>
      <c r="C225" s="4" t="n"/>
      <c r="D225" s="4" t="n"/>
      <c r="E225" s="4" t="n"/>
      <c r="F225" s="7" t="n"/>
      <c r="G225" s="4" t="n"/>
      <c r="H225" s="4" t="n"/>
      <c r="I225" s="4" t="n"/>
      <c r="J225" s="4" t="n"/>
      <c r="K225" s="6">
        <f>IF(OR(I225="",J225=""),"",I225&amp;"-"&amp;J225)</f>
        <v/>
      </c>
      <c r="L225" s="6">
        <f>IF(OR(I225="",J225=""),"",IF(I225&gt;J225,"Gana",IF(I225=J225,"Empata","Pierde")))</f>
        <v/>
      </c>
      <c r="M225" s="4" t="n"/>
      <c r="N225" s="4" t="n"/>
      <c r="O225" s="6">
        <f>IF(OR(I225="",J225=""),"",I225+J225)</f>
        <v/>
      </c>
      <c r="P225" s="6">
        <f>IF(OR(I225="",J225=""),"",I225-J225)</f>
        <v/>
      </c>
      <c r="Q225" s="6">
        <f>IF(L225="","",IF(L225="Gana",3,IF(L225="Empata",1,0)))</f>
        <v/>
      </c>
      <c r="R225" s="6">
        <f>IF(L225="","",IF(L225="Pierde",3,IF(L225="Empata",1,0)))</f>
        <v/>
      </c>
      <c r="S225" s="4" t="n"/>
    </row>
    <row r="226">
      <c r="A226" s="4" t="n"/>
      <c r="B226" s="4" t="n"/>
      <c r="C226" s="4" t="n"/>
      <c r="D226" s="4" t="n"/>
      <c r="E226" s="4" t="n"/>
      <c r="F226" s="7" t="n"/>
      <c r="G226" s="4" t="n"/>
      <c r="H226" s="4" t="n"/>
      <c r="I226" s="4" t="n"/>
      <c r="J226" s="4" t="n"/>
      <c r="K226" s="6">
        <f>IF(OR(I226="",J226=""),"",I226&amp;"-"&amp;J226)</f>
        <v/>
      </c>
      <c r="L226" s="6">
        <f>IF(OR(I226="",J226=""),"",IF(I226&gt;J226,"Gana",IF(I226=J226,"Empata","Pierde")))</f>
        <v/>
      </c>
      <c r="M226" s="4" t="n"/>
      <c r="N226" s="4" t="n"/>
      <c r="O226" s="6">
        <f>IF(OR(I226="",J226=""),"",I226+J226)</f>
        <v/>
      </c>
      <c r="P226" s="6">
        <f>IF(OR(I226="",J226=""),"",I226-J226)</f>
        <v/>
      </c>
      <c r="Q226" s="6">
        <f>IF(L226="","",IF(L226="Gana",3,IF(L226="Empata",1,0)))</f>
        <v/>
      </c>
      <c r="R226" s="6">
        <f>IF(L226="","",IF(L226="Pierde",3,IF(L226="Empata",1,0)))</f>
        <v/>
      </c>
      <c r="S226" s="4" t="n"/>
    </row>
    <row r="227">
      <c r="A227" s="4" t="n"/>
      <c r="B227" s="4" t="n"/>
      <c r="C227" s="4" t="n"/>
      <c r="D227" s="4" t="n"/>
      <c r="E227" s="4" t="n"/>
      <c r="F227" s="7" t="n"/>
      <c r="G227" s="4" t="n"/>
      <c r="H227" s="4" t="n"/>
      <c r="I227" s="4" t="n"/>
      <c r="J227" s="4" t="n"/>
      <c r="K227" s="6">
        <f>IF(OR(I227="",J227=""),"",I227&amp;"-"&amp;J227)</f>
        <v/>
      </c>
      <c r="L227" s="6">
        <f>IF(OR(I227="",J227=""),"",IF(I227&gt;J227,"Gana",IF(I227=J227,"Empata","Pierde")))</f>
        <v/>
      </c>
      <c r="M227" s="4" t="n"/>
      <c r="N227" s="4" t="n"/>
      <c r="O227" s="6">
        <f>IF(OR(I227="",J227=""),"",I227+J227)</f>
        <v/>
      </c>
      <c r="P227" s="6">
        <f>IF(OR(I227="",J227=""),"",I227-J227)</f>
        <v/>
      </c>
      <c r="Q227" s="6">
        <f>IF(L227="","",IF(L227="Gana",3,IF(L227="Empata",1,0)))</f>
        <v/>
      </c>
      <c r="R227" s="6">
        <f>IF(L227="","",IF(L227="Pierde",3,IF(L227="Empata",1,0)))</f>
        <v/>
      </c>
      <c r="S227" s="4" t="n"/>
    </row>
    <row r="228">
      <c r="A228" s="4" t="n"/>
      <c r="B228" s="4" t="n"/>
      <c r="C228" s="4" t="n"/>
      <c r="D228" s="4" t="n"/>
      <c r="E228" s="4" t="n"/>
      <c r="F228" s="7" t="n"/>
      <c r="G228" s="4" t="n"/>
      <c r="H228" s="4" t="n"/>
      <c r="I228" s="4" t="n"/>
      <c r="J228" s="4" t="n"/>
      <c r="K228" s="6">
        <f>IF(OR(I228="",J228=""),"",I228&amp;"-"&amp;J228)</f>
        <v/>
      </c>
      <c r="L228" s="6">
        <f>IF(OR(I228="",J228=""),"",IF(I228&gt;J228,"Gana",IF(I228=J228,"Empata","Pierde")))</f>
        <v/>
      </c>
      <c r="M228" s="4" t="n"/>
      <c r="N228" s="4" t="n"/>
      <c r="O228" s="6">
        <f>IF(OR(I228="",J228=""),"",I228+J228)</f>
        <v/>
      </c>
      <c r="P228" s="6">
        <f>IF(OR(I228="",J228=""),"",I228-J228)</f>
        <v/>
      </c>
      <c r="Q228" s="6">
        <f>IF(L228="","",IF(L228="Gana",3,IF(L228="Empata",1,0)))</f>
        <v/>
      </c>
      <c r="R228" s="6">
        <f>IF(L228="","",IF(L228="Pierde",3,IF(L228="Empata",1,0)))</f>
        <v/>
      </c>
      <c r="S228" s="4" t="n"/>
    </row>
    <row r="229">
      <c r="A229" s="4" t="n"/>
      <c r="B229" s="4" t="n"/>
      <c r="C229" s="4" t="n"/>
      <c r="D229" s="4" t="n"/>
      <c r="E229" s="4" t="n"/>
      <c r="F229" s="7" t="n"/>
      <c r="G229" s="4" t="n"/>
      <c r="H229" s="4" t="n"/>
      <c r="I229" s="4" t="n"/>
      <c r="J229" s="4" t="n"/>
      <c r="K229" s="6">
        <f>IF(OR(I229="",J229=""),"",I229&amp;"-"&amp;J229)</f>
        <v/>
      </c>
      <c r="L229" s="6">
        <f>IF(OR(I229="",J229=""),"",IF(I229&gt;J229,"Gana",IF(I229=J229,"Empata","Pierde")))</f>
        <v/>
      </c>
      <c r="M229" s="4" t="n"/>
      <c r="N229" s="4" t="n"/>
      <c r="O229" s="6">
        <f>IF(OR(I229="",J229=""),"",I229+J229)</f>
        <v/>
      </c>
      <c r="P229" s="6">
        <f>IF(OR(I229="",J229=""),"",I229-J229)</f>
        <v/>
      </c>
      <c r="Q229" s="6">
        <f>IF(L229="","",IF(L229="Gana",3,IF(L229="Empata",1,0)))</f>
        <v/>
      </c>
      <c r="R229" s="6">
        <f>IF(L229="","",IF(L229="Pierde",3,IF(L229="Empata",1,0)))</f>
        <v/>
      </c>
      <c r="S229" s="4" t="n"/>
    </row>
    <row r="230">
      <c r="A230" s="4" t="n"/>
      <c r="B230" s="4" t="n"/>
      <c r="C230" s="4" t="n"/>
      <c r="D230" s="4" t="n"/>
      <c r="E230" s="4" t="n"/>
      <c r="F230" s="7" t="n"/>
      <c r="G230" s="4" t="n"/>
      <c r="H230" s="4" t="n"/>
      <c r="I230" s="4" t="n"/>
      <c r="J230" s="4" t="n"/>
      <c r="K230" s="6">
        <f>IF(OR(I230="",J230=""),"",I230&amp;"-"&amp;J230)</f>
        <v/>
      </c>
      <c r="L230" s="6">
        <f>IF(OR(I230="",J230=""),"",IF(I230&gt;J230,"Gana",IF(I230=J230,"Empata","Pierde")))</f>
        <v/>
      </c>
      <c r="M230" s="4" t="n"/>
      <c r="N230" s="4" t="n"/>
      <c r="O230" s="6">
        <f>IF(OR(I230="",J230=""),"",I230+J230)</f>
        <v/>
      </c>
      <c r="P230" s="6">
        <f>IF(OR(I230="",J230=""),"",I230-J230)</f>
        <v/>
      </c>
      <c r="Q230" s="6">
        <f>IF(L230="","",IF(L230="Gana",3,IF(L230="Empata",1,0)))</f>
        <v/>
      </c>
      <c r="R230" s="6">
        <f>IF(L230="","",IF(L230="Pierde",3,IF(L230="Empata",1,0)))</f>
        <v/>
      </c>
      <c r="S230" s="4" t="n"/>
    </row>
    <row r="231">
      <c r="A231" s="4" t="n"/>
      <c r="B231" s="4" t="n"/>
      <c r="C231" s="4" t="n"/>
      <c r="D231" s="4" t="n"/>
      <c r="E231" s="4" t="n"/>
      <c r="F231" s="7" t="n"/>
      <c r="G231" s="4" t="n"/>
      <c r="H231" s="4" t="n"/>
      <c r="I231" s="4" t="n"/>
      <c r="J231" s="4" t="n"/>
      <c r="K231" s="6">
        <f>IF(OR(I231="",J231=""),"",I231&amp;"-"&amp;J231)</f>
        <v/>
      </c>
      <c r="L231" s="6">
        <f>IF(OR(I231="",J231=""),"",IF(I231&gt;J231,"Gana",IF(I231=J231,"Empata","Pierde")))</f>
        <v/>
      </c>
      <c r="M231" s="4" t="n"/>
      <c r="N231" s="4" t="n"/>
      <c r="O231" s="6">
        <f>IF(OR(I231="",J231=""),"",I231+J231)</f>
        <v/>
      </c>
      <c r="P231" s="6">
        <f>IF(OR(I231="",J231=""),"",I231-J231)</f>
        <v/>
      </c>
      <c r="Q231" s="6">
        <f>IF(L231="","",IF(L231="Gana",3,IF(L231="Empata",1,0)))</f>
        <v/>
      </c>
      <c r="R231" s="6">
        <f>IF(L231="","",IF(L231="Pierde",3,IF(L231="Empata",1,0)))</f>
        <v/>
      </c>
      <c r="S231" s="4" t="n"/>
    </row>
    <row r="232">
      <c r="A232" s="4" t="n"/>
      <c r="B232" s="4" t="n"/>
      <c r="C232" s="4" t="n"/>
      <c r="D232" s="4" t="n"/>
      <c r="E232" s="4" t="n"/>
      <c r="F232" s="7" t="n"/>
      <c r="G232" s="4" t="n"/>
      <c r="H232" s="4" t="n"/>
      <c r="I232" s="4" t="n"/>
      <c r="J232" s="4" t="n"/>
      <c r="K232" s="6">
        <f>IF(OR(I232="",J232=""),"",I232&amp;"-"&amp;J232)</f>
        <v/>
      </c>
      <c r="L232" s="6">
        <f>IF(OR(I232="",J232=""),"",IF(I232&gt;J232,"Gana",IF(I232=J232,"Empata","Pierde")))</f>
        <v/>
      </c>
      <c r="M232" s="4" t="n"/>
      <c r="N232" s="4" t="n"/>
      <c r="O232" s="6">
        <f>IF(OR(I232="",J232=""),"",I232+J232)</f>
        <v/>
      </c>
      <c r="P232" s="6">
        <f>IF(OR(I232="",J232=""),"",I232-J232)</f>
        <v/>
      </c>
      <c r="Q232" s="6">
        <f>IF(L232="","",IF(L232="Gana",3,IF(L232="Empata",1,0)))</f>
        <v/>
      </c>
      <c r="R232" s="6">
        <f>IF(L232="","",IF(L232="Pierde",3,IF(L232="Empata",1,0)))</f>
        <v/>
      </c>
      <c r="S232" s="4" t="n"/>
    </row>
    <row r="233">
      <c r="A233" s="4" t="n"/>
      <c r="B233" s="4" t="n"/>
      <c r="C233" s="4" t="n"/>
      <c r="D233" s="4" t="n"/>
      <c r="E233" s="4" t="n"/>
      <c r="F233" s="7" t="n"/>
      <c r="G233" s="4" t="n"/>
      <c r="H233" s="4" t="n"/>
      <c r="I233" s="4" t="n"/>
      <c r="J233" s="4" t="n"/>
      <c r="K233" s="6">
        <f>IF(OR(I233="",J233=""),"",I233&amp;"-"&amp;J233)</f>
        <v/>
      </c>
      <c r="L233" s="6">
        <f>IF(OR(I233="",J233=""),"",IF(I233&gt;J233,"Gana",IF(I233=J233,"Empata","Pierde")))</f>
        <v/>
      </c>
      <c r="M233" s="4" t="n"/>
      <c r="N233" s="4" t="n"/>
      <c r="O233" s="6">
        <f>IF(OR(I233="",J233=""),"",I233+J233)</f>
        <v/>
      </c>
      <c r="P233" s="6">
        <f>IF(OR(I233="",J233=""),"",I233-J233)</f>
        <v/>
      </c>
      <c r="Q233" s="6">
        <f>IF(L233="","",IF(L233="Gana",3,IF(L233="Empata",1,0)))</f>
        <v/>
      </c>
      <c r="R233" s="6">
        <f>IF(L233="","",IF(L233="Pierde",3,IF(L233="Empata",1,0)))</f>
        <v/>
      </c>
      <c r="S233" s="4" t="n"/>
    </row>
    <row r="234">
      <c r="A234" s="4" t="n"/>
      <c r="B234" s="4" t="n"/>
      <c r="C234" s="4" t="n"/>
      <c r="D234" s="4" t="n"/>
      <c r="E234" s="4" t="n"/>
      <c r="F234" s="7" t="n"/>
      <c r="G234" s="4" t="n"/>
      <c r="H234" s="4" t="n"/>
      <c r="I234" s="4" t="n"/>
      <c r="J234" s="4" t="n"/>
      <c r="K234" s="6">
        <f>IF(OR(I234="",J234=""),"",I234&amp;"-"&amp;J234)</f>
        <v/>
      </c>
      <c r="L234" s="6">
        <f>IF(OR(I234="",J234=""),"",IF(I234&gt;J234,"Gana",IF(I234=J234,"Empata","Pierde")))</f>
        <v/>
      </c>
      <c r="M234" s="4" t="n"/>
      <c r="N234" s="4" t="n"/>
      <c r="O234" s="6">
        <f>IF(OR(I234="",J234=""),"",I234+J234)</f>
        <v/>
      </c>
      <c r="P234" s="6">
        <f>IF(OR(I234="",J234=""),"",I234-J234)</f>
        <v/>
      </c>
      <c r="Q234" s="6">
        <f>IF(L234="","",IF(L234="Gana",3,IF(L234="Empata",1,0)))</f>
        <v/>
      </c>
      <c r="R234" s="6">
        <f>IF(L234="","",IF(L234="Pierde",3,IF(L234="Empata",1,0)))</f>
        <v/>
      </c>
      <c r="S234" s="4" t="n"/>
    </row>
    <row r="235">
      <c r="A235" s="4" t="n"/>
      <c r="B235" s="4" t="n"/>
      <c r="C235" s="4" t="n"/>
      <c r="D235" s="4" t="n"/>
      <c r="E235" s="4" t="n"/>
      <c r="F235" s="7" t="n"/>
      <c r="G235" s="4" t="n"/>
      <c r="H235" s="4" t="n"/>
      <c r="I235" s="4" t="n"/>
      <c r="J235" s="4" t="n"/>
      <c r="K235" s="6">
        <f>IF(OR(I235="",J235=""),"",I235&amp;"-"&amp;J235)</f>
        <v/>
      </c>
      <c r="L235" s="6">
        <f>IF(OR(I235="",J235=""),"",IF(I235&gt;J235,"Gana",IF(I235=J235,"Empata","Pierde")))</f>
        <v/>
      </c>
      <c r="M235" s="4" t="n"/>
      <c r="N235" s="4" t="n"/>
      <c r="O235" s="6">
        <f>IF(OR(I235="",J235=""),"",I235+J235)</f>
        <v/>
      </c>
      <c r="P235" s="6">
        <f>IF(OR(I235="",J235=""),"",I235-J235)</f>
        <v/>
      </c>
      <c r="Q235" s="6">
        <f>IF(L235="","",IF(L235="Gana",3,IF(L235="Empata",1,0)))</f>
        <v/>
      </c>
      <c r="R235" s="6">
        <f>IF(L235="","",IF(L235="Pierde",3,IF(L235="Empata",1,0)))</f>
        <v/>
      </c>
      <c r="S235" s="4" t="n"/>
    </row>
    <row r="236">
      <c r="A236" s="4" t="n"/>
      <c r="B236" s="4" t="n"/>
      <c r="C236" s="4" t="n"/>
      <c r="D236" s="4" t="n"/>
      <c r="E236" s="4" t="n"/>
      <c r="F236" s="7" t="n"/>
      <c r="G236" s="4" t="n"/>
      <c r="H236" s="4" t="n"/>
      <c r="I236" s="4" t="n"/>
      <c r="J236" s="4" t="n"/>
      <c r="K236" s="6">
        <f>IF(OR(I236="",J236=""),"",I236&amp;"-"&amp;J236)</f>
        <v/>
      </c>
      <c r="L236" s="6">
        <f>IF(OR(I236="",J236=""),"",IF(I236&gt;J236,"Gana",IF(I236=J236,"Empata","Pierde")))</f>
        <v/>
      </c>
      <c r="M236" s="4" t="n"/>
      <c r="N236" s="4" t="n"/>
      <c r="O236" s="6">
        <f>IF(OR(I236="",J236=""),"",I236+J236)</f>
        <v/>
      </c>
      <c r="P236" s="6">
        <f>IF(OR(I236="",J236=""),"",I236-J236)</f>
        <v/>
      </c>
      <c r="Q236" s="6">
        <f>IF(L236="","",IF(L236="Gana",3,IF(L236="Empata",1,0)))</f>
        <v/>
      </c>
      <c r="R236" s="6">
        <f>IF(L236="","",IF(L236="Pierde",3,IF(L236="Empata",1,0)))</f>
        <v/>
      </c>
      <c r="S236" s="4" t="n"/>
    </row>
    <row r="237">
      <c r="A237" s="4" t="n"/>
      <c r="B237" s="4" t="n"/>
      <c r="C237" s="4" t="n"/>
      <c r="D237" s="4" t="n"/>
      <c r="E237" s="4" t="n"/>
      <c r="F237" s="7" t="n"/>
      <c r="G237" s="4" t="n"/>
      <c r="H237" s="4" t="n"/>
      <c r="I237" s="4" t="n"/>
      <c r="J237" s="4" t="n"/>
      <c r="K237" s="6">
        <f>IF(OR(I237="",J237=""),"",I237&amp;"-"&amp;J237)</f>
        <v/>
      </c>
      <c r="L237" s="6">
        <f>IF(OR(I237="",J237=""),"",IF(I237&gt;J237,"Gana",IF(I237=J237,"Empata","Pierde")))</f>
        <v/>
      </c>
      <c r="M237" s="4" t="n"/>
      <c r="N237" s="4" t="n"/>
      <c r="O237" s="6">
        <f>IF(OR(I237="",J237=""),"",I237+J237)</f>
        <v/>
      </c>
      <c r="P237" s="6">
        <f>IF(OR(I237="",J237=""),"",I237-J237)</f>
        <v/>
      </c>
      <c r="Q237" s="6">
        <f>IF(L237="","",IF(L237="Gana",3,IF(L237="Empata",1,0)))</f>
        <v/>
      </c>
      <c r="R237" s="6">
        <f>IF(L237="","",IF(L237="Pierde",3,IF(L237="Empata",1,0)))</f>
        <v/>
      </c>
      <c r="S237" s="4" t="n"/>
    </row>
    <row r="238">
      <c r="A238" s="4" t="n"/>
      <c r="B238" s="4" t="n"/>
      <c r="C238" s="4" t="n"/>
      <c r="D238" s="4" t="n"/>
      <c r="E238" s="4" t="n"/>
      <c r="F238" s="7" t="n"/>
      <c r="G238" s="4" t="n"/>
      <c r="H238" s="4" t="n"/>
      <c r="I238" s="4" t="n"/>
      <c r="J238" s="4" t="n"/>
      <c r="K238" s="6">
        <f>IF(OR(I238="",J238=""),"",I238&amp;"-"&amp;J238)</f>
        <v/>
      </c>
      <c r="L238" s="6">
        <f>IF(OR(I238="",J238=""),"",IF(I238&gt;J238,"Gana",IF(I238=J238,"Empata","Pierde")))</f>
        <v/>
      </c>
      <c r="M238" s="4" t="n"/>
      <c r="N238" s="4" t="n"/>
      <c r="O238" s="6">
        <f>IF(OR(I238="",J238=""),"",I238+J238)</f>
        <v/>
      </c>
      <c r="P238" s="6">
        <f>IF(OR(I238="",J238=""),"",I238-J238)</f>
        <v/>
      </c>
      <c r="Q238" s="6">
        <f>IF(L238="","",IF(L238="Gana",3,IF(L238="Empata",1,0)))</f>
        <v/>
      </c>
      <c r="R238" s="6">
        <f>IF(L238="","",IF(L238="Pierde",3,IF(L238="Empata",1,0)))</f>
        <v/>
      </c>
      <c r="S238" s="4" t="n"/>
    </row>
    <row r="239">
      <c r="A239" s="4" t="n"/>
      <c r="B239" s="4" t="n"/>
      <c r="C239" s="4" t="n"/>
      <c r="D239" s="4" t="n"/>
      <c r="E239" s="4" t="n"/>
      <c r="F239" s="7" t="n"/>
      <c r="G239" s="4" t="n"/>
      <c r="H239" s="4" t="n"/>
      <c r="I239" s="4" t="n"/>
      <c r="J239" s="4" t="n"/>
      <c r="K239" s="6">
        <f>IF(OR(I239="",J239=""),"",I239&amp;"-"&amp;J239)</f>
        <v/>
      </c>
      <c r="L239" s="6">
        <f>IF(OR(I239="",J239=""),"",IF(I239&gt;J239,"Gana",IF(I239=J239,"Empata","Pierde")))</f>
        <v/>
      </c>
      <c r="M239" s="4" t="n"/>
      <c r="N239" s="4" t="n"/>
      <c r="O239" s="6">
        <f>IF(OR(I239="",J239=""),"",I239+J239)</f>
        <v/>
      </c>
      <c r="P239" s="6">
        <f>IF(OR(I239="",J239=""),"",I239-J239)</f>
        <v/>
      </c>
      <c r="Q239" s="6">
        <f>IF(L239="","",IF(L239="Gana",3,IF(L239="Empata",1,0)))</f>
        <v/>
      </c>
      <c r="R239" s="6">
        <f>IF(L239="","",IF(L239="Pierde",3,IF(L239="Empata",1,0)))</f>
        <v/>
      </c>
      <c r="S239" s="4" t="n"/>
    </row>
    <row r="240">
      <c r="A240" s="4" t="n"/>
      <c r="B240" s="4" t="n"/>
      <c r="C240" s="4" t="n"/>
      <c r="D240" s="4" t="n"/>
      <c r="E240" s="4" t="n"/>
      <c r="F240" s="7" t="n"/>
      <c r="G240" s="4" t="n"/>
      <c r="H240" s="4" t="n"/>
      <c r="I240" s="4" t="n"/>
      <c r="J240" s="4" t="n"/>
      <c r="K240" s="6">
        <f>IF(OR(I240="",J240=""),"",I240&amp;"-"&amp;J240)</f>
        <v/>
      </c>
      <c r="L240" s="6">
        <f>IF(OR(I240="",J240=""),"",IF(I240&gt;J240,"Gana",IF(I240=J240,"Empata","Pierde")))</f>
        <v/>
      </c>
      <c r="M240" s="4" t="n"/>
      <c r="N240" s="4" t="n"/>
      <c r="O240" s="6">
        <f>IF(OR(I240="",J240=""),"",I240+J240)</f>
        <v/>
      </c>
      <c r="P240" s="6">
        <f>IF(OR(I240="",J240=""),"",I240-J240)</f>
        <v/>
      </c>
      <c r="Q240" s="6">
        <f>IF(L240="","",IF(L240="Gana",3,IF(L240="Empata",1,0)))</f>
        <v/>
      </c>
      <c r="R240" s="6">
        <f>IF(L240="","",IF(L240="Pierde",3,IF(L240="Empata",1,0)))</f>
        <v/>
      </c>
      <c r="S240" s="4" t="n"/>
    </row>
    <row r="241">
      <c r="A241" s="4" t="n"/>
      <c r="B241" s="4" t="n"/>
      <c r="C241" s="4" t="n"/>
      <c r="D241" s="4" t="n"/>
      <c r="E241" s="4" t="n"/>
      <c r="F241" s="7" t="n"/>
      <c r="G241" s="4" t="n"/>
      <c r="H241" s="4" t="n"/>
      <c r="I241" s="4" t="n"/>
      <c r="J241" s="4" t="n"/>
      <c r="K241" s="6">
        <f>IF(OR(I241="",J241=""),"",I241&amp;"-"&amp;J241)</f>
        <v/>
      </c>
      <c r="L241" s="6">
        <f>IF(OR(I241="",J241=""),"",IF(I241&gt;J241,"Gana",IF(I241=J241,"Empata","Pierde")))</f>
        <v/>
      </c>
      <c r="M241" s="4" t="n"/>
      <c r="N241" s="4" t="n"/>
      <c r="O241" s="6">
        <f>IF(OR(I241="",J241=""),"",I241+J241)</f>
        <v/>
      </c>
      <c r="P241" s="6">
        <f>IF(OR(I241="",J241=""),"",I241-J241)</f>
        <v/>
      </c>
      <c r="Q241" s="6">
        <f>IF(L241="","",IF(L241="Gana",3,IF(L241="Empata",1,0)))</f>
        <v/>
      </c>
      <c r="R241" s="6">
        <f>IF(L241="","",IF(L241="Pierde",3,IF(L241="Empata",1,0)))</f>
        <v/>
      </c>
      <c r="S241" s="4" t="n"/>
    </row>
    <row r="242">
      <c r="A242" s="4" t="n"/>
      <c r="B242" s="4" t="n"/>
      <c r="C242" s="4" t="n"/>
      <c r="D242" s="4" t="n"/>
      <c r="E242" s="4" t="n"/>
      <c r="F242" s="7" t="n"/>
      <c r="G242" s="4" t="n"/>
      <c r="H242" s="4" t="n"/>
      <c r="I242" s="4" t="n"/>
      <c r="J242" s="4" t="n"/>
      <c r="K242" s="6">
        <f>IF(OR(I242="",J242=""),"",I242&amp;"-"&amp;J242)</f>
        <v/>
      </c>
      <c r="L242" s="6">
        <f>IF(OR(I242="",J242=""),"",IF(I242&gt;J242,"Gana",IF(I242=J242,"Empata","Pierde")))</f>
        <v/>
      </c>
      <c r="M242" s="4" t="n"/>
      <c r="N242" s="4" t="n"/>
      <c r="O242" s="6">
        <f>IF(OR(I242="",J242=""),"",I242+J242)</f>
        <v/>
      </c>
      <c r="P242" s="6">
        <f>IF(OR(I242="",J242=""),"",I242-J242)</f>
        <v/>
      </c>
      <c r="Q242" s="6">
        <f>IF(L242="","",IF(L242="Gana",3,IF(L242="Empata",1,0)))</f>
        <v/>
      </c>
      <c r="R242" s="6">
        <f>IF(L242="","",IF(L242="Pierde",3,IF(L242="Empata",1,0)))</f>
        <v/>
      </c>
      <c r="S242" s="4" t="n"/>
    </row>
    <row r="243">
      <c r="A243" s="4" t="n"/>
      <c r="B243" s="4" t="n"/>
      <c r="C243" s="4" t="n"/>
      <c r="D243" s="4" t="n"/>
      <c r="E243" s="4" t="n"/>
      <c r="F243" s="7" t="n"/>
      <c r="G243" s="4" t="n"/>
      <c r="H243" s="4" t="n"/>
      <c r="I243" s="4" t="n"/>
      <c r="J243" s="4" t="n"/>
      <c r="K243" s="6">
        <f>IF(OR(I243="",J243=""),"",I243&amp;"-"&amp;J243)</f>
        <v/>
      </c>
      <c r="L243" s="6">
        <f>IF(OR(I243="",J243=""),"",IF(I243&gt;J243,"Gana",IF(I243=J243,"Empata","Pierde")))</f>
        <v/>
      </c>
      <c r="M243" s="4" t="n"/>
      <c r="N243" s="4" t="n"/>
      <c r="O243" s="6">
        <f>IF(OR(I243="",J243=""),"",I243+J243)</f>
        <v/>
      </c>
      <c r="P243" s="6">
        <f>IF(OR(I243="",J243=""),"",I243-J243)</f>
        <v/>
      </c>
      <c r="Q243" s="6">
        <f>IF(L243="","",IF(L243="Gana",3,IF(L243="Empata",1,0)))</f>
        <v/>
      </c>
      <c r="R243" s="6">
        <f>IF(L243="","",IF(L243="Pierde",3,IF(L243="Empata",1,0)))</f>
        <v/>
      </c>
      <c r="S243" s="4" t="n"/>
    </row>
    <row r="244">
      <c r="A244" s="4" t="n"/>
      <c r="B244" s="4" t="n"/>
      <c r="C244" s="4" t="n"/>
      <c r="D244" s="4" t="n"/>
      <c r="E244" s="4" t="n"/>
      <c r="F244" s="7" t="n"/>
      <c r="G244" s="4" t="n"/>
      <c r="H244" s="4" t="n"/>
      <c r="I244" s="4" t="n"/>
      <c r="J244" s="4" t="n"/>
      <c r="K244" s="6">
        <f>IF(OR(I244="",J244=""),"",I244&amp;"-"&amp;J244)</f>
        <v/>
      </c>
      <c r="L244" s="6">
        <f>IF(OR(I244="",J244=""),"",IF(I244&gt;J244,"Gana",IF(I244=J244,"Empata","Pierde")))</f>
        <v/>
      </c>
      <c r="M244" s="4" t="n"/>
      <c r="N244" s="4" t="n"/>
      <c r="O244" s="6">
        <f>IF(OR(I244="",J244=""),"",I244+J244)</f>
        <v/>
      </c>
      <c r="P244" s="6">
        <f>IF(OR(I244="",J244=""),"",I244-J244)</f>
        <v/>
      </c>
      <c r="Q244" s="6">
        <f>IF(L244="","",IF(L244="Gana",3,IF(L244="Empata",1,0)))</f>
        <v/>
      </c>
      <c r="R244" s="6">
        <f>IF(L244="","",IF(L244="Pierde",3,IF(L244="Empata",1,0)))</f>
        <v/>
      </c>
      <c r="S244" s="4" t="n"/>
    </row>
    <row r="245">
      <c r="A245" s="4" t="n"/>
      <c r="B245" s="4" t="n"/>
      <c r="C245" s="4" t="n"/>
      <c r="D245" s="4" t="n"/>
      <c r="E245" s="4" t="n"/>
      <c r="F245" s="7" t="n"/>
      <c r="G245" s="4" t="n"/>
      <c r="H245" s="4" t="n"/>
      <c r="I245" s="4" t="n"/>
      <c r="J245" s="4" t="n"/>
      <c r="K245" s="6">
        <f>IF(OR(I245="",J245=""),"",I245&amp;"-"&amp;J245)</f>
        <v/>
      </c>
      <c r="L245" s="6">
        <f>IF(OR(I245="",J245=""),"",IF(I245&gt;J245,"Gana",IF(I245=J245,"Empata","Pierde")))</f>
        <v/>
      </c>
      <c r="M245" s="4" t="n"/>
      <c r="N245" s="4" t="n"/>
      <c r="O245" s="6">
        <f>IF(OR(I245="",J245=""),"",I245+J245)</f>
        <v/>
      </c>
      <c r="P245" s="6">
        <f>IF(OR(I245="",J245=""),"",I245-J245)</f>
        <v/>
      </c>
      <c r="Q245" s="6">
        <f>IF(L245="","",IF(L245="Gana",3,IF(L245="Empata",1,0)))</f>
        <v/>
      </c>
      <c r="R245" s="6">
        <f>IF(L245="","",IF(L245="Pierde",3,IF(L245="Empata",1,0)))</f>
        <v/>
      </c>
      <c r="S245" s="4" t="n"/>
    </row>
    <row r="246">
      <c r="A246" s="4" t="n"/>
      <c r="B246" s="4" t="n"/>
      <c r="C246" s="4" t="n"/>
      <c r="D246" s="4" t="n"/>
      <c r="E246" s="4" t="n"/>
      <c r="F246" s="7" t="n"/>
      <c r="G246" s="4" t="n"/>
      <c r="H246" s="4" t="n"/>
      <c r="I246" s="4" t="n"/>
      <c r="J246" s="4" t="n"/>
      <c r="K246" s="6">
        <f>IF(OR(I246="",J246=""),"",I246&amp;"-"&amp;J246)</f>
        <v/>
      </c>
      <c r="L246" s="6">
        <f>IF(OR(I246="",J246=""),"",IF(I246&gt;J246,"Gana",IF(I246=J246,"Empata","Pierde")))</f>
        <v/>
      </c>
      <c r="M246" s="4" t="n"/>
      <c r="N246" s="4" t="n"/>
      <c r="O246" s="6">
        <f>IF(OR(I246="",J246=""),"",I246+J246)</f>
        <v/>
      </c>
      <c r="P246" s="6">
        <f>IF(OR(I246="",J246=""),"",I246-J246)</f>
        <v/>
      </c>
      <c r="Q246" s="6">
        <f>IF(L246="","",IF(L246="Gana",3,IF(L246="Empata",1,0)))</f>
        <v/>
      </c>
      <c r="R246" s="6">
        <f>IF(L246="","",IF(L246="Pierde",3,IF(L246="Empata",1,0)))</f>
        <v/>
      </c>
      <c r="S246" s="4" t="n"/>
    </row>
    <row r="247">
      <c r="A247" s="4" t="n"/>
      <c r="B247" s="4" t="n"/>
      <c r="C247" s="4" t="n"/>
      <c r="D247" s="4" t="n"/>
      <c r="E247" s="4" t="n"/>
      <c r="F247" s="7" t="n"/>
      <c r="G247" s="4" t="n"/>
      <c r="H247" s="4" t="n"/>
      <c r="I247" s="4" t="n"/>
      <c r="J247" s="4" t="n"/>
      <c r="K247" s="6">
        <f>IF(OR(I247="",J247=""),"",I247&amp;"-"&amp;J247)</f>
        <v/>
      </c>
      <c r="L247" s="6">
        <f>IF(OR(I247="",J247=""),"",IF(I247&gt;J247,"Gana",IF(I247=J247,"Empata","Pierde")))</f>
        <v/>
      </c>
      <c r="M247" s="4" t="n"/>
      <c r="N247" s="4" t="n"/>
      <c r="O247" s="6">
        <f>IF(OR(I247="",J247=""),"",I247+J247)</f>
        <v/>
      </c>
      <c r="P247" s="6">
        <f>IF(OR(I247="",J247=""),"",I247-J247)</f>
        <v/>
      </c>
      <c r="Q247" s="6">
        <f>IF(L247="","",IF(L247="Gana",3,IF(L247="Empata",1,0)))</f>
        <v/>
      </c>
      <c r="R247" s="6">
        <f>IF(L247="","",IF(L247="Pierde",3,IF(L247="Empata",1,0)))</f>
        <v/>
      </c>
      <c r="S247" s="4" t="n"/>
    </row>
    <row r="248">
      <c r="A248" s="4" t="n"/>
      <c r="B248" s="4" t="n"/>
      <c r="C248" s="4" t="n"/>
      <c r="D248" s="4" t="n"/>
      <c r="E248" s="4" t="n"/>
      <c r="F248" s="7" t="n"/>
      <c r="G248" s="4" t="n"/>
      <c r="H248" s="4" t="n"/>
      <c r="I248" s="4" t="n"/>
      <c r="J248" s="4" t="n"/>
      <c r="K248" s="6">
        <f>IF(OR(I248="",J248=""),"",I248&amp;"-"&amp;J248)</f>
        <v/>
      </c>
      <c r="L248" s="6">
        <f>IF(OR(I248="",J248=""),"",IF(I248&gt;J248,"Gana",IF(I248=J248,"Empata","Pierde")))</f>
        <v/>
      </c>
      <c r="M248" s="4" t="n"/>
      <c r="N248" s="4" t="n"/>
      <c r="O248" s="6">
        <f>IF(OR(I248="",J248=""),"",I248+J248)</f>
        <v/>
      </c>
      <c r="P248" s="6">
        <f>IF(OR(I248="",J248=""),"",I248-J248)</f>
        <v/>
      </c>
      <c r="Q248" s="6">
        <f>IF(L248="","",IF(L248="Gana",3,IF(L248="Empata",1,0)))</f>
        <v/>
      </c>
      <c r="R248" s="6">
        <f>IF(L248="","",IF(L248="Pierde",3,IF(L248="Empata",1,0)))</f>
        <v/>
      </c>
      <c r="S248" s="4" t="n"/>
    </row>
    <row r="249">
      <c r="A249" s="4" t="n"/>
      <c r="B249" s="4" t="n"/>
      <c r="C249" s="4" t="n"/>
      <c r="D249" s="4" t="n"/>
      <c r="E249" s="4" t="n"/>
      <c r="F249" s="7" t="n"/>
      <c r="G249" s="4" t="n"/>
      <c r="H249" s="4" t="n"/>
      <c r="I249" s="4" t="n"/>
      <c r="J249" s="4" t="n"/>
      <c r="K249" s="6">
        <f>IF(OR(I249="",J249=""),"",I249&amp;"-"&amp;J249)</f>
        <v/>
      </c>
      <c r="L249" s="6">
        <f>IF(OR(I249="",J249=""),"",IF(I249&gt;J249,"Gana",IF(I249=J249,"Empata","Pierde")))</f>
        <v/>
      </c>
      <c r="M249" s="4" t="n"/>
      <c r="N249" s="4" t="n"/>
      <c r="O249" s="6">
        <f>IF(OR(I249="",J249=""),"",I249+J249)</f>
        <v/>
      </c>
      <c r="P249" s="6">
        <f>IF(OR(I249="",J249=""),"",I249-J249)</f>
        <v/>
      </c>
      <c r="Q249" s="6">
        <f>IF(L249="","",IF(L249="Gana",3,IF(L249="Empata",1,0)))</f>
        <v/>
      </c>
      <c r="R249" s="6">
        <f>IF(L249="","",IF(L249="Pierde",3,IF(L249="Empata",1,0)))</f>
        <v/>
      </c>
      <c r="S249" s="4" t="n"/>
    </row>
    <row r="250">
      <c r="A250" s="4" t="n"/>
      <c r="B250" s="4" t="n"/>
      <c r="C250" s="4" t="n"/>
      <c r="D250" s="4" t="n"/>
      <c r="E250" s="4" t="n"/>
      <c r="F250" s="7" t="n"/>
      <c r="G250" s="4" t="n"/>
      <c r="H250" s="4" t="n"/>
      <c r="I250" s="4" t="n"/>
      <c r="J250" s="4" t="n"/>
      <c r="K250" s="6">
        <f>IF(OR(I250="",J250=""),"",I250&amp;"-"&amp;J250)</f>
        <v/>
      </c>
      <c r="L250" s="6">
        <f>IF(OR(I250="",J250=""),"",IF(I250&gt;J250,"Gana",IF(I250=J250,"Empata","Pierde")))</f>
        <v/>
      </c>
      <c r="M250" s="4" t="n"/>
      <c r="N250" s="4" t="n"/>
      <c r="O250" s="6">
        <f>IF(OR(I250="",J250=""),"",I250+J250)</f>
        <v/>
      </c>
      <c r="P250" s="6">
        <f>IF(OR(I250="",J250=""),"",I250-J250)</f>
        <v/>
      </c>
      <c r="Q250" s="6">
        <f>IF(L250="","",IF(L250="Gana",3,IF(L250="Empata",1,0)))</f>
        <v/>
      </c>
      <c r="R250" s="6">
        <f>IF(L250="","",IF(L250="Pierde",3,IF(L250="Empata",1,0)))</f>
        <v/>
      </c>
      <c r="S250" s="4" t="n"/>
    </row>
    <row r="251">
      <c r="A251" s="4" t="n"/>
      <c r="B251" s="4" t="n"/>
      <c r="C251" s="4" t="n"/>
      <c r="D251" s="4" t="n"/>
      <c r="E251" s="4" t="n"/>
      <c r="F251" s="7" t="n"/>
      <c r="G251" s="4" t="n"/>
      <c r="H251" s="4" t="n"/>
      <c r="I251" s="4" t="n"/>
      <c r="J251" s="4" t="n"/>
      <c r="K251" s="6">
        <f>IF(OR(I251="",J251=""),"",I251&amp;"-"&amp;J251)</f>
        <v/>
      </c>
      <c r="L251" s="6">
        <f>IF(OR(I251="",J251=""),"",IF(I251&gt;J251,"Gana",IF(I251=J251,"Empata","Pierde")))</f>
        <v/>
      </c>
      <c r="M251" s="4" t="n"/>
      <c r="N251" s="4" t="n"/>
      <c r="O251" s="6">
        <f>IF(OR(I251="",J251=""),"",I251+J251)</f>
        <v/>
      </c>
      <c r="P251" s="6">
        <f>IF(OR(I251="",J251=""),"",I251-J251)</f>
        <v/>
      </c>
      <c r="Q251" s="6">
        <f>IF(L251="","",IF(L251="Gana",3,IF(L251="Empata",1,0)))</f>
        <v/>
      </c>
      <c r="R251" s="6">
        <f>IF(L251="","",IF(L251="Pierde",3,IF(L251="Empata",1,0)))</f>
        <v/>
      </c>
      <c r="S251" s="4" t="n"/>
    </row>
    <row r="252">
      <c r="A252" s="4" t="n"/>
      <c r="B252" s="4" t="n"/>
      <c r="C252" s="4" t="n"/>
      <c r="D252" s="4" t="n"/>
      <c r="E252" s="4" t="n"/>
      <c r="F252" s="7" t="n"/>
      <c r="G252" s="4" t="n"/>
      <c r="H252" s="4" t="n"/>
      <c r="I252" s="4" t="n"/>
      <c r="J252" s="4" t="n"/>
      <c r="K252" s="6">
        <f>IF(OR(I252="",J252=""),"",I252&amp;"-"&amp;J252)</f>
        <v/>
      </c>
      <c r="L252" s="6">
        <f>IF(OR(I252="",J252=""),"",IF(I252&gt;J252,"Gana",IF(I252=J252,"Empata","Pierde")))</f>
        <v/>
      </c>
      <c r="M252" s="4" t="n"/>
      <c r="N252" s="4" t="n"/>
      <c r="O252" s="6">
        <f>IF(OR(I252="",J252=""),"",I252+J252)</f>
        <v/>
      </c>
      <c r="P252" s="6">
        <f>IF(OR(I252="",J252=""),"",I252-J252)</f>
        <v/>
      </c>
      <c r="Q252" s="6">
        <f>IF(L252="","",IF(L252="Gana",3,IF(L252="Empata",1,0)))</f>
        <v/>
      </c>
      <c r="R252" s="6">
        <f>IF(L252="","",IF(L252="Pierde",3,IF(L252="Empata",1,0)))</f>
        <v/>
      </c>
      <c r="S252" s="4" t="n"/>
    </row>
    <row r="253">
      <c r="A253" s="4" t="n"/>
      <c r="B253" s="4" t="n"/>
      <c r="C253" s="4" t="n"/>
      <c r="D253" s="4" t="n"/>
      <c r="E253" s="4" t="n"/>
      <c r="F253" s="7" t="n"/>
      <c r="G253" s="4" t="n"/>
      <c r="H253" s="4" t="n"/>
      <c r="I253" s="4" t="n"/>
      <c r="J253" s="4" t="n"/>
      <c r="K253" s="6">
        <f>IF(OR(I253="",J253=""),"",I253&amp;"-"&amp;J253)</f>
        <v/>
      </c>
      <c r="L253" s="6">
        <f>IF(OR(I253="",J253=""),"",IF(I253&gt;J253,"Gana",IF(I253=J253,"Empata","Pierde")))</f>
        <v/>
      </c>
      <c r="M253" s="4" t="n"/>
      <c r="N253" s="4" t="n"/>
      <c r="O253" s="6">
        <f>IF(OR(I253="",J253=""),"",I253+J253)</f>
        <v/>
      </c>
      <c r="P253" s="6">
        <f>IF(OR(I253="",J253=""),"",I253-J253)</f>
        <v/>
      </c>
      <c r="Q253" s="6">
        <f>IF(L253="","",IF(L253="Gana",3,IF(L253="Empata",1,0)))</f>
        <v/>
      </c>
      <c r="R253" s="6">
        <f>IF(L253="","",IF(L253="Pierde",3,IF(L253="Empata",1,0)))</f>
        <v/>
      </c>
      <c r="S253" s="4" t="n"/>
    </row>
    <row r="254">
      <c r="A254" s="4" t="n"/>
      <c r="B254" s="4" t="n"/>
      <c r="C254" s="4" t="n"/>
      <c r="D254" s="4" t="n"/>
      <c r="E254" s="4" t="n"/>
      <c r="F254" s="7" t="n"/>
      <c r="G254" s="4" t="n"/>
      <c r="H254" s="4" t="n"/>
      <c r="I254" s="4" t="n"/>
      <c r="J254" s="4" t="n"/>
      <c r="K254" s="6">
        <f>IF(OR(I254="",J254=""),"",I254&amp;"-"&amp;J254)</f>
        <v/>
      </c>
      <c r="L254" s="6">
        <f>IF(OR(I254="",J254=""),"",IF(I254&gt;J254,"Gana",IF(I254=J254,"Empata","Pierde")))</f>
        <v/>
      </c>
      <c r="M254" s="4" t="n"/>
      <c r="N254" s="4" t="n"/>
      <c r="O254" s="6">
        <f>IF(OR(I254="",J254=""),"",I254+J254)</f>
        <v/>
      </c>
      <c r="P254" s="6">
        <f>IF(OR(I254="",J254=""),"",I254-J254)</f>
        <v/>
      </c>
      <c r="Q254" s="6">
        <f>IF(L254="","",IF(L254="Gana",3,IF(L254="Empata",1,0)))</f>
        <v/>
      </c>
      <c r="R254" s="6">
        <f>IF(L254="","",IF(L254="Pierde",3,IF(L254="Empata",1,0)))</f>
        <v/>
      </c>
      <c r="S254" s="4" t="n"/>
    </row>
    <row r="255">
      <c r="A255" s="4" t="n"/>
      <c r="B255" s="4" t="n"/>
      <c r="C255" s="4" t="n"/>
      <c r="D255" s="4" t="n"/>
      <c r="E255" s="4" t="n"/>
      <c r="F255" s="7" t="n"/>
      <c r="G255" s="4" t="n"/>
      <c r="H255" s="4" t="n"/>
      <c r="I255" s="4" t="n"/>
      <c r="J255" s="4" t="n"/>
      <c r="K255" s="6">
        <f>IF(OR(I255="",J255=""),"",I255&amp;"-"&amp;J255)</f>
        <v/>
      </c>
      <c r="L255" s="6">
        <f>IF(OR(I255="",J255=""),"",IF(I255&gt;J255,"Gana",IF(I255=J255,"Empata","Pierde")))</f>
        <v/>
      </c>
      <c r="M255" s="4" t="n"/>
      <c r="N255" s="4" t="n"/>
      <c r="O255" s="6">
        <f>IF(OR(I255="",J255=""),"",I255+J255)</f>
        <v/>
      </c>
      <c r="P255" s="6">
        <f>IF(OR(I255="",J255=""),"",I255-J255)</f>
        <v/>
      </c>
      <c r="Q255" s="6">
        <f>IF(L255="","",IF(L255="Gana",3,IF(L255="Empata",1,0)))</f>
        <v/>
      </c>
      <c r="R255" s="6">
        <f>IF(L255="","",IF(L255="Pierde",3,IF(L255="Empata",1,0)))</f>
        <v/>
      </c>
      <c r="S255" s="4" t="n"/>
    </row>
    <row r="256">
      <c r="A256" s="4" t="n"/>
      <c r="B256" s="4" t="n"/>
      <c r="C256" s="4" t="n"/>
      <c r="D256" s="4" t="n"/>
      <c r="E256" s="4" t="n"/>
      <c r="F256" s="7" t="n"/>
      <c r="G256" s="4" t="n"/>
      <c r="H256" s="4" t="n"/>
      <c r="I256" s="4" t="n"/>
      <c r="J256" s="4" t="n"/>
      <c r="K256" s="6">
        <f>IF(OR(I256="",J256=""),"",I256&amp;"-"&amp;J256)</f>
        <v/>
      </c>
      <c r="L256" s="6">
        <f>IF(OR(I256="",J256=""),"",IF(I256&gt;J256,"Gana",IF(I256=J256,"Empata","Pierde")))</f>
        <v/>
      </c>
      <c r="M256" s="4" t="n"/>
      <c r="N256" s="4" t="n"/>
      <c r="O256" s="6">
        <f>IF(OR(I256="",J256=""),"",I256+J256)</f>
        <v/>
      </c>
      <c r="P256" s="6">
        <f>IF(OR(I256="",J256=""),"",I256-J256)</f>
        <v/>
      </c>
      <c r="Q256" s="6">
        <f>IF(L256="","",IF(L256="Gana",3,IF(L256="Empata",1,0)))</f>
        <v/>
      </c>
      <c r="R256" s="6">
        <f>IF(L256="","",IF(L256="Pierde",3,IF(L256="Empata",1,0)))</f>
        <v/>
      </c>
      <c r="S256" s="4" t="n"/>
    </row>
    <row r="257">
      <c r="A257" s="4" t="n"/>
      <c r="B257" s="4" t="n"/>
      <c r="C257" s="4" t="n"/>
      <c r="D257" s="4" t="n"/>
      <c r="E257" s="4" t="n"/>
      <c r="F257" s="7" t="n"/>
      <c r="G257" s="4" t="n"/>
      <c r="H257" s="4" t="n"/>
      <c r="I257" s="4" t="n"/>
      <c r="J257" s="4" t="n"/>
      <c r="K257" s="6">
        <f>IF(OR(I257="",J257=""),"",I257&amp;"-"&amp;J257)</f>
        <v/>
      </c>
      <c r="L257" s="6">
        <f>IF(OR(I257="",J257=""),"",IF(I257&gt;J257,"Gana",IF(I257=J257,"Empata","Pierde")))</f>
        <v/>
      </c>
      <c r="M257" s="4" t="n"/>
      <c r="N257" s="4" t="n"/>
      <c r="O257" s="6">
        <f>IF(OR(I257="",J257=""),"",I257+J257)</f>
        <v/>
      </c>
      <c r="P257" s="6">
        <f>IF(OR(I257="",J257=""),"",I257-J257)</f>
        <v/>
      </c>
      <c r="Q257" s="6">
        <f>IF(L257="","",IF(L257="Gana",3,IF(L257="Empata",1,0)))</f>
        <v/>
      </c>
      <c r="R257" s="6">
        <f>IF(L257="","",IF(L257="Pierde",3,IF(L257="Empata",1,0)))</f>
        <v/>
      </c>
      <c r="S257" s="4" t="n"/>
    </row>
    <row r="258">
      <c r="A258" s="4" t="n"/>
      <c r="B258" s="4" t="n"/>
      <c r="C258" s="4" t="n"/>
      <c r="D258" s="4" t="n"/>
      <c r="E258" s="4" t="n"/>
      <c r="F258" s="7" t="n"/>
      <c r="G258" s="4" t="n"/>
      <c r="H258" s="4" t="n"/>
      <c r="I258" s="4" t="n"/>
      <c r="J258" s="4" t="n"/>
      <c r="K258" s="6">
        <f>IF(OR(I258="",J258=""),"",I258&amp;"-"&amp;J258)</f>
        <v/>
      </c>
      <c r="L258" s="6">
        <f>IF(OR(I258="",J258=""),"",IF(I258&gt;J258,"Gana",IF(I258=J258,"Empata","Pierde")))</f>
        <v/>
      </c>
      <c r="M258" s="4" t="n"/>
      <c r="N258" s="4" t="n"/>
      <c r="O258" s="6">
        <f>IF(OR(I258="",J258=""),"",I258+J258)</f>
        <v/>
      </c>
      <c r="P258" s="6">
        <f>IF(OR(I258="",J258=""),"",I258-J258)</f>
        <v/>
      </c>
      <c r="Q258" s="6">
        <f>IF(L258="","",IF(L258="Gana",3,IF(L258="Empata",1,0)))</f>
        <v/>
      </c>
      <c r="R258" s="6">
        <f>IF(L258="","",IF(L258="Pierde",3,IF(L258="Empata",1,0)))</f>
        <v/>
      </c>
      <c r="S258" s="4" t="n"/>
    </row>
    <row r="259">
      <c r="A259" s="4" t="n"/>
      <c r="B259" s="4" t="n"/>
      <c r="C259" s="4" t="n"/>
      <c r="D259" s="4" t="n"/>
      <c r="E259" s="4" t="n"/>
      <c r="F259" s="7" t="n"/>
      <c r="G259" s="4" t="n"/>
      <c r="H259" s="4" t="n"/>
      <c r="I259" s="4" t="n"/>
      <c r="J259" s="4" t="n"/>
      <c r="K259" s="6">
        <f>IF(OR(I259="",J259=""),"",I259&amp;"-"&amp;J259)</f>
        <v/>
      </c>
      <c r="L259" s="6">
        <f>IF(OR(I259="",J259=""),"",IF(I259&gt;J259,"Gana",IF(I259=J259,"Empata","Pierde")))</f>
        <v/>
      </c>
      <c r="M259" s="4" t="n"/>
      <c r="N259" s="4" t="n"/>
      <c r="O259" s="6">
        <f>IF(OR(I259="",J259=""),"",I259+J259)</f>
        <v/>
      </c>
      <c r="P259" s="6">
        <f>IF(OR(I259="",J259=""),"",I259-J259)</f>
        <v/>
      </c>
      <c r="Q259" s="6">
        <f>IF(L259="","",IF(L259="Gana",3,IF(L259="Empata",1,0)))</f>
        <v/>
      </c>
      <c r="R259" s="6">
        <f>IF(L259="","",IF(L259="Pierde",3,IF(L259="Empata",1,0)))</f>
        <v/>
      </c>
      <c r="S259" s="4" t="n"/>
    </row>
    <row r="260">
      <c r="A260" s="4" t="n"/>
      <c r="B260" s="4" t="n"/>
      <c r="C260" s="4" t="n"/>
      <c r="D260" s="4" t="n"/>
      <c r="E260" s="4" t="n"/>
      <c r="F260" s="7" t="n"/>
      <c r="G260" s="4" t="n"/>
      <c r="H260" s="4" t="n"/>
      <c r="I260" s="4" t="n"/>
      <c r="J260" s="4" t="n"/>
      <c r="K260" s="6">
        <f>IF(OR(I260="",J260=""),"",I260&amp;"-"&amp;J260)</f>
        <v/>
      </c>
      <c r="L260" s="6">
        <f>IF(OR(I260="",J260=""),"",IF(I260&gt;J260,"Gana",IF(I260=J260,"Empata","Pierde")))</f>
        <v/>
      </c>
      <c r="M260" s="4" t="n"/>
      <c r="N260" s="4" t="n"/>
      <c r="O260" s="6">
        <f>IF(OR(I260="",J260=""),"",I260+J260)</f>
        <v/>
      </c>
      <c r="P260" s="6">
        <f>IF(OR(I260="",J260=""),"",I260-J260)</f>
        <v/>
      </c>
      <c r="Q260" s="6">
        <f>IF(L260="","",IF(L260="Gana",3,IF(L260="Empata",1,0)))</f>
        <v/>
      </c>
      <c r="R260" s="6">
        <f>IF(L260="","",IF(L260="Pierde",3,IF(L260="Empata",1,0)))</f>
        <v/>
      </c>
      <c r="S260" s="4" t="n"/>
    </row>
    <row r="261">
      <c r="A261" s="4" t="n"/>
      <c r="B261" s="4" t="n"/>
      <c r="C261" s="4" t="n"/>
      <c r="D261" s="4" t="n"/>
      <c r="E261" s="4" t="n"/>
      <c r="F261" s="7" t="n"/>
      <c r="G261" s="4" t="n"/>
      <c r="H261" s="4" t="n"/>
      <c r="I261" s="4" t="n"/>
      <c r="J261" s="4" t="n"/>
      <c r="K261" s="6">
        <f>IF(OR(I261="",J261=""),"",I261&amp;"-"&amp;J261)</f>
        <v/>
      </c>
      <c r="L261" s="6">
        <f>IF(OR(I261="",J261=""),"",IF(I261&gt;J261,"Gana",IF(I261=J261,"Empata","Pierde")))</f>
        <v/>
      </c>
      <c r="M261" s="4" t="n"/>
      <c r="N261" s="4" t="n"/>
      <c r="O261" s="6">
        <f>IF(OR(I261="",J261=""),"",I261+J261)</f>
        <v/>
      </c>
      <c r="P261" s="6">
        <f>IF(OR(I261="",J261=""),"",I261-J261)</f>
        <v/>
      </c>
      <c r="Q261" s="6">
        <f>IF(L261="","",IF(L261="Gana",3,IF(L261="Empata",1,0)))</f>
        <v/>
      </c>
      <c r="R261" s="6">
        <f>IF(L261="","",IF(L261="Pierde",3,IF(L261="Empata",1,0)))</f>
        <v/>
      </c>
      <c r="S261" s="4" t="n"/>
    </row>
    <row r="262">
      <c r="A262" s="4" t="n"/>
      <c r="B262" s="4" t="n"/>
      <c r="C262" s="4" t="n"/>
      <c r="D262" s="4" t="n"/>
      <c r="E262" s="4" t="n"/>
      <c r="F262" s="7" t="n"/>
      <c r="G262" s="4" t="n"/>
      <c r="H262" s="4" t="n"/>
      <c r="I262" s="4" t="n"/>
      <c r="J262" s="4" t="n"/>
      <c r="K262" s="6">
        <f>IF(OR(I262="",J262=""),"",I262&amp;"-"&amp;J262)</f>
        <v/>
      </c>
      <c r="L262" s="6">
        <f>IF(OR(I262="",J262=""),"",IF(I262&gt;J262,"Gana",IF(I262=J262,"Empata","Pierde")))</f>
        <v/>
      </c>
      <c r="M262" s="4" t="n"/>
      <c r="N262" s="4" t="n"/>
      <c r="O262" s="6">
        <f>IF(OR(I262="",J262=""),"",I262+J262)</f>
        <v/>
      </c>
      <c r="P262" s="6">
        <f>IF(OR(I262="",J262=""),"",I262-J262)</f>
        <v/>
      </c>
      <c r="Q262" s="6">
        <f>IF(L262="","",IF(L262="Gana",3,IF(L262="Empata",1,0)))</f>
        <v/>
      </c>
      <c r="R262" s="6">
        <f>IF(L262="","",IF(L262="Pierde",3,IF(L262="Empata",1,0)))</f>
        <v/>
      </c>
      <c r="S262" s="4" t="n"/>
    </row>
    <row r="263">
      <c r="A263" s="4" t="n"/>
      <c r="B263" s="4" t="n"/>
      <c r="C263" s="4" t="n"/>
      <c r="D263" s="4" t="n"/>
      <c r="E263" s="4" t="n"/>
      <c r="F263" s="7" t="n"/>
      <c r="G263" s="4" t="n"/>
      <c r="H263" s="4" t="n"/>
      <c r="I263" s="4" t="n"/>
      <c r="J263" s="4" t="n"/>
      <c r="K263" s="6">
        <f>IF(OR(I263="",J263=""),"",I263&amp;"-"&amp;J263)</f>
        <v/>
      </c>
      <c r="L263" s="6">
        <f>IF(OR(I263="",J263=""),"",IF(I263&gt;J263,"Gana",IF(I263=J263,"Empata","Pierde")))</f>
        <v/>
      </c>
      <c r="M263" s="4" t="n"/>
      <c r="N263" s="4" t="n"/>
      <c r="O263" s="6">
        <f>IF(OR(I263="",J263=""),"",I263+J263)</f>
        <v/>
      </c>
      <c r="P263" s="6">
        <f>IF(OR(I263="",J263=""),"",I263-J263)</f>
        <v/>
      </c>
      <c r="Q263" s="6">
        <f>IF(L263="","",IF(L263="Gana",3,IF(L263="Empata",1,0)))</f>
        <v/>
      </c>
      <c r="R263" s="6">
        <f>IF(L263="","",IF(L263="Pierde",3,IF(L263="Empata",1,0)))</f>
        <v/>
      </c>
      <c r="S263" s="4" t="n"/>
    </row>
    <row r="264">
      <c r="A264" s="4" t="n"/>
      <c r="B264" s="4" t="n"/>
      <c r="C264" s="4" t="n"/>
      <c r="D264" s="4" t="n"/>
      <c r="E264" s="4" t="n"/>
      <c r="F264" s="7" t="n"/>
      <c r="G264" s="4" t="n"/>
      <c r="H264" s="4" t="n"/>
      <c r="I264" s="4" t="n"/>
      <c r="J264" s="4" t="n"/>
      <c r="K264" s="6">
        <f>IF(OR(I264="",J264=""),"",I264&amp;"-"&amp;J264)</f>
        <v/>
      </c>
      <c r="L264" s="6">
        <f>IF(OR(I264="",J264=""),"",IF(I264&gt;J264,"Gana",IF(I264=J264,"Empata","Pierde")))</f>
        <v/>
      </c>
      <c r="M264" s="4" t="n"/>
      <c r="N264" s="4" t="n"/>
      <c r="O264" s="6">
        <f>IF(OR(I264="",J264=""),"",I264+J264)</f>
        <v/>
      </c>
      <c r="P264" s="6">
        <f>IF(OR(I264="",J264=""),"",I264-J264)</f>
        <v/>
      </c>
      <c r="Q264" s="6">
        <f>IF(L264="","",IF(L264="Gana",3,IF(L264="Empata",1,0)))</f>
        <v/>
      </c>
      <c r="R264" s="6">
        <f>IF(L264="","",IF(L264="Pierde",3,IF(L264="Empata",1,0)))</f>
        <v/>
      </c>
      <c r="S264" s="4" t="n"/>
    </row>
    <row r="265">
      <c r="A265" s="4" t="n"/>
      <c r="B265" s="4" t="n"/>
      <c r="C265" s="4" t="n"/>
      <c r="D265" s="4" t="n"/>
      <c r="E265" s="4" t="n"/>
      <c r="F265" s="7" t="n"/>
      <c r="G265" s="4" t="n"/>
      <c r="H265" s="4" t="n"/>
      <c r="I265" s="4" t="n"/>
      <c r="J265" s="4" t="n"/>
      <c r="K265" s="6">
        <f>IF(OR(I265="",J265=""),"",I265&amp;"-"&amp;J265)</f>
        <v/>
      </c>
      <c r="L265" s="6">
        <f>IF(OR(I265="",J265=""),"",IF(I265&gt;J265,"Gana",IF(I265=J265,"Empata","Pierde")))</f>
        <v/>
      </c>
      <c r="M265" s="4" t="n"/>
      <c r="N265" s="4" t="n"/>
      <c r="O265" s="6">
        <f>IF(OR(I265="",J265=""),"",I265+J265)</f>
        <v/>
      </c>
      <c r="P265" s="6">
        <f>IF(OR(I265="",J265=""),"",I265-J265)</f>
        <v/>
      </c>
      <c r="Q265" s="6">
        <f>IF(L265="","",IF(L265="Gana",3,IF(L265="Empata",1,0)))</f>
        <v/>
      </c>
      <c r="R265" s="6">
        <f>IF(L265="","",IF(L265="Pierde",3,IF(L265="Empata",1,0)))</f>
        <v/>
      </c>
      <c r="S265" s="4" t="n"/>
    </row>
    <row r="266">
      <c r="A266" s="4" t="n"/>
      <c r="B266" s="4" t="n"/>
      <c r="C266" s="4" t="n"/>
      <c r="D266" s="4" t="n"/>
      <c r="E266" s="4" t="n"/>
      <c r="F266" s="7" t="n"/>
      <c r="G266" s="4" t="n"/>
      <c r="H266" s="4" t="n"/>
      <c r="I266" s="4" t="n"/>
      <c r="J266" s="4" t="n"/>
      <c r="K266" s="6">
        <f>IF(OR(I266="",J266=""),"",I266&amp;"-"&amp;J266)</f>
        <v/>
      </c>
      <c r="L266" s="6">
        <f>IF(OR(I266="",J266=""),"",IF(I266&gt;J266,"Gana",IF(I266=J266,"Empata","Pierde")))</f>
        <v/>
      </c>
      <c r="M266" s="4" t="n"/>
      <c r="N266" s="4" t="n"/>
      <c r="O266" s="6">
        <f>IF(OR(I266="",J266=""),"",I266+J266)</f>
        <v/>
      </c>
      <c r="P266" s="6">
        <f>IF(OR(I266="",J266=""),"",I266-J266)</f>
        <v/>
      </c>
      <c r="Q266" s="6">
        <f>IF(L266="","",IF(L266="Gana",3,IF(L266="Empata",1,0)))</f>
        <v/>
      </c>
      <c r="R266" s="6">
        <f>IF(L266="","",IF(L266="Pierde",3,IF(L266="Empata",1,0)))</f>
        <v/>
      </c>
      <c r="S266" s="4" t="n"/>
    </row>
    <row r="267">
      <c r="A267" s="4" t="n"/>
      <c r="B267" s="4" t="n"/>
      <c r="C267" s="4" t="n"/>
      <c r="D267" s="4" t="n"/>
      <c r="E267" s="4" t="n"/>
      <c r="F267" s="7" t="n"/>
      <c r="G267" s="4" t="n"/>
      <c r="H267" s="4" t="n"/>
      <c r="I267" s="4" t="n"/>
      <c r="J267" s="4" t="n"/>
      <c r="K267" s="6">
        <f>IF(OR(I267="",J267=""),"",I267&amp;"-"&amp;J267)</f>
        <v/>
      </c>
      <c r="L267" s="6">
        <f>IF(OR(I267="",J267=""),"",IF(I267&gt;J267,"Gana",IF(I267=J267,"Empata","Pierde")))</f>
        <v/>
      </c>
      <c r="M267" s="4" t="n"/>
      <c r="N267" s="4" t="n"/>
      <c r="O267" s="6">
        <f>IF(OR(I267="",J267=""),"",I267+J267)</f>
        <v/>
      </c>
      <c r="P267" s="6">
        <f>IF(OR(I267="",J267=""),"",I267-J267)</f>
        <v/>
      </c>
      <c r="Q267" s="6">
        <f>IF(L267="","",IF(L267="Gana",3,IF(L267="Empata",1,0)))</f>
        <v/>
      </c>
      <c r="R267" s="6">
        <f>IF(L267="","",IF(L267="Pierde",3,IF(L267="Empata",1,0)))</f>
        <v/>
      </c>
      <c r="S267" s="4" t="n"/>
    </row>
    <row r="268">
      <c r="A268" s="4" t="n"/>
      <c r="B268" s="4" t="n"/>
      <c r="C268" s="4" t="n"/>
      <c r="D268" s="4" t="n"/>
      <c r="E268" s="4" t="n"/>
      <c r="F268" s="7" t="n"/>
      <c r="G268" s="4" t="n"/>
      <c r="H268" s="4" t="n"/>
      <c r="I268" s="4" t="n"/>
      <c r="J268" s="4" t="n"/>
      <c r="K268" s="6">
        <f>IF(OR(I268="",J268=""),"",I268&amp;"-"&amp;J268)</f>
        <v/>
      </c>
      <c r="L268" s="6">
        <f>IF(OR(I268="",J268=""),"",IF(I268&gt;J268,"Gana",IF(I268=J268,"Empata","Pierde")))</f>
        <v/>
      </c>
      <c r="M268" s="4" t="n"/>
      <c r="N268" s="4" t="n"/>
      <c r="O268" s="6">
        <f>IF(OR(I268="",J268=""),"",I268+J268)</f>
        <v/>
      </c>
      <c r="P268" s="6">
        <f>IF(OR(I268="",J268=""),"",I268-J268)</f>
        <v/>
      </c>
      <c r="Q268" s="6">
        <f>IF(L268="","",IF(L268="Gana",3,IF(L268="Empata",1,0)))</f>
        <v/>
      </c>
      <c r="R268" s="6">
        <f>IF(L268="","",IF(L268="Pierde",3,IF(L268="Empata",1,0)))</f>
        <v/>
      </c>
      <c r="S268" s="4" t="n"/>
    </row>
    <row r="269">
      <c r="A269" s="4" t="n"/>
      <c r="B269" s="4" t="n"/>
      <c r="C269" s="4" t="n"/>
      <c r="D269" s="4" t="n"/>
      <c r="E269" s="4" t="n"/>
      <c r="F269" s="7" t="n"/>
      <c r="G269" s="4" t="n"/>
      <c r="H269" s="4" t="n"/>
      <c r="I269" s="4" t="n"/>
      <c r="J269" s="4" t="n"/>
      <c r="K269" s="6">
        <f>IF(OR(I269="",J269=""),"",I269&amp;"-"&amp;J269)</f>
        <v/>
      </c>
      <c r="L269" s="6">
        <f>IF(OR(I269="",J269=""),"",IF(I269&gt;J269,"Gana",IF(I269=J269,"Empata","Pierde")))</f>
        <v/>
      </c>
      <c r="M269" s="4" t="n"/>
      <c r="N269" s="4" t="n"/>
      <c r="O269" s="6">
        <f>IF(OR(I269="",J269=""),"",I269+J269)</f>
        <v/>
      </c>
      <c r="P269" s="6">
        <f>IF(OR(I269="",J269=""),"",I269-J269)</f>
        <v/>
      </c>
      <c r="Q269" s="6">
        <f>IF(L269="","",IF(L269="Gana",3,IF(L269="Empata",1,0)))</f>
        <v/>
      </c>
      <c r="R269" s="6">
        <f>IF(L269="","",IF(L269="Pierde",3,IF(L269="Empata",1,0)))</f>
        <v/>
      </c>
      <c r="S269" s="4" t="n"/>
    </row>
    <row r="270">
      <c r="A270" s="4" t="n"/>
      <c r="B270" s="4" t="n"/>
      <c r="C270" s="4" t="n"/>
      <c r="D270" s="4" t="n"/>
      <c r="E270" s="4" t="n"/>
      <c r="F270" s="7" t="n"/>
      <c r="G270" s="4" t="n"/>
      <c r="H270" s="4" t="n"/>
      <c r="I270" s="4" t="n"/>
      <c r="J270" s="4" t="n"/>
      <c r="K270" s="6">
        <f>IF(OR(I270="",J270=""),"",I270&amp;"-"&amp;J270)</f>
        <v/>
      </c>
      <c r="L270" s="6">
        <f>IF(OR(I270="",J270=""),"",IF(I270&gt;J270,"Gana",IF(I270=J270,"Empata","Pierde")))</f>
        <v/>
      </c>
      <c r="M270" s="4" t="n"/>
      <c r="N270" s="4" t="n"/>
      <c r="O270" s="6">
        <f>IF(OR(I270="",J270=""),"",I270+J270)</f>
        <v/>
      </c>
      <c r="P270" s="6">
        <f>IF(OR(I270="",J270=""),"",I270-J270)</f>
        <v/>
      </c>
      <c r="Q270" s="6">
        <f>IF(L270="","",IF(L270="Gana",3,IF(L270="Empata",1,0)))</f>
        <v/>
      </c>
      <c r="R270" s="6">
        <f>IF(L270="","",IF(L270="Pierde",3,IF(L270="Empata",1,0)))</f>
        <v/>
      </c>
      <c r="S270" s="4" t="n"/>
    </row>
    <row r="271">
      <c r="A271" s="4" t="n"/>
      <c r="B271" s="4" t="n"/>
      <c r="C271" s="4" t="n"/>
      <c r="D271" s="4" t="n"/>
      <c r="E271" s="4" t="n"/>
      <c r="F271" s="7" t="n"/>
      <c r="G271" s="4" t="n"/>
      <c r="H271" s="4" t="n"/>
      <c r="I271" s="4" t="n"/>
      <c r="J271" s="4" t="n"/>
      <c r="K271" s="6">
        <f>IF(OR(I271="",J271=""),"",I271&amp;"-"&amp;J271)</f>
        <v/>
      </c>
      <c r="L271" s="6">
        <f>IF(OR(I271="",J271=""),"",IF(I271&gt;J271,"Gana",IF(I271=J271,"Empata","Pierde")))</f>
        <v/>
      </c>
      <c r="M271" s="4" t="n"/>
      <c r="N271" s="4" t="n"/>
      <c r="O271" s="6">
        <f>IF(OR(I271="",J271=""),"",I271+J271)</f>
        <v/>
      </c>
      <c r="P271" s="6">
        <f>IF(OR(I271="",J271=""),"",I271-J271)</f>
        <v/>
      </c>
      <c r="Q271" s="6">
        <f>IF(L271="","",IF(L271="Gana",3,IF(L271="Empata",1,0)))</f>
        <v/>
      </c>
      <c r="R271" s="6">
        <f>IF(L271="","",IF(L271="Pierde",3,IF(L271="Empata",1,0)))</f>
        <v/>
      </c>
      <c r="S271" s="4" t="n"/>
    </row>
    <row r="272">
      <c r="A272" s="4" t="n"/>
      <c r="B272" s="4" t="n"/>
      <c r="C272" s="4" t="n"/>
      <c r="D272" s="4" t="n"/>
      <c r="E272" s="4" t="n"/>
      <c r="F272" s="7" t="n"/>
      <c r="G272" s="4" t="n"/>
      <c r="H272" s="4" t="n"/>
      <c r="I272" s="4" t="n"/>
      <c r="J272" s="4" t="n"/>
      <c r="K272" s="6">
        <f>IF(OR(I272="",J272=""),"",I272&amp;"-"&amp;J272)</f>
        <v/>
      </c>
      <c r="L272" s="6">
        <f>IF(OR(I272="",J272=""),"",IF(I272&gt;J272,"Gana",IF(I272=J272,"Empata","Pierde")))</f>
        <v/>
      </c>
      <c r="M272" s="4" t="n"/>
      <c r="N272" s="4" t="n"/>
      <c r="O272" s="6">
        <f>IF(OR(I272="",J272=""),"",I272+J272)</f>
        <v/>
      </c>
      <c r="P272" s="6">
        <f>IF(OR(I272="",J272=""),"",I272-J272)</f>
        <v/>
      </c>
      <c r="Q272" s="6">
        <f>IF(L272="","",IF(L272="Gana",3,IF(L272="Empata",1,0)))</f>
        <v/>
      </c>
      <c r="R272" s="6">
        <f>IF(L272="","",IF(L272="Pierde",3,IF(L272="Empata",1,0)))</f>
        <v/>
      </c>
      <c r="S272" s="4" t="n"/>
    </row>
    <row r="273">
      <c r="A273" s="4" t="n"/>
      <c r="B273" s="4" t="n"/>
      <c r="C273" s="4" t="n"/>
      <c r="D273" s="4" t="n"/>
      <c r="E273" s="4" t="n"/>
      <c r="F273" s="7" t="n"/>
      <c r="G273" s="4" t="n"/>
      <c r="H273" s="4" t="n"/>
      <c r="I273" s="4" t="n"/>
      <c r="J273" s="4" t="n"/>
      <c r="K273" s="6">
        <f>IF(OR(I273="",J273=""),"",I273&amp;"-"&amp;J273)</f>
        <v/>
      </c>
      <c r="L273" s="6">
        <f>IF(OR(I273="",J273=""),"",IF(I273&gt;J273,"Gana",IF(I273=J273,"Empata","Pierde")))</f>
        <v/>
      </c>
      <c r="M273" s="4" t="n"/>
      <c r="N273" s="4" t="n"/>
      <c r="O273" s="6">
        <f>IF(OR(I273="",J273=""),"",I273+J273)</f>
        <v/>
      </c>
      <c r="P273" s="6">
        <f>IF(OR(I273="",J273=""),"",I273-J273)</f>
        <v/>
      </c>
      <c r="Q273" s="6">
        <f>IF(L273="","",IF(L273="Gana",3,IF(L273="Empata",1,0)))</f>
        <v/>
      </c>
      <c r="R273" s="6">
        <f>IF(L273="","",IF(L273="Pierde",3,IF(L273="Empata",1,0)))</f>
        <v/>
      </c>
      <c r="S273" s="4" t="n"/>
    </row>
    <row r="274">
      <c r="A274" s="4" t="n"/>
      <c r="B274" s="4" t="n"/>
      <c r="C274" s="4" t="n"/>
      <c r="D274" s="4" t="n"/>
      <c r="E274" s="4" t="n"/>
      <c r="F274" s="7" t="n"/>
      <c r="G274" s="4" t="n"/>
      <c r="H274" s="4" t="n"/>
      <c r="I274" s="4" t="n"/>
      <c r="J274" s="4" t="n"/>
      <c r="K274" s="6">
        <f>IF(OR(I274="",J274=""),"",I274&amp;"-"&amp;J274)</f>
        <v/>
      </c>
      <c r="L274" s="6">
        <f>IF(OR(I274="",J274=""),"",IF(I274&gt;J274,"Gana",IF(I274=J274,"Empata","Pierde")))</f>
        <v/>
      </c>
      <c r="M274" s="4" t="n"/>
      <c r="N274" s="4" t="n"/>
      <c r="O274" s="6">
        <f>IF(OR(I274="",J274=""),"",I274+J274)</f>
        <v/>
      </c>
      <c r="P274" s="6">
        <f>IF(OR(I274="",J274=""),"",I274-J274)</f>
        <v/>
      </c>
      <c r="Q274" s="6">
        <f>IF(L274="","",IF(L274="Gana",3,IF(L274="Empata",1,0)))</f>
        <v/>
      </c>
      <c r="R274" s="6">
        <f>IF(L274="","",IF(L274="Pierde",3,IF(L274="Empata",1,0)))</f>
        <v/>
      </c>
      <c r="S274" s="4" t="n"/>
    </row>
    <row r="275">
      <c r="A275" s="4" t="n"/>
      <c r="B275" s="4" t="n"/>
      <c r="C275" s="4" t="n"/>
      <c r="D275" s="4" t="n"/>
      <c r="E275" s="4" t="n"/>
      <c r="F275" s="7" t="n"/>
      <c r="G275" s="4" t="n"/>
      <c r="H275" s="4" t="n"/>
      <c r="I275" s="4" t="n"/>
      <c r="J275" s="4" t="n"/>
      <c r="K275" s="6">
        <f>IF(OR(I275="",J275=""),"",I275&amp;"-"&amp;J275)</f>
        <v/>
      </c>
      <c r="L275" s="6">
        <f>IF(OR(I275="",J275=""),"",IF(I275&gt;J275,"Gana",IF(I275=J275,"Empata","Pierde")))</f>
        <v/>
      </c>
      <c r="M275" s="4" t="n"/>
      <c r="N275" s="4" t="n"/>
      <c r="O275" s="6">
        <f>IF(OR(I275="",J275=""),"",I275+J275)</f>
        <v/>
      </c>
      <c r="P275" s="6">
        <f>IF(OR(I275="",J275=""),"",I275-J275)</f>
        <v/>
      </c>
      <c r="Q275" s="6">
        <f>IF(L275="","",IF(L275="Gana",3,IF(L275="Empata",1,0)))</f>
        <v/>
      </c>
      <c r="R275" s="6">
        <f>IF(L275="","",IF(L275="Pierde",3,IF(L275="Empata",1,0)))</f>
        <v/>
      </c>
      <c r="S275" s="4" t="n"/>
    </row>
    <row r="276">
      <c r="A276" s="4" t="n"/>
      <c r="B276" s="4" t="n"/>
      <c r="C276" s="4" t="n"/>
      <c r="D276" s="4" t="n"/>
      <c r="E276" s="4" t="n"/>
      <c r="F276" s="7" t="n"/>
      <c r="G276" s="4" t="n"/>
      <c r="H276" s="4" t="n"/>
      <c r="I276" s="4" t="n"/>
      <c r="J276" s="4" t="n"/>
      <c r="K276" s="6">
        <f>IF(OR(I276="",J276=""),"",I276&amp;"-"&amp;J276)</f>
        <v/>
      </c>
      <c r="L276" s="6">
        <f>IF(OR(I276="",J276=""),"",IF(I276&gt;J276,"Gana",IF(I276=J276,"Empata","Pierde")))</f>
        <v/>
      </c>
      <c r="M276" s="4" t="n"/>
      <c r="N276" s="4" t="n"/>
      <c r="O276" s="6">
        <f>IF(OR(I276="",J276=""),"",I276+J276)</f>
        <v/>
      </c>
      <c r="P276" s="6">
        <f>IF(OR(I276="",J276=""),"",I276-J276)</f>
        <v/>
      </c>
      <c r="Q276" s="6">
        <f>IF(L276="","",IF(L276="Gana",3,IF(L276="Empata",1,0)))</f>
        <v/>
      </c>
      <c r="R276" s="6">
        <f>IF(L276="","",IF(L276="Pierde",3,IF(L276="Empata",1,0)))</f>
        <v/>
      </c>
      <c r="S276" s="4" t="n"/>
    </row>
    <row r="277">
      <c r="A277" s="4" t="n"/>
      <c r="B277" s="4" t="n"/>
      <c r="C277" s="4" t="n"/>
      <c r="D277" s="4" t="n"/>
      <c r="E277" s="4" t="n"/>
      <c r="F277" s="7" t="n"/>
      <c r="G277" s="4" t="n"/>
      <c r="H277" s="4" t="n"/>
      <c r="I277" s="4" t="n"/>
      <c r="J277" s="4" t="n"/>
      <c r="K277" s="6">
        <f>IF(OR(I277="",J277=""),"",I277&amp;"-"&amp;J277)</f>
        <v/>
      </c>
      <c r="L277" s="6">
        <f>IF(OR(I277="",J277=""),"",IF(I277&gt;J277,"Gana",IF(I277=J277,"Empata","Pierde")))</f>
        <v/>
      </c>
      <c r="M277" s="4" t="n"/>
      <c r="N277" s="4" t="n"/>
      <c r="O277" s="6">
        <f>IF(OR(I277="",J277=""),"",I277+J277)</f>
        <v/>
      </c>
      <c r="P277" s="6">
        <f>IF(OR(I277="",J277=""),"",I277-J277)</f>
        <v/>
      </c>
      <c r="Q277" s="6">
        <f>IF(L277="","",IF(L277="Gana",3,IF(L277="Empata",1,0)))</f>
        <v/>
      </c>
      <c r="R277" s="6">
        <f>IF(L277="","",IF(L277="Pierde",3,IF(L277="Empata",1,0)))</f>
        <v/>
      </c>
      <c r="S277" s="4" t="n"/>
    </row>
    <row r="278">
      <c r="A278" s="4" t="n"/>
      <c r="B278" s="4" t="n"/>
      <c r="C278" s="4" t="n"/>
      <c r="D278" s="4" t="n"/>
      <c r="E278" s="4" t="n"/>
      <c r="F278" s="7" t="n"/>
      <c r="G278" s="4" t="n"/>
      <c r="H278" s="4" t="n"/>
      <c r="I278" s="4" t="n"/>
      <c r="J278" s="4" t="n"/>
      <c r="K278" s="6">
        <f>IF(OR(I278="",J278=""),"",I278&amp;"-"&amp;J278)</f>
        <v/>
      </c>
      <c r="L278" s="6">
        <f>IF(OR(I278="",J278=""),"",IF(I278&gt;J278,"Gana",IF(I278=J278,"Empata","Pierde")))</f>
        <v/>
      </c>
      <c r="M278" s="4" t="n"/>
      <c r="N278" s="4" t="n"/>
      <c r="O278" s="6">
        <f>IF(OR(I278="",J278=""),"",I278+J278)</f>
        <v/>
      </c>
      <c r="P278" s="6">
        <f>IF(OR(I278="",J278=""),"",I278-J278)</f>
        <v/>
      </c>
      <c r="Q278" s="6">
        <f>IF(L278="","",IF(L278="Gana",3,IF(L278="Empata",1,0)))</f>
        <v/>
      </c>
      <c r="R278" s="6">
        <f>IF(L278="","",IF(L278="Pierde",3,IF(L278="Empata",1,0)))</f>
        <v/>
      </c>
      <c r="S278" s="4" t="n"/>
    </row>
    <row r="279">
      <c r="A279" s="4" t="n"/>
      <c r="B279" s="4" t="n"/>
      <c r="C279" s="4" t="n"/>
      <c r="D279" s="4" t="n"/>
      <c r="E279" s="4" t="n"/>
      <c r="F279" s="7" t="n"/>
      <c r="G279" s="4" t="n"/>
      <c r="H279" s="4" t="n"/>
      <c r="I279" s="4" t="n"/>
      <c r="J279" s="4" t="n"/>
      <c r="K279" s="6">
        <f>IF(OR(I279="",J279=""),"",I279&amp;"-"&amp;J279)</f>
        <v/>
      </c>
      <c r="L279" s="6">
        <f>IF(OR(I279="",J279=""),"",IF(I279&gt;J279,"Gana",IF(I279=J279,"Empata","Pierde")))</f>
        <v/>
      </c>
      <c r="M279" s="4" t="n"/>
      <c r="N279" s="4" t="n"/>
      <c r="O279" s="6">
        <f>IF(OR(I279="",J279=""),"",I279+J279)</f>
        <v/>
      </c>
      <c r="P279" s="6">
        <f>IF(OR(I279="",J279=""),"",I279-J279)</f>
        <v/>
      </c>
      <c r="Q279" s="6">
        <f>IF(L279="","",IF(L279="Gana",3,IF(L279="Empata",1,0)))</f>
        <v/>
      </c>
      <c r="R279" s="6">
        <f>IF(L279="","",IF(L279="Pierde",3,IF(L279="Empata",1,0)))</f>
        <v/>
      </c>
      <c r="S279" s="4" t="n"/>
    </row>
    <row r="280">
      <c r="A280" s="4" t="n"/>
      <c r="B280" s="4" t="n"/>
      <c r="C280" s="4" t="n"/>
      <c r="D280" s="4" t="n"/>
      <c r="E280" s="4" t="n"/>
      <c r="F280" s="7" t="n"/>
      <c r="G280" s="4" t="n"/>
      <c r="H280" s="4" t="n"/>
      <c r="I280" s="4" t="n"/>
      <c r="J280" s="4" t="n"/>
      <c r="K280" s="6">
        <f>IF(OR(I280="",J280=""),"",I280&amp;"-"&amp;J280)</f>
        <v/>
      </c>
      <c r="L280" s="6">
        <f>IF(OR(I280="",J280=""),"",IF(I280&gt;J280,"Gana",IF(I280=J280,"Empata","Pierde")))</f>
        <v/>
      </c>
      <c r="M280" s="4" t="n"/>
      <c r="N280" s="4" t="n"/>
      <c r="O280" s="6">
        <f>IF(OR(I280="",J280=""),"",I280+J280)</f>
        <v/>
      </c>
      <c r="P280" s="6">
        <f>IF(OR(I280="",J280=""),"",I280-J280)</f>
        <v/>
      </c>
      <c r="Q280" s="6">
        <f>IF(L280="","",IF(L280="Gana",3,IF(L280="Empata",1,0)))</f>
        <v/>
      </c>
      <c r="R280" s="6">
        <f>IF(L280="","",IF(L280="Pierde",3,IF(L280="Empata",1,0)))</f>
        <v/>
      </c>
      <c r="S280" s="4" t="n"/>
    </row>
    <row r="281">
      <c r="A281" s="4" t="n"/>
      <c r="B281" s="4" t="n"/>
      <c r="C281" s="4" t="n"/>
      <c r="D281" s="4" t="n"/>
      <c r="E281" s="4" t="n"/>
      <c r="F281" s="7" t="n"/>
      <c r="G281" s="4" t="n"/>
      <c r="H281" s="4" t="n"/>
      <c r="I281" s="4" t="n"/>
      <c r="J281" s="4" t="n"/>
      <c r="K281" s="6">
        <f>IF(OR(I281="",J281=""),"",I281&amp;"-"&amp;J281)</f>
        <v/>
      </c>
      <c r="L281" s="6">
        <f>IF(OR(I281="",J281=""),"",IF(I281&gt;J281,"Gana",IF(I281=J281,"Empata","Pierde")))</f>
        <v/>
      </c>
      <c r="M281" s="4" t="n"/>
      <c r="N281" s="4" t="n"/>
      <c r="O281" s="6">
        <f>IF(OR(I281="",J281=""),"",I281+J281)</f>
        <v/>
      </c>
      <c r="P281" s="6">
        <f>IF(OR(I281="",J281=""),"",I281-J281)</f>
        <v/>
      </c>
      <c r="Q281" s="6">
        <f>IF(L281="","",IF(L281="Gana",3,IF(L281="Empata",1,0)))</f>
        <v/>
      </c>
      <c r="R281" s="6">
        <f>IF(L281="","",IF(L281="Pierde",3,IF(L281="Empata",1,0)))</f>
        <v/>
      </c>
      <c r="S281" s="4" t="n"/>
    </row>
    <row r="282">
      <c r="A282" s="4" t="n"/>
      <c r="B282" s="4" t="n"/>
      <c r="C282" s="4" t="n"/>
      <c r="D282" s="4" t="n"/>
      <c r="E282" s="4" t="n"/>
      <c r="F282" s="7" t="n"/>
      <c r="G282" s="4" t="n"/>
      <c r="H282" s="4" t="n"/>
      <c r="I282" s="4" t="n"/>
      <c r="J282" s="4" t="n"/>
      <c r="K282" s="6">
        <f>IF(OR(I282="",J282=""),"",I282&amp;"-"&amp;J282)</f>
        <v/>
      </c>
      <c r="L282" s="6">
        <f>IF(OR(I282="",J282=""),"",IF(I282&gt;J282,"Gana",IF(I282=J282,"Empata","Pierde")))</f>
        <v/>
      </c>
      <c r="M282" s="4" t="n"/>
      <c r="N282" s="4" t="n"/>
      <c r="O282" s="6">
        <f>IF(OR(I282="",J282=""),"",I282+J282)</f>
        <v/>
      </c>
      <c r="P282" s="6">
        <f>IF(OR(I282="",J282=""),"",I282-J282)</f>
        <v/>
      </c>
      <c r="Q282" s="6">
        <f>IF(L282="","",IF(L282="Gana",3,IF(L282="Empata",1,0)))</f>
        <v/>
      </c>
      <c r="R282" s="6">
        <f>IF(L282="","",IF(L282="Pierde",3,IF(L282="Empata",1,0)))</f>
        <v/>
      </c>
      <c r="S282" s="4" t="n"/>
    </row>
    <row r="283">
      <c r="A283" s="4" t="n"/>
      <c r="B283" s="4" t="n"/>
      <c r="C283" s="4" t="n"/>
      <c r="D283" s="4" t="n"/>
      <c r="E283" s="4" t="n"/>
      <c r="F283" s="7" t="n"/>
      <c r="G283" s="4" t="n"/>
      <c r="H283" s="4" t="n"/>
      <c r="I283" s="4" t="n"/>
      <c r="J283" s="4" t="n"/>
      <c r="K283" s="6">
        <f>IF(OR(I283="",J283=""),"",I283&amp;"-"&amp;J283)</f>
        <v/>
      </c>
      <c r="L283" s="6">
        <f>IF(OR(I283="",J283=""),"",IF(I283&gt;J283,"Gana",IF(I283=J283,"Empata","Pierde")))</f>
        <v/>
      </c>
      <c r="M283" s="4" t="n"/>
      <c r="N283" s="4" t="n"/>
      <c r="O283" s="6">
        <f>IF(OR(I283="",J283=""),"",I283+J283)</f>
        <v/>
      </c>
      <c r="P283" s="6">
        <f>IF(OR(I283="",J283=""),"",I283-J283)</f>
        <v/>
      </c>
      <c r="Q283" s="6">
        <f>IF(L283="","",IF(L283="Gana",3,IF(L283="Empata",1,0)))</f>
        <v/>
      </c>
      <c r="R283" s="6">
        <f>IF(L283="","",IF(L283="Pierde",3,IF(L283="Empata",1,0)))</f>
        <v/>
      </c>
      <c r="S283" s="4" t="n"/>
    </row>
    <row r="284">
      <c r="A284" s="4" t="n"/>
      <c r="B284" s="4" t="n"/>
      <c r="C284" s="4" t="n"/>
      <c r="D284" s="4" t="n"/>
      <c r="E284" s="4" t="n"/>
      <c r="F284" s="7" t="n"/>
      <c r="G284" s="4" t="n"/>
      <c r="H284" s="4" t="n"/>
      <c r="I284" s="4" t="n"/>
      <c r="J284" s="4" t="n"/>
      <c r="K284" s="6">
        <f>IF(OR(I284="",J284=""),"",I284&amp;"-"&amp;J284)</f>
        <v/>
      </c>
      <c r="L284" s="6">
        <f>IF(OR(I284="",J284=""),"",IF(I284&gt;J284,"Gana",IF(I284=J284,"Empata","Pierde")))</f>
        <v/>
      </c>
      <c r="M284" s="4" t="n"/>
      <c r="N284" s="4" t="n"/>
      <c r="O284" s="6">
        <f>IF(OR(I284="",J284=""),"",I284+J284)</f>
        <v/>
      </c>
      <c r="P284" s="6">
        <f>IF(OR(I284="",J284=""),"",I284-J284)</f>
        <v/>
      </c>
      <c r="Q284" s="6">
        <f>IF(L284="","",IF(L284="Gana",3,IF(L284="Empata",1,0)))</f>
        <v/>
      </c>
      <c r="R284" s="6">
        <f>IF(L284="","",IF(L284="Pierde",3,IF(L284="Empata",1,0)))</f>
        <v/>
      </c>
      <c r="S284" s="4" t="n"/>
    </row>
    <row r="285">
      <c r="A285" s="4" t="n"/>
      <c r="B285" s="4" t="n"/>
      <c r="C285" s="4" t="n"/>
      <c r="D285" s="4" t="n"/>
      <c r="E285" s="4" t="n"/>
      <c r="F285" s="7" t="n"/>
      <c r="G285" s="4" t="n"/>
      <c r="H285" s="4" t="n"/>
      <c r="I285" s="4" t="n"/>
      <c r="J285" s="4" t="n"/>
      <c r="K285" s="6">
        <f>IF(OR(I285="",J285=""),"",I285&amp;"-"&amp;J285)</f>
        <v/>
      </c>
      <c r="L285" s="6">
        <f>IF(OR(I285="",J285=""),"",IF(I285&gt;J285,"Gana",IF(I285=J285,"Empata","Pierde")))</f>
        <v/>
      </c>
      <c r="M285" s="4" t="n"/>
      <c r="N285" s="4" t="n"/>
      <c r="O285" s="6">
        <f>IF(OR(I285="",J285=""),"",I285+J285)</f>
        <v/>
      </c>
      <c r="P285" s="6">
        <f>IF(OR(I285="",J285=""),"",I285-J285)</f>
        <v/>
      </c>
      <c r="Q285" s="6">
        <f>IF(L285="","",IF(L285="Gana",3,IF(L285="Empata",1,0)))</f>
        <v/>
      </c>
      <c r="R285" s="6">
        <f>IF(L285="","",IF(L285="Pierde",3,IF(L285="Empata",1,0)))</f>
        <v/>
      </c>
      <c r="S285" s="4" t="n"/>
    </row>
    <row r="286">
      <c r="A286" s="4" t="n"/>
      <c r="B286" s="4" t="n"/>
      <c r="C286" s="4" t="n"/>
      <c r="D286" s="4" t="n"/>
      <c r="E286" s="4" t="n"/>
      <c r="F286" s="7" t="n"/>
      <c r="G286" s="4" t="n"/>
      <c r="H286" s="4" t="n"/>
      <c r="I286" s="4" t="n"/>
      <c r="J286" s="4" t="n"/>
      <c r="K286" s="6">
        <f>IF(OR(I286="",J286=""),"",I286&amp;"-"&amp;J286)</f>
        <v/>
      </c>
      <c r="L286" s="6">
        <f>IF(OR(I286="",J286=""),"",IF(I286&gt;J286,"Gana",IF(I286=J286,"Empata","Pierde")))</f>
        <v/>
      </c>
      <c r="M286" s="4" t="n"/>
      <c r="N286" s="4" t="n"/>
      <c r="O286" s="6">
        <f>IF(OR(I286="",J286=""),"",I286+J286)</f>
        <v/>
      </c>
      <c r="P286" s="6">
        <f>IF(OR(I286="",J286=""),"",I286-J286)</f>
        <v/>
      </c>
      <c r="Q286" s="6">
        <f>IF(L286="","",IF(L286="Gana",3,IF(L286="Empata",1,0)))</f>
        <v/>
      </c>
      <c r="R286" s="6">
        <f>IF(L286="","",IF(L286="Pierde",3,IF(L286="Empata",1,0)))</f>
        <v/>
      </c>
      <c r="S286" s="4" t="n"/>
    </row>
    <row r="287">
      <c r="A287" s="4" t="n"/>
      <c r="B287" s="4" t="n"/>
      <c r="C287" s="4" t="n"/>
      <c r="D287" s="4" t="n"/>
      <c r="E287" s="4" t="n"/>
      <c r="F287" s="7" t="n"/>
      <c r="G287" s="4" t="n"/>
      <c r="H287" s="4" t="n"/>
      <c r="I287" s="4" t="n"/>
      <c r="J287" s="4" t="n"/>
      <c r="K287" s="6">
        <f>IF(OR(I287="",J287=""),"",I287&amp;"-"&amp;J287)</f>
        <v/>
      </c>
      <c r="L287" s="6">
        <f>IF(OR(I287="",J287=""),"",IF(I287&gt;J287,"Gana",IF(I287=J287,"Empata","Pierde")))</f>
        <v/>
      </c>
      <c r="M287" s="4" t="n"/>
      <c r="N287" s="4" t="n"/>
      <c r="O287" s="6">
        <f>IF(OR(I287="",J287=""),"",I287+J287)</f>
        <v/>
      </c>
      <c r="P287" s="6">
        <f>IF(OR(I287="",J287=""),"",I287-J287)</f>
        <v/>
      </c>
      <c r="Q287" s="6">
        <f>IF(L287="","",IF(L287="Gana",3,IF(L287="Empata",1,0)))</f>
        <v/>
      </c>
      <c r="R287" s="6">
        <f>IF(L287="","",IF(L287="Pierde",3,IF(L287="Empata",1,0)))</f>
        <v/>
      </c>
      <c r="S287" s="4" t="n"/>
    </row>
    <row r="288">
      <c r="A288" s="4" t="n"/>
      <c r="B288" s="4" t="n"/>
      <c r="C288" s="4" t="n"/>
      <c r="D288" s="4" t="n"/>
      <c r="E288" s="4" t="n"/>
      <c r="F288" s="7" t="n"/>
      <c r="G288" s="4" t="n"/>
      <c r="H288" s="4" t="n"/>
      <c r="I288" s="4" t="n"/>
      <c r="J288" s="4" t="n"/>
      <c r="K288" s="6">
        <f>IF(OR(I288="",J288=""),"",I288&amp;"-"&amp;J288)</f>
        <v/>
      </c>
      <c r="L288" s="6">
        <f>IF(OR(I288="",J288=""),"",IF(I288&gt;J288,"Gana",IF(I288=J288,"Empata","Pierde")))</f>
        <v/>
      </c>
      <c r="M288" s="4" t="n"/>
      <c r="N288" s="4" t="n"/>
      <c r="O288" s="6">
        <f>IF(OR(I288="",J288=""),"",I288+J288)</f>
        <v/>
      </c>
      <c r="P288" s="6">
        <f>IF(OR(I288="",J288=""),"",I288-J288)</f>
        <v/>
      </c>
      <c r="Q288" s="6">
        <f>IF(L288="","",IF(L288="Gana",3,IF(L288="Empata",1,0)))</f>
        <v/>
      </c>
      <c r="R288" s="6">
        <f>IF(L288="","",IF(L288="Pierde",3,IF(L288="Empata",1,0)))</f>
        <v/>
      </c>
      <c r="S288" s="4" t="n"/>
    </row>
    <row r="289">
      <c r="A289" s="4" t="n"/>
      <c r="B289" s="4" t="n"/>
      <c r="C289" s="4" t="n"/>
      <c r="D289" s="4" t="n"/>
      <c r="E289" s="4" t="n"/>
      <c r="F289" s="7" t="n"/>
      <c r="G289" s="4" t="n"/>
      <c r="H289" s="4" t="n"/>
      <c r="I289" s="4" t="n"/>
      <c r="J289" s="4" t="n"/>
      <c r="K289" s="6">
        <f>IF(OR(I289="",J289=""),"",I289&amp;"-"&amp;J289)</f>
        <v/>
      </c>
      <c r="L289" s="6">
        <f>IF(OR(I289="",J289=""),"",IF(I289&gt;J289,"Gana",IF(I289=J289,"Empata","Pierde")))</f>
        <v/>
      </c>
      <c r="M289" s="4" t="n"/>
      <c r="N289" s="4" t="n"/>
      <c r="O289" s="6">
        <f>IF(OR(I289="",J289=""),"",I289+J289)</f>
        <v/>
      </c>
      <c r="P289" s="6">
        <f>IF(OR(I289="",J289=""),"",I289-J289)</f>
        <v/>
      </c>
      <c r="Q289" s="6">
        <f>IF(L289="","",IF(L289="Gana",3,IF(L289="Empata",1,0)))</f>
        <v/>
      </c>
      <c r="R289" s="6">
        <f>IF(L289="","",IF(L289="Pierde",3,IF(L289="Empata",1,0)))</f>
        <v/>
      </c>
      <c r="S289" s="4" t="n"/>
    </row>
    <row r="290">
      <c r="A290" s="4" t="n"/>
      <c r="B290" s="4" t="n"/>
      <c r="C290" s="4" t="n"/>
      <c r="D290" s="4" t="n"/>
      <c r="E290" s="4" t="n"/>
      <c r="F290" s="7" t="n"/>
      <c r="G290" s="4" t="n"/>
      <c r="H290" s="4" t="n"/>
      <c r="I290" s="4" t="n"/>
      <c r="J290" s="4" t="n"/>
      <c r="K290" s="6">
        <f>IF(OR(I290="",J290=""),"",I290&amp;"-"&amp;J290)</f>
        <v/>
      </c>
      <c r="L290" s="6">
        <f>IF(OR(I290="",J290=""),"",IF(I290&gt;J290,"Gana",IF(I290=J290,"Empata","Pierde")))</f>
        <v/>
      </c>
      <c r="M290" s="4" t="n"/>
      <c r="N290" s="4" t="n"/>
      <c r="O290" s="6">
        <f>IF(OR(I290="",J290=""),"",I290+J290)</f>
        <v/>
      </c>
      <c r="P290" s="6">
        <f>IF(OR(I290="",J290=""),"",I290-J290)</f>
        <v/>
      </c>
      <c r="Q290" s="6">
        <f>IF(L290="","",IF(L290="Gana",3,IF(L290="Empata",1,0)))</f>
        <v/>
      </c>
      <c r="R290" s="6">
        <f>IF(L290="","",IF(L290="Pierde",3,IF(L290="Empata",1,0)))</f>
        <v/>
      </c>
      <c r="S290" s="4" t="n"/>
    </row>
    <row r="291">
      <c r="A291" s="4" t="n"/>
      <c r="B291" s="4" t="n"/>
      <c r="C291" s="4" t="n"/>
      <c r="D291" s="4" t="n"/>
      <c r="E291" s="4" t="n"/>
      <c r="F291" s="7" t="n"/>
      <c r="G291" s="4" t="n"/>
      <c r="H291" s="4" t="n"/>
      <c r="I291" s="4" t="n"/>
      <c r="J291" s="4" t="n"/>
      <c r="K291" s="6">
        <f>IF(OR(I291="",J291=""),"",I291&amp;"-"&amp;J291)</f>
        <v/>
      </c>
      <c r="L291" s="6">
        <f>IF(OR(I291="",J291=""),"",IF(I291&gt;J291,"Gana",IF(I291=J291,"Empata","Pierde")))</f>
        <v/>
      </c>
      <c r="M291" s="4" t="n"/>
      <c r="N291" s="4" t="n"/>
      <c r="O291" s="6">
        <f>IF(OR(I291="",J291=""),"",I291+J291)</f>
        <v/>
      </c>
      <c r="P291" s="6">
        <f>IF(OR(I291="",J291=""),"",I291-J291)</f>
        <v/>
      </c>
      <c r="Q291" s="6">
        <f>IF(L291="","",IF(L291="Gana",3,IF(L291="Empata",1,0)))</f>
        <v/>
      </c>
      <c r="R291" s="6">
        <f>IF(L291="","",IF(L291="Pierde",3,IF(L291="Empata",1,0)))</f>
        <v/>
      </c>
      <c r="S291" s="4" t="n"/>
    </row>
    <row r="292">
      <c r="A292" s="4" t="n"/>
      <c r="B292" s="4" t="n"/>
      <c r="C292" s="4" t="n"/>
      <c r="D292" s="4" t="n"/>
      <c r="E292" s="4" t="n"/>
      <c r="F292" s="7" t="n"/>
      <c r="G292" s="4" t="n"/>
      <c r="H292" s="4" t="n"/>
      <c r="I292" s="4" t="n"/>
      <c r="J292" s="4" t="n"/>
      <c r="K292" s="6">
        <f>IF(OR(I292="",J292=""),"",I292&amp;"-"&amp;J292)</f>
        <v/>
      </c>
      <c r="L292" s="6">
        <f>IF(OR(I292="",J292=""),"",IF(I292&gt;J292,"Gana",IF(I292=J292,"Empata","Pierde")))</f>
        <v/>
      </c>
      <c r="M292" s="4" t="n"/>
      <c r="N292" s="4" t="n"/>
      <c r="O292" s="6">
        <f>IF(OR(I292="",J292=""),"",I292+J292)</f>
        <v/>
      </c>
      <c r="P292" s="6">
        <f>IF(OR(I292="",J292=""),"",I292-J292)</f>
        <v/>
      </c>
      <c r="Q292" s="6">
        <f>IF(L292="","",IF(L292="Gana",3,IF(L292="Empata",1,0)))</f>
        <v/>
      </c>
      <c r="R292" s="6">
        <f>IF(L292="","",IF(L292="Pierde",3,IF(L292="Empata",1,0)))</f>
        <v/>
      </c>
      <c r="S292" s="4" t="n"/>
    </row>
    <row r="293">
      <c r="A293" s="4" t="n"/>
      <c r="B293" s="4" t="n"/>
      <c r="C293" s="4" t="n"/>
      <c r="D293" s="4" t="n"/>
      <c r="E293" s="4" t="n"/>
      <c r="F293" s="7" t="n"/>
      <c r="G293" s="4" t="n"/>
      <c r="H293" s="4" t="n"/>
      <c r="I293" s="4" t="n"/>
      <c r="J293" s="4" t="n"/>
      <c r="K293" s="6">
        <f>IF(OR(I293="",J293=""),"",I293&amp;"-"&amp;J293)</f>
        <v/>
      </c>
      <c r="L293" s="6">
        <f>IF(OR(I293="",J293=""),"",IF(I293&gt;J293,"Gana",IF(I293=J293,"Empata","Pierde")))</f>
        <v/>
      </c>
      <c r="M293" s="4" t="n"/>
      <c r="N293" s="4" t="n"/>
      <c r="O293" s="6">
        <f>IF(OR(I293="",J293=""),"",I293+J293)</f>
        <v/>
      </c>
      <c r="P293" s="6">
        <f>IF(OR(I293="",J293=""),"",I293-J293)</f>
        <v/>
      </c>
      <c r="Q293" s="6">
        <f>IF(L293="","",IF(L293="Gana",3,IF(L293="Empata",1,0)))</f>
        <v/>
      </c>
      <c r="R293" s="6">
        <f>IF(L293="","",IF(L293="Pierde",3,IF(L293="Empata",1,0)))</f>
        <v/>
      </c>
      <c r="S293" s="4" t="n"/>
    </row>
    <row r="294">
      <c r="A294" s="4" t="n"/>
      <c r="B294" s="4" t="n"/>
      <c r="C294" s="4" t="n"/>
      <c r="D294" s="4" t="n"/>
      <c r="E294" s="4" t="n"/>
      <c r="F294" s="7" t="n"/>
      <c r="G294" s="4" t="n"/>
      <c r="H294" s="4" t="n"/>
      <c r="I294" s="4" t="n"/>
      <c r="J294" s="4" t="n"/>
      <c r="K294" s="6">
        <f>IF(OR(I294="",J294=""),"",I294&amp;"-"&amp;J294)</f>
        <v/>
      </c>
      <c r="L294" s="6">
        <f>IF(OR(I294="",J294=""),"",IF(I294&gt;J294,"Gana",IF(I294=J294,"Empata","Pierde")))</f>
        <v/>
      </c>
      <c r="M294" s="4" t="n"/>
      <c r="N294" s="4" t="n"/>
      <c r="O294" s="6">
        <f>IF(OR(I294="",J294=""),"",I294+J294)</f>
        <v/>
      </c>
      <c r="P294" s="6">
        <f>IF(OR(I294="",J294=""),"",I294-J294)</f>
        <v/>
      </c>
      <c r="Q294" s="6">
        <f>IF(L294="","",IF(L294="Gana",3,IF(L294="Empata",1,0)))</f>
        <v/>
      </c>
      <c r="R294" s="6">
        <f>IF(L294="","",IF(L294="Pierde",3,IF(L294="Empata",1,0)))</f>
        <v/>
      </c>
      <c r="S294" s="4" t="n"/>
    </row>
    <row r="295">
      <c r="A295" s="4" t="n"/>
      <c r="B295" s="4" t="n"/>
      <c r="C295" s="4" t="n"/>
      <c r="D295" s="4" t="n"/>
      <c r="E295" s="4" t="n"/>
      <c r="F295" s="7" t="n"/>
      <c r="G295" s="4" t="n"/>
      <c r="H295" s="4" t="n"/>
      <c r="I295" s="4" t="n"/>
      <c r="J295" s="4" t="n"/>
      <c r="K295" s="6">
        <f>IF(OR(I295="",J295=""),"",I295&amp;"-"&amp;J295)</f>
        <v/>
      </c>
      <c r="L295" s="6">
        <f>IF(OR(I295="",J295=""),"",IF(I295&gt;J295,"Gana",IF(I295=J295,"Empata","Pierde")))</f>
        <v/>
      </c>
      <c r="M295" s="4" t="n"/>
      <c r="N295" s="4" t="n"/>
      <c r="O295" s="6">
        <f>IF(OR(I295="",J295=""),"",I295+J295)</f>
        <v/>
      </c>
      <c r="P295" s="6">
        <f>IF(OR(I295="",J295=""),"",I295-J295)</f>
        <v/>
      </c>
      <c r="Q295" s="6">
        <f>IF(L295="","",IF(L295="Gana",3,IF(L295="Empata",1,0)))</f>
        <v/>
      </c>
      <c r="R295" s="6">
        <f>IF(L295="","",IF(L295="Pierde",3,IF(L295="Empata",1,0)))</f>
        <v/>
      </c>
      <c r="S295" s="4" t="n"/>
    </row>
    <row r="296">
      <c r="A296" s="4" t="n"/>
      <c r="B296" s="4" t="n"/>
      <c r="C296" s="4" t="n"/>
      <c r="D296" s="4" t="n"/>
      <c r="E296" s="4" t="n"/>
      <c r="F296" s="7" t="n"/>
      <c r="G296" s="4" t="n"/>
      <c r="H296" s="4" t="n"/>
      <c r="I296" s="4" t="n"/>
      <c r="J296" s="4" t="n"/>
      <c r="K296" s="6">
        <f>IF(OR(I296="",J296=""),"",I296&amp;"-"&amp;J296)</f>
        <v/>
      </c>
      <c r="L296" s="6">
        <f>IF(OR(I296="",J296=""),"",IF(I296&gt;J296,"Gana",IF(I296=J296,"Empata","Pierde")))</f>
        <v/>
      </c>
      <c r="M296" s="4" t="n"/>
      <c r="N296" s="4" t="n"/>
      <c r="O296" s="6">
        <f>IF(OR(I296="",J296=""),"",I296+J296)</f>
        <v/>
      </c>
      <c r="P296" s="6">
        <f>IF(OR(I296="",J296=""),"",I296-J296)</f>
        <v/>
      </c>
      <c r="Q296" s="6">
        <f>IF(L296="","",IF(L296="Gana",3,IF(L296="Empata",1,0)))</f>
        <v/>
      </c>
      <c r="R296" s="6">
        <f>IF(L296="","",IF(L296="Pierde",3,IF(L296="Empata",1,0)))</f>
        <v/>
      </c>
      <c r="S296" s="4" t="n"/>
    </row>
    <row r="297">
      <c r="A297" s="4" t="n"/>
      <c r="B297" s="4" t="n"/>
      <c r="C297" s="4" t="n"/>
      <c r="D297" s="4" t="n"/>
      <c r="E297" s="4" t="n"/>
      <c r="F297" s="7" t="n"/>
      <c r="G297" s="4" t="n"/>
      <c r="H297" s="4" t="n"/>
      <c r="I297" s="4" t="n"/>
      <c r="J297" s="4" t="n"/>
      <c r="K297" s="6">
        <f>IF(OR(I297="",J297=""),"",I297&amp;"-"&amp;J297)</f>
        <v/>
      </c>
      <c r="L297" s="6">
        <f>IF(OR(I297="",J297=""),"",IF(I297&gt;J297,"Gana",IF(I297=J297,"Empata","Pierde")))</f>
        <v/>
      </c>
      <c r="M297" s="4" t="n"/>
      <c r="N297" s="4" t="n"/>
      <c r="O297" s="6">
        <f>IF(OR(I297="",J297=""),"",I297+J297)</f>
        <v/>
      </c>
      <c r="P297" s="6">
        <f>IF(OR(I297="",J297=""),"",I297-J297)</f>
        <v/>
      </c>
      <c r="Q297" s="6">
        <f>IF(L297="","",IF(L297="Gana",3,IF(L297="Empata",1,0)))</f>
        <v/>
      </c>
      <c r="R297" s="6">
        <f>IF(L297="","",IF(L297="Pierde",3,IF(L297="Empata",1,0)))</f>
        <v/>
      </c>
      <c r="S297" s="4" t="n"/>
    </row>
    <row r="298">
      <c r="A298" s="4" t="n"/>
      <c r="B298" s="4" t="n"/>
      <c r="C298" s="4" t="n"/>
      <c r="D298" s="4" t="n"/>
      <c r="E298" s="4" t="n"/>
      <c r="F298" s="7" t="n"/>
      <c r="G298" s="4" t="n"/>
      <c r="H298" s="4" t="n"/>
      <c r="I298" s="4" t="n"/>
      <c r="J298" s="4" t="n"/>
      <c r="K298" s="6">
        <f>IF(OR(I298="",J298=""),"",I298&amp;"-"&amp;J298)</f>
        <v/>
      </c>
      <c r="L298" s="6">
        <f>IF(OR(I298="",J298=""),"",IF(I298&gt;J298,"Gana",IF(I298=J298,"Empata","Pierde")))</f>
        <v/>
      </c>
      <c r="M298" s="4" t="n"/>
      <c r="N298" s="4" t="n"/>
      <c r="O298" s="6">
        <f>IF(OR(I298="",J298=""),"",I298+J298)</f>
        <v/>
      </c>
      <c r="P298" s="6">
        <f>IF(OR(I298="",J298=""),"",I298-J298)</f>
        <v/>
      </c>
      <c r="Q298" s="6">
        <f>IF(L298="","",IF(L298="Gana",3,IF(L298="Empata",1,0)))</f>
        <v/>
      </c>
      <c r="R298" s="6">
        <f>IF(L298="","",IF(L298="Pierde",3,IF(L298="Empata",1,0)))</f>
        <v/>
      </c>
      <c r="S298" s="4" t="n"/>
    </row>
    <row r="299">
      <c r="A299" s="4" t="n"/>
      <c r="B299" s="4" t="n"/>
      <c r="C299" s="4" t="n"/>
      <c r="D299" s="4" t="n"/>
      <c r="E299" s="4" t="n"/>
      <c r="F299" s="7" t="n"/>
      <c r="G299" s="4" t="n"/>
      <c r="H299" s="4" t="n"/>
      <c r="I299" s="4" t="n"/>
      <c r="J299" s="4" t="n"/>
      <c r="K299" s="6">
        <f>IF(OR(I299="",J299=""),"",I299&amp;"-"&amp;J299)</f>
        <v/>
      </c>
      <c r="L299" s="6">
        <f>IF(OR(I299="",J299=""),"",IF(I299&gt;J299,"Gana",IF(I299=J299,"Empata","Pierde")))</f>
        <v/>
      </c>
      <c r="M299" s="4" t="n"/>
      <c r="N299" s="4" t="n"/>
      <c r="O299" s="6">
        <f>IF(OR(I299="",J299=""),"",I299+J299)</f>
        <v/>
      </c>
      <c r="P299" s="6">
        <f>IF(OR(I299="",J299=""),"",I299-J299)</f>
        <v/>
      </c>
      <c r="Q299" s="6">
        <f>IF(L299="","",IF(L299="Gana",3,IF(L299="Empata",1,0)))</f>
        <v/>
      </c>
      <c r="R299" s="6">
        <f>IF(L299="","",IF(L299="Pierde",3,IF(L299="Empata",1,0)))</f>
        <v/>
      </c>
      <c r="S299" s="4" t="n"/>
    </row>
    <row r="300">
      <c r="A300" s="4" t="n"/>
      <c r="B300" s="4" t="n"/>
      <c r="C300" s="4" t="n"/>
      <c r="D300" s="4" t="n"/>
      <c r="E300" s="4" t="n"/>
      <c r="F300" s="7" t="n"/>
      <c r="G300" s="4" t="n"/>
      <c r="H300" s="4" t="n"/>
      <c r="I300" s="4" t="n"/>
      <c r="J300" s="4" t="n"/>
      <c r="K300" s="6">
        <f>IF(OR(I300="",J300=""),"",I300&amp;"-"&amp;J300)</f>
        <v/>
      </c>
      <c r="L300" s="6">
        <f>IF(OR(I300="",J300=""),"",IF(I300&gt;J300,"Gana",IF(I300=J300,"Empata","Pierde")))</f>
        <v/>
      </c>
      <c r="M300" s="4" t="n"/>
      <c r="N300" s="4" t="n"/>
      <c r="O300" s="6">
        <f>IF(OR(I300="",J300=""),"",I300+J300)</f>
        <v/>
      </c>
      <c r="P300" s="6">
        <f>IF(OR(I300="",J300=""),"",I300-J300)</f>
        <v/>
      </c>
      <c r="Q300" s="6">
        <f>IF(L300="","",IF(L300="Gana",3,IF(L300="Empata",1,0)))</f>
        <v/>
      </c>
      <c r="R300" s="6">
        <f>IF(L300="","",IF(L300="Pierde",3,IF(L300="Empata",1,0)))</f>
        <v/>
      </c>
      <c r="S300" s="4" t="n"/>
    </row>
    <row r="301">
      <c r="A301" s="4" t="n"/>
      <c r="B301" s="4" t="n"/>
      <c r="C301" s="4" t="n"/>
      <c r="D301" s="4" t="n"/>
      <c r="E301" s="4" t="n"/>
      <c r="F301" s="7" t="n"/>
      <c r="G301" s="4" t="n"/>
      <c r="H301" s="4" t="n"/>
      <c r="I301" s="4" t="n"/>
      <c r="J301" s="4" t="n"/>
      <c r="K301" s="6">
        <f>IF(OR(I301="",J301=""),"",I301&amp;"-"&amp;J301)</f>
        <v/>
      </c>
      <c r="L301" s="6">
        <f>IF(OR(I301="",J301=""),"",IF(I301&gt;J301,"Gana",IF(I301=J301,"Empata","Pierde")))</f>
        <v/>
      </c>
      <c r="M301" s="4" t="n"/>
      <c r="N301" s="4" t="n"/>
      <c r="O301" s="6">
        <f>IF(OR(I301="",J301=""),"",I301+J301)</f>
        <v/>
      </c>
      <c r="P301" s="6">
        <f>IF(OR(I301="",J301=""),"",I301-J301)</f>
        <v/>
      </c>
      <c r="Q301" s="6">
        <f>IF(L301="","",IF(L301="Gana",3,IF(L301="Empata",1,0)))</f>
        <v/>
      </c>
      <c r="R301" s="6">
        <f>IF(L301="","",IF(L301="Pierde",3,IF(L301="Empata",1,0)))</f>
        <v/>
      </c>
      <c r="S301" s="4" t="n"/>
    </row>
    <row r="302">
      <c r="A302" s="4" t="n"/>
      <c r="B302" s="4" t="n"/>
      <c r="C302" s="4" t="n"/>
      <c r="D302" s="4" t="n"/>
      <c r="E302" s="4" t="n"/>
      <c r="F302" s="7" t="n"/>
      <c r="G302" s="4" t="n"/>
      <c r="H302" s="4" t="n"/>
      <c r="I302" s="4" t="n"/>
      <c r="J302" s="4" t="n"/>
      <c r="K302" s="6">
        <f>IF(OR(I302="",J302=""),"",I302&amp;"-"&amp;J302)</f>
        <v/>
      </c>
      <c r="L302" s="6">
        <f>IF(OR(I302="",J302=""),"",IF(I302&gt;J302,"Gana",IF(I302=J302,"Empata","Pierde")))</f>
        <v/>
      </c>
      <c r="M302" s="4" t="n"/>
      <c r="N302" s="4" t="n"/>
      <c r="O302" s="6">
        <f>IF(OR(I302="",J302=""),"",I302+J302)</f>
        <v/>
      </c>
      <c r="P302" s="6">
        <f>IF(OR(I302="",J302=""),"",I302-J302)</f>
        <v/>
      </c>
      <c r="Q302" s="6">
        <f>IF(L302="","",IF(L302="Gana",3,IF(L302="Empata",1,0)))</f>
        <v/>
      </c>
      <c r="R302" s="6">
        <f>IF(L302="","",IF(L302="Pierde",3,IF(L302="Empata",1,0)))</f>
        <v/>
      </c>
      <c r="S302" s="4" t="n"/>
    </row>
    <row r="303">
      <c r="A303" s="4" t="n"/>
      <c r="B303" s="4" t="n"/>
      <c r="C303" s="4" t="n"/>
      <c r="D303" s="4" t="n"/>
      <c r="E303" s="4" t="n"/>
      <c r="F303" s="7" t="n"/>
      <c r="G303" s="4" t="n"/>
      <c r="H303" s="4" t="n"/>
      <c r="I303" s="4" t="n"/>
      <c r="J303" s="4" t="n"/>
      <c r="K303" s="6">
        <f>IF(OR(I303="",J303=""),"",I303&amp;"-"&amp;J303)</f>
        <v/>
      </c>
      <c r="L303" s="6">
        <f>IF(OR(I303="",J303=""),"",IF(I303&gt;J303,"Gana",IF(I303=J303,"Empata","Pierde")))</f>
        <v/>
      </c>
      <c r="M303" s="4" t="n"/>
      <c r="N303" s="4" t="n"/>
      <c r="O303" s="6">
        <f>IF(OR(I303="",J303=""),"",I303+J303)</f>
        <v/>
      </c>
      <c r="P303" s="6">
        <f>IF(OR(I303="",J303=""),"",I303-J303)</f>
        <v/>
      </c>
      <c r="Q303" s="6">
        <f>IF(L303="","",IF(L303="Gana",3,IF(L303="Empata",1,0)))</f>
        <v/>
      </c>
      <c r="R303" s="6">
        <f>IF(L303="","",IF(L303="Pierde",3,IF(L303="Empata",1,0)))</f>
        <v/>
      </c>
      <c r="S303" s="4" t="n"/>
    </row>
    <row r="304">
      <c r="A304" s="4" t="n"/>
      <c r="B304" s="4" t="n"/>
      <c r="C304" s="4" t="n"/>
      <c r="D304" s="4" t="n"/>
      <c r="E304" s="4" t="n"/>
      <c r="F304" s="7" t="n"/>
      <c r="G304" s="4" t="n"/>
      <c r="H304" s="4" t="n"/>
      <c r="I304" s="4" t="n"/>
      <c r="J304" s="4" t="n"/>
      <c r="K304" s="6">
        <f>IF(OR(I304="",J304=""),"",I304&amp;"-"&amp;J304)</f>
        <v/>
      </c>
      <c r="L304" s="6">
        <f>IF(OR(I304="",J304=""),"",IF(I304&gt;J304,"Gana",IF(I304=J304,"Empata","Pierde")))</f>
        <v/>
      </c>
      <c r="M304" s="4" t="n"/>
      <c r="N304" s="4" t="n"/>
      <c r="O304" s="6">
        <f>IF(OR(I304="",J304=""),"",I304+J304)</f>
        <v/>
      </c>
      <c r="P304" s="6">
        <f>IF(OR(I304="",J304=""),"",I304-J304)</f>
        <v/>
      </c>
      <c r="Q304" s="6">
        <f>IF(L304="","",IF(L304="Gana",3,IF(L304="Empata",1,0)))</f>
        <v/>
      </c>
      <c r="R304" s="6">
        <f>IF(L304="","",IF(L304="Pierde",3,IF(L304="Empata",1,0)))</f>
        <v/>
      </c>
      <c r="S304" s="4" t="n"/>
    </row>
    <row r="305">
      <c r="A305" s="4" t="n"/>
      <c r="B305" s="4" t="n"/>
      <c r="C305" s="4" t="n"/>
      <c r="D305" s="4" t="n"/>
      <c r="E305" s="4" t="n"/>
      <c r="F305" s="7" t="n"/>
      <c r="G305" s="4" t="n"/>
      <c r="H305" s="4" t="n"/>
      <c r="I305" s="4" t="n"/>
      <c r="J305" s="4" t="n"/>
      <c r="K305" s="6">
        <f>IF(OR(I305="",J305=""),"",I305&amp;"-"&amp;J305)</f>
        <v/>
      </c>
      <c r="L305" s="6">
        <f>IF(OR(I305="",J305=""),"",IF(I305&gt;J305,"Gana",IF(I305=J305,"Empata","Pierde")))</f>
        <v/>
      </c>
      <c r="M305" s="4" t="n"/>
      <c r="N305" s="4" t="n"/>
      <c r="O305" s="6">
        <f>IF(OR(I305="",J305=""),"",I305+J305)</f>
        <v/>
      </c>
      <c r="P305" s="6">
        <f>IF(OR(I305="",J305=""),"",I305-J305)</f>
        <v/>
      </c>
      <c r="Q305" s="6">
        <f>IF(L305="","",IF(L305="Gana",3,IF(L305="Empata",1,0)))</f>
        <v/>
      </c>
      <c r="R305" s="6">
        <f>IF(L305="","",IF(L305="Pierde",3,IF(L305="Empata",1,0)))</f>
        <v/>
      </c>
      <c r="S305" s="4" t="n"/>
    </row>
    <row r="306">
      <c r="A306" s="4" t="n"/>
      <c r="B306" s="4" t="n"/>
      <c r="C306" s="4" t="n"/>
      <c r="D306" s="4" t="n"/>
      <c r="E306" s="4" t="n"/>
      <c r="F306" s="7" t="n"/>
      <c r="G306" s="4" t="n"/>
      <c r="H306" s="4" t="n"/>
      <c r="I306" s="4" t="n"/>
      <c r="J306" s="4" t="n"/>
      <c r="K306" s="6">
        <f>IF(OR(I306="",J306=""),"",I306&amp;"-"&amp;J306)</f>
        <v/>
      </c>
      <c r="L306" s="6">
        <f>IF(OR(I306="",J306=""),"",IF(I306&gt;J306,"Gana",IF(I306=J306,"Empata","Pierde")))</f>
        <v/>
      </c>
      <c r="M306" s="4" t="n"/>
      <c r="N306" s="4" t="n"/>
      <c r="O306" s="6">
        <f>IF(OR(I306="",J306=""),"",I306+J306)</f>
        <v/>
      </c>
      <c r="P306" s="6">
        <f>IF(OR(I306="",J306=""),"",I306-J306)</f>
        <v/>
      </c>
      <c r="Q306" s="6">
        <f>IF(L306="","",IF(L306="Gana",3,IF(L306="Empata",1,0)))</f>
        <v/>
      </c>
      <c r="R306" s="6">
        <f>IF(L306="","",IF(L306="Pierde",3,IF(L306="Empata",1,0)))</f>
        <v/>
      </c>
      <c r="S306" s="4" t="n"/>
    </row>
    <row r="307">
      <c r="A307" s="4" t="n"/>
      <c r="B307" s="4" t="n"/>
      <c r="C307" s="4" t="n"/>
      <c r="D307" s="4" t="n"/>
      <c r="E307" s="4" t="n"/>
      <c r="F307" s="7" t="n"/>
      <c r="G307" s="4" t="n"/>
      <c r="H307" s="4" t="n"/>
      <c r="I307" s="4" t="n"/>
      <c r="J307" s="4" t="n"/>
      <c r="K307" s="6">
        <f>IF(OR(I307="",J307=""),"",I307&amp;"-"&amp;J307)</f>
        <v/>
      </c>
      <c r="L307" s="6">
        <f>IF(OR(I307="",J307=""),"",IF(I307&gt;J307,"Gana",IF(I307=J307,"Empata","Pierde")))</f>
        <v/>
      </c>
      <c r="M307" s="4" t="n"/>
      <c r="N307" s="4" t="n"/>
      <c r="O307" s="6">
        <f>IF(OR(I307="",J307=""),"",I307+J307)</f>
        <v/>
      </c>
      <c r="P307" s="6">
        <f>IF(OR(I307="",J307=""),"",I307-J307)</f>
        <v/>
      </c>
      <c r="Q307" s="6">
        <f>IF(L307="","",IF(L307="Gana",3,IF(L307="Empata",1,0)))</f>
        <v/>
      </c>
      <c r="R307" s="6">
        <f>IF(L307="","",IF(L307="Pierde",3,IF(L307="Empata",1,0)))</f>
        <v/>
      </c>
      <c r="S307" s="4" t="n"/>
    </row>
    <row r="308">
      <c r="A308" s="4" t="n"/>
      <c r="B308" s="4" t="n"/>
      <c r="C308" s="4" t="n"/>
      <c r="D308" s="4" t="n"/>
      <c r="E308" s="4" t="n"/>
      <c r="F308" s="7" t="n"/>
      <c r="G308" s="4" t="n"/>
      <c r="H308" s="4" t="n"/>
      <c r="I308" s="4" t="n"/>
      <c r="J308" s="4" t="n"/>
      <c r="K308" s="6">
        <f>IF(OR(I308="",J308=""),"",I308&amp;"-"&amp;J308)</f>
        <v/>
      </c>
      <c r="L308" s="6">
        <f>IF(OR(I308="",J308=""),"",IF(I308&gt;J308,"Gana",IF(I308=J308,"Empata","Pierde")))</f>
        <v/>
      </c>
      <c r="M308" s="4" t="n"/>
      <c r="N308" s="4" t="n"/>
      <c r="O308" s="6">
        <f>IF(OR(I308="",J308=""),"",I308+J308)</f>
        <v/>
      </c>
      <c r="P308" s="6">
        <f>IF(OR(I308="",J308=""),"",I308-J308)</f>
        <v/>
      </c>
      <c r="Q308" s="6">
        <f>IF(L308="","",IF(L308="Gana",3,IF(L308="Empata",1,0)))</f>
        <v/>
      </c>
      <c r="R308" s="6">
        <f>IF(L308="","",IF(L308="Pierde",3,IF(L308="Empata",1,0)))</f>
        <v/>
      </c>
      <c r="S308" s="4" t="n"/>
    </row>
    <row r="309">
      <c r="A309" s="4" t="n"/>
      <c r="B309" s="4" t="n"/>
      <c r="C309" s="4" t="n"/>
      <c r="D309" s="4" t="n"/>
      <c r="E309" s="4" t="n"/>
      <c r="F309" s="7" t="n"/>
      <c r="G309" s="4" t="n"/>
      <c r="H309" s="4" t="n"/>
      <c r="I309" s="4" t="n"/>
      <c r="J309" s="4" t="n"/>
      <c r="K309" s="6">
        <f>IF(OR(I309="",J309=""),"",I309&amp;"-"&amp;J309)</f>
        <v/>
      </c>
      <c r="L309" s="6">
        <f>IF(OR(I309="",J309=""),"",IF(I309&gt;J309,"Gana",IF(I309=J309,"Empata","Pierde")))</f>
        <v/>
      </c>
      <c r="M309" s="4" t="n"/>
      <c r="N309" s="4" t="n"/>
      <c r="O309" s="6">
        <f>IF(OR(I309="",J309=""),"",I309+J309)</f>
        <v/>
      </c>
      <c r="P309" s="6">
        <f>IF(OR(I309="",J309=""),"",I309-J309)</f>
        <v/>
      </c>
      <c r="Q309" s="6">
        <f>IF(L309="","",IF(L309="Gana",3,IF(L309="Empata",1,0)))</f>
        <v/>
      </c>
      <c r="R309" s="6">
        <f>IF(L309="","",IF(L309="Pierde",3,IF(L309="Empata",1,0)))</f>
        <v/>
      </c>
      <c r="S309" s="4" t="n"/>
    </row>
    <row r="310">
      <c r="A310" s="4" t="n"/>
      <c r="B310" s="4" t="n"/>
      <c r="C310" s="4" t="n"/>
      <c r="D310" s="4" t="n"/>
      <c r="E310" s="4" t="n"/>
      <c r="F310" s="7" t="n"/>
      <c r="G310" s="4" t="n"/>
      <c r="H310" s="4" t="n"/>
      <c r="I310" s="4" t="n"/>
      <c r="J310" s="4" t="n"/>
      <c r="K310" s="6">
        <f>IF(OR(I310="",J310=""),"",I310&amp;"-"&amp;J310)</f>
        <v/>
      </c>
      <c r="L310" s="6">
        <f>IF(OR(I310="",J310=""),"",IF(I310&gt;J310,"Gana",IF(I310=J310,"Empata","Pierde")))</f>
        <v/>
      </c>
      <c r="M310" s="4" t="n"/>
      <c r="N310" s="4" t="n"/>
      <c r="O310" s="6">
        <f>IF(OR(I310="",J310=""),"",I310+J310)</f>
        <v/>
      </c>
      <c r="P310" s="6">
        <f>IF(OR(I310="",J310=""),"",I310-J310)</f>
        <v/>
      </c>
      <c r="Q310" s="6">
        <f>IF(L310="","",IF(L310="Gana",3,IF(L310="Empata",1,0)))</f>
        <v/>
      </c>
      <c r="R310" s="6">
        <f>IF(L310="","",IF(L310="Pierde",3,IF(L310="Empata",1,0)))</f>
        <v/>
      </c>
      <c r="S310" s="4" t="n"/>
    </row>
    <row r="311">
      <c r="A311" s="4" t="n"/>
      <c r="B311" s="4" t="n"/>
      <c r="C311" s="4" t="n"/>
      <c r="D311" s="4" t="n"/>
      <c r="E311" s="4" t="n"/>
      <c r="F311" s="7" t="n"/>
      <c r="G311" s="4" t="n"/>
      <c r="H311" s="4" t="n"/>
      <c r="I311" s="4" t="n"/>
      <c r="J311" s="4" t="n"/>
      <c r="K311" s="6">
        <f>IF(OR(I311="",J311=""),"",I311&amp;"-"&amp;J311)</f>
        <v/>
      </c>
      <c r="L311" s="6">
        <f>IF(OR(I311="",J311=""),"",IF(I311&gt;J311,"Gana",IF(I311=J311,"Empata","Pierde")))</f>
        <v/>
      </c>
      <c r="M311" s="4" t="n"/>
      <c r="N311" s="4" t="n"/>
      <c r="O311" s="6">
        <f>IF(OR(I311="",J311=""),"",I311+J311)</f>
        <v/>
      </c>
      <c r="P311" s="6">
        <f>IF(OR(I311="",J311=""),"",I311-J311)</f>
        <v/>
      </c>
      <c r="Q311" s="6">
        <f>IF(L311="","",IF(L311="Gana",3,IF(L311="Empata",1,0)))</f>
        <v/>
      </c>
      <c r="R311" s="6">
        <f>IF(L311="","",IF(L311="Pierde",3,IF(L311="Empata",1,0)))</f>
        <v/>
      </c>
      <c r="S311" s="4" t="n"/>
    </row>
    <row r="312">
      <c r="A312" s="4" t="n"/>
      <c r="B312" s="4" t="n"/>
      <c r="C312" s="4" t="n"/>
      <c r="D312" s="4" t="n"/>
      <c r="E312" s="4" t="n"/>
      <c r="F312" s="7" t="n"/>
      <c r="G312" s="4" t="n"/>
      <c r="H312" s="4" t="n"/>
      <c r="I312" s="4" t="n"/>
      <c r="J312" s="4" t="n"/>
      <c r="K312" s="6">
        <f>IF(OR(I312="",J312=""),"",I312&amp;"-"&amp;J312)</f>
        <v/>
      </c>
      <c r="L312" s="6">
        <f>IF(OR(I312="",J312=""),"",IF(I312&gt;J312,"Gana",IF(I312=J312,"Empata","Pierde")))</f>
        <v/>
      </c>
      <c r="M312" s="4" t="n"/>
      <c r="N312" s="4" t="n"/>
      <c r="O312" s="6">
        <f>IF(OR(I312="",J312=""),"",I312+J312)</f>
        <v/>
      </c>
      <c r="P312" s="6">
        <f>IF(OR(I312="",J312=""),"",I312-J312)</f>
        <v/>
      </c>
      <c r="Q312" s="6">
        <f>IF(L312="","",IF(L312="Gana",3,IF(L312="Empata",1,0)))</f>
        <v/>
      </c>
      <c r="R312" s="6">
        <f>IF(L312="","",IF(L312="Pierde",3,IF(L312="Empata",1,0)))</f>
        <v/>
      </c>
      <c r="S312" s="4" t="n"/>
    </row>
    <row r="313">
      <c r="A313" s="4" t="n"/>
      <c r="B313" s="4" t="n"/>
      <c r="C313" s="4" t="n"/>
      <c r="D313" s="4" t="n"/>
      <c r="E313" s="4" t="n"/>
      <c r="F313" s="7" t="n"/>
      <c r="G313" s="4" t="n"/>
      <c r="H313" s="4" t="n"/>
      <c r="I313" s="4" t="n"/>
      <c r="J313" s="4" t="n"/>
      <c r="K313" s="6">
        <f>IF(OR(I313="",J313=""),"",I313&amp;"-"&amp;J313)</f>
        <v/>
      </c>
      <c r="L313" s="6">
        <f>IF(OR(I313="",J313=""),"",IF(I313&gt;J313,"Gana",IF(I313=J313,"Empata","Pierde")))</f>
        <v/>
      </c>
      <c r="M313" s="4" t="n"/>
      <c r="N313" s="4" t="n"/>
      <c r="O313" s="6">
        <f>IF(OR(I313="",J313=""),"",I313+J313)</f>
        <v/>
      </c>
      <c r="P313" s="6">
        <f>IF(OR(I313="",J313=""),"",I313-J313)</f>
        <v/>
      </c>
      <c r="Q313" s="6">
        <f>IF(L313="","",IF(L313="Gana",3,IF(L313="Empata",1,0)))</f>
        <v/>
      </c>
      <c r="R313" s="6">
        <f>IF(L313="","",IF(L313="Pierde",3,IF(L313="Empata",1,0)))</f>
        <v/>
      </c>
      <c r="S313" s="4" t="n"/>
    </row>
    <row r="314">
      <c r="A314" s="4" t="n"/>
      <c r="B314" s="4" t="n"/>
      <c r="C314" s="4" t="n"/>
      <c r="D314" s="4" t="n"/>
      <c r="E314" s="4" t="n"/>
      <c r="F314" s="7" t="n"/>
      <c r="G314" s="4" t="n"/>
      <c r="H314" s="4" t="n"/>
      <c r="I314" s="4" t="n"/>
      <c r="J314" s="4" t="n"/>
      <c r="K314" s="6">
        <f>IF(OR(I314="",J314=""),"",I314&amp;"-"&amp;J314)</f>
        <v/>
      </c>
      <c r="L314" s="6">
        <f>IF(OR(I314="",J314=""),"",IF(I314&gt;J314,"Gana",IF(I314=J314,"Empata","Pierde")))</f>
        <v/>
      </c>
      <c r="M314" s="4" t="n"/>
      <c r="N314" s="4" t="n"/>
      <c r="O314" s="6">
        <f>IF(OR(I314="",J314=""),"",I314+J314)</f>
        <v/>
      </c>
      <c r="P314" s="6">
        <f>IF(OR(I314="",J314=""),"",I314-J314)</f>
        <v/>
      </c>
      <c r="Q314" s="6">
        <f>IF(L314="","",IF(L314="Gana",3,IF(L314="Empata",1,0)))</f>
        <v/>
      </c>
      <c r="R314" s="6">
        <f>IF(L314="","",IF(L314="Pierde",3,IF(L314="Empata",1,0)))</f>
        <v/>
      </c>
      <c r="S314" s="4" t="n"/>
    </row>
    <row r="315">
      <c r="A315" s="4" t="n"/>
      <c r="B315" s="4" t="n"/>
      <c r="C315" s="4" t="n"/>
      <c r="D315" s="4" t="n"/>
      <c r="E315" s="4" t="n"/>
      <c r="F315" s="7" t="n"/>
      <c r="G315" s="4" t="n"/>
      <c r="H315" s="4" t="n"/>
      <c r="I315" s="4" t="n"/>
      <c r="J315" s="4" t="n"/>
      <c r="K315" s="6">
        <f>IF(OR(I315="",J315=""),"",I315&amp;"-"&amp;J315)</f>
        <v/>
      </c>
      <c r="L315" s="6">
        <f>IF(OR(I315="",J315=""),"",IF(I315&gt;J315,"Gana",IF(I315=J315,"Empata","Pierde")))</f>
        <v/>
      </c>
      <c r="M315" s="4" t="n"/>
      <c r="N315" s="4" t="n"/>
      <c r="O315" s="6">
        <f>IF(OR(I315="",J315=""),"",I315+J315)</f>
        <v/>
      </c>
      <c r="P315" s="6">
        <f>IF(OR(I315="",J315=""),"",I315-J315)</f>
        <v/>
      </c>
      <c r="Q315" s="6">
        <f>IF(L315="","",IF(L315="Gana",3,IF(L315="Empata",1,0)))</f>
        <v/>
      </c>
      <c r="R315" s="6">
        <f>IF(L315="","",IF(L315="Pierde",3,IF(L315="Empata",1,0)))</f>
        <v/>
      </c>
      <c r="S315" s="4" t="n"/>
    </row>
    <row r="316">
      <c r="A316" s="4" t="n"/>
      <c r="B316" s="4" t="n"/>
      <c r="C316" s="4" t="n"/>
      <c r="D316" s="4" t="n"/>
      <c r="E316" s="4" t="n"/>
      <c r="F316" s="7" t="n"/>
      <c r="G316" s="4" t="n"/>
      <c r="H316" s="4" t="n"/>
      <c r="I316" s="4" t="n"/>
      <c r="J316" s="4" t="n"/>
      <c r="K316" s="6">
        <f>IF(OR(I316="",J316=""),"",I316&amp;"-"&amp;J316)</f>
        <v/>
      </c>
      <c r="L316" s="6">
        <f>IF(OR(I316="",J316=""),"",IF(I316&gt;J316,"Gana",IF(I316=J316,"Empata","Pierde")))</f>
        <v/>
      </c>
      <c r="M316" s="4" t="n"/>
      <c r="N316" s="4" t="n"/>
      <c r="O316" s="6">
        <f>IF(OR(I316="",J316=""),"",I316+J316)</f>
        <v/>
      </c>
      <c r="P316" s="6">
        <f>IF(OR(I316="",J316=""),"",I316-J316)</f>
        <v/>
      </c>
      <c r="Q316" s="6">
        <f>IF(L316="","",IF(L316="Gana",3,IF(L316="Empata",1,0)))</f>
        <v/>
      </c>
      <c r="R316" s="6">
        <f>IF(L316="","",IF(L316="Pierde",3,IF(L316="Empata",1,0)))</f>
        <v/>
      </c>
      <c r="S316" s="4" t="n"/>
    </row>
    <row r="317">
      <c r="A317" s="4" t="n"/>
      <c r="B317" s="4" t="n"/>
      <c r="C317" s="4" t="n"/>
      <c r="D317" s="4" t="n"/>
      <c r="E317" s="4" t="n"/>
      <c r="F317" s="7" t="n"/>
      <c r="G317" s="4" t="n"/>
      <c r="H317" s="4" t="n"/>
      <c r="I317" s="4" t="n"/>
      <c r="J317" s="4" t="n"/>
      <c r="K317" s="6">
        <f>IF(OR(I317="",J317=""),"",I317&amp;"-"&amp;J317)</f>
        <v/>
      </c>
      <c r="L317" s="6">
        <f>IF(OR(I317="",J317=""),"",IF(I317&gt;J317,"Gana",IF(I317=J317,"Empata","Pierde")))</f>
        <v/>
      </c>
      <c r="M317" s="4" t="n"/>
      <c r="N317" s="4" t="n"/>
      <c r="O317" s="6">
        <f>IF(OR(I317="",J317=""),"",I317+J317)</f>
        <v/>
      </c>
      <c r="P317" s="6">
        <f>IF(OR(I317="",J317=""),"",I317-J317)</f>
        <v/>
      </c>
      <c r="Q317" s="6">
        <f>IF(L317="","",IF(L317="Gana",3,IF(L317="Empata",1,0)))</f>
        <v/>
      </c>
      <c r="R317" s="6">
        <f>IF(L317="","",IF(L317="Pierde",3,IF(L317="Empata",1,0)))</f>
        <v/>
      </c>
      <c r="S317" s="4" t="n"/>
    </row>
    <row r="318">
      <c r="A318" s="4" t="n"/>
      <c r="B318" s="4" t="n"/>
      <c r="C318" s="4" t="n"/>
      <c r="D318" s="4" t="n"/>
      <c r="E318" s="4" t="n"/>
      <c r="F318" s="7" t="n"/>
      <c r="G318" s="4" t="n"/>
      <c r="H318" s="4" t="n"/>
      <c r="I318" s="4" t="n"/>
      <c r="J318" s="4" t="n"/>
      <c r="K318" s="6">
        <f>IF(OR(I318="",J318=""),"",I318&amp;"-"&amp;J318)</f>
        <v/>
      </c>
      <c r="L318" s="6">
        <f>IF(OR(I318="",J318=""),"",IF(I318&gt;J318,"Gana",IF(I318=J318,"Empata","Pierde")))</f>
        <v/>
      </c>
      <c r="M318" s="4" t="n"/>
      <c r="N318" s="4" t="n"/>
      <c r="O318" s="6">
        <f>IF(OR(I318="",J318=""),"",I318+J318)</f>
        <v/>
      </c>
      <c r="P318" s="6">
        <f>IF(OR(I318="",J318=""),"",I318-J318)</f>
        <v/>
      </c>
      <c r="Q318" s="6">
        <f>IF(L318="","",IF(L318="Gana",3,IF(L318="Empata",1,0)))</f>
        <v/>
      </c>
      <c r="R318" s="6">
        <f>IF(L318="","",IF(L318="Pierde",3,IF(L318="Empata",1,0)))</f>
        <v/>
      </c>
      <c r="S318" s="4" t="n"/>
    </row>
    <row r="319">
      <c r="A319" s="4" t="n"/>
      <c r="B319" s="4" t="n"/>
      <c r="C319" s="4" t="n"/>
      <c r="D319" s="4" t="n"/>
      <c r="E319" s="4" t="n"/>
      <c r="F319" s="7" t="n"/>
      <c r="G319" s="4" t="n"/>
      <c r="H319" s="4" t="n"/>
      <c r="I319" s="4" t="n"/>
      <c r="J319" s="4" t="n"/>
      <c r="K319" s="6">
        <f>IF(OR(I319="",J319=""),"",I319&amp;"-"&amp;J319)</f>
        <v/>
      </c>
      <c r="L319" s="6">
        <f>IF(OR(I319="",J319=""),"",IF(I319&gt;J319,"Gana",IF(I319=J319,"Empata","Pierde")))</f>
        <v/>
      </c>
      <c r="M319" s="4" t="n"/>
      <c r="N319" s="4" t="n"/>
      <c r="O319" s="6">
        <f>IF(OR(I319="",J319=""),"",I319+J319)</f>
        <v/>
      </c>
      <c r="P319" s="6">
        <f>IF(OR(I319="",J319=""),"",I319-J319)</f>
        <v/>
      </c>
      <c r="Q319" s="6">
        <f>IF(L319="","",IF(L319="Gana",3,IF(L319="Empata",1,0)))</f>
        <v/>
      </c>
      <c r="R319" s="6">
        <f>IF(L319="","",IF(L319="Pierde",3,IF(L319="Empata",1,0)))</f>
        <v/>
      </c>
      <c r="S319" s="4" t="n"/>
    </row>
    <row r="320">
      <c r="A320" s="4" t="n"/>
      <c r="B320" s="4" t="n"/>
      <c r="C320" s="4" t="n"/>
      <c r="D320" s="4" t="n"/>
      <c r="E320" s="4" t="n"/>
      <c r="F320" s="7" t="n"/>
      <c r="G320" s="4" t="n"/>
      <c r="H320" s="4" t="n"/>
      <c r="I320" s="4" t="n"/>
      <c r="J320" s="4" t="n"/>
      <c r="K320" s="6">
        <f>IF(OR(I320="",J320=""),"",I320&amp;"-"&amp;J320)</f>
        <v/>
      </c>
      <c r="L320" s="6">
        <f>IF(OR(I320="",J320=""),"",IF(I320&gt;J320,"Gana",IF(I320=J320,"Empata","Pierde")))</f>
        <v/>
      </c>
      <c r="M320" s="4" t="n"/>
      <c r="N320" s="4" t="n"/>
      <c r="O320" s="6">
        <f>IF(OR(I320="",J320=""),"",I320+J320)</f>
        <v/>
      </c>
      <c r="P320" s="6">
        <f>IF(OR(I320="",J320=""),"",I320-J320)</f>
        <v/>
      </c>
      <c r="Q320" s="6">
        <f>IF(L320="","",IF(L320="Gana",3,IF(L320="Empata",1,0)))</f>
        <v/>
      </c>
      <c r="R320" s="6">
        <f>IF(L320="","",IF(L320="Pierde",3,IF(L320="Empata",1,0)))</f>
        <v/>
      </c>
      <c r="S320" s="4" t="n"/>
    </row>
    <row r="321">
      <c r="A321" s="4" t="n"/>
      <c r="B321" s="4" t="n"/>
      <c r="C321" s="4" t="n"/>
      <c r="D321" s="4" t="n"/>
      <c r="E321" s="4" t="n"/>
      <c r="F321" s="7" t="n"/>
      <c r="G321" s="4" t="n"/>
      <c r="H321" s="4" t="n"/>
      <c r="I321" s="4" t="n"/>
      <c r="J321" s="4" t="n"/>
      <c r="K321" s="6">
        <f>IF(OR(I321="",J321=""),"",I321&amp;"-"&amp;J321)</f>
        <v/>
      </c>
      <c r="L321" s="6">
        <f>IF(OR(I321="",J321=""),"",IF(I321&gt;J321,"Gana",IF(I321=J321,"Empata","Pierde")))</f>
        <v/>
      </c>
      <c r="M321" s="4" t="n"/>
      <c r="N321" s="4" t="n"/>
      <c r="O321" s="6">
        <f>IF(OR(I321="",J321=""),"",I321+J321)</f>
        <v/>
      </c>
      <c r="P321" s="6">
        <f>IF(OR(I321="",J321=""),"",I321-J321)</f>
        <v/>
      </c>
      <c r="Q321" s="6">
        <f>IF(L321="","",IF(L321="Gana",3,IF(L321="Empata",1,0)))</f>
        <v/>
      </c>
      <c r="R321" s="6">
        <f>IF(L321="","",IF(L321="Pierde",3,IF(L321="Empata",1,0)))</f>
        <v/>
      </c>
      <c r="S321" s="4" t="n"/>
    </row>
    <row r="322">
      <c r="A322" s="4" t="n"/>
      <c r="B322" s="4" t="n"/>
      <c r="C322" s="4" t="n"/>
      <c r="D322" s="4" t="n"/>
      <c r="E322" s="4" t="n"/>
      <c r="F322" s="7" t="n"/>
      <c r="G322" s="4" t="n"/>
      <c r="H322" s="4" t="n"/>
      <c r="I322" s="4" t="n"/>
      <c r="J322" s="4" t="n"/>
      <c r="K322" s="6">
        <f>IF(OR(I322="",J322=""),"",I322&amp;"-"&amp;J322)</f>
        <v/>
      </c>
      <c r="L322" s="6">
        <f>IF(OR(I322="",J322=""),"",IF(I322&gt;J322,"Gana",IF(I322=J322,"Empata","Pierde")))</f>
        <v/>
      </c>
      <c r="M322" s="4" t="n"/>
      <c r="N322" s="4" t="n"/>
      <c r="O322" s="6">
        <f>IF(OR(I322="",J322=""),"",I322+J322)</f>
        <v/>
      </c>
      <c r="P322" s="6">
        <f>IF(OR(I322="",J322=""),"",I322-J322)</f>
        <v/>
      </c>
      <c r="Q322" s="6">
        <f>IF(L322="","",IF(L322="Gana",3,IF(L322="Empata",1,0)))</f>
        <v/>
      </c>
      <c r="R322" s="6">
        <f>IF(L322="","",IF(L322="Pierde",3,IF(L322="Empata",1,0)))</f>
        <v/>
      </c>
      <c r="S322" s="4" t="n"/>
    </row>
    <row r="323">
      <c r="A323" s="4" t="n"/>
      <c r="B323" s="4" t="n"/>
      <c r="C323" s="4" t="n"/>
      <c r="D323" s="4" t="n"/>
      <c r="E323" s="4" t="n"/>
      <c r="F323" s="7" t="n"/>
      <c r="G323" s="4" t="n"/>
      <c r="H323" s="4" t="n"/>
      <c r="I323" s="4" t="n"/>
      <c r="J323" s="4" t="n"/>
      <c r="K323" s="6">
        <f>IF(OR(I323="",J323=""),"",I323&amp;"-"&amp;J323)</f>
        <v/>
      </c>
      <c r="L323" s="6">
        <f>IF(OR(I323="",J323=""),"",IF(I323&gt;J323,"Gana",IF(I323=J323,"Empata","Pierde")))</f>
        <v/>
      </c>
      <c r="M323" s="4" t="n"/>
      <c r="N323" s="4" t="n"/>
      <c r="O323" s="6">
        <f>IF(OR(I323="",J323=""),"",I323+J323)</f>
        <v/>
      </c>
      <c r="P323" s="6">
        <f>IF(OR(I323="",J323=""),"",I323-J323)</f>
        <v/>
      </c>
      <c r="Q323" s="6">
        <f>IF(L323="","",IF(L323="Gana",3,IF(L323="Empata",1,0)))</f>
        <v/>
      </c>
      <c r="R323" s="6">
        <f>IF(L323="","",IF(L323="Pierde",3,IF(L323="Empata",1,0)))</f>
        <v/>
      </c>
      <c r="S323" s="4" t="n"/>
    </row>
    <row r="324">
      <c r="A324" s="4" t="n"/>
      <c r="B324" s="4" t="n"/>
      <c r="C324" s="4" t="n"/>
      <c r="D324" s="4" t="n"/>
      <c r="E324" s="4" t="n"/>
      <c r="F324" s="7" t="n"/>
      <c r="G324" s="4" t="n"/>
      <c r="H324" s="4" t="n"/>
      <c r="I324" s="4" t="n"/>
      <c r="J324" s="4" t="n"/>
      <c r="K324" s="6">
        <f>IF(OR(I324="",J324=""),"",I324&amp;"-"&amp;J324)</f>
        <v/>
      </c>
      <c r="L324" s="6">
        <f>IF(OR(I324="",J324=""),"",IF(I324&gt;J324,"Gana",IF(I324=J324,"Empata","Pierde")))</f>
        <v/>
      </c>
      <c r="M324" s="4" t="n"/>
      <c r="N324" s="4" t="n"/>
      <c r="O324" s="6">
        <f>IF(OR(I324="",J324=""),"",I324+J324)</f>
        <v/>
      </c>
      <c r="P324" s="6">
        <f>IF(OR(I324="",J324=""),"",I324-J324)</f>
        <v/>
      </c>
      <c r="Q324" s="6">
        <f>IF(L324="","",IF(L324="Gana",3,IF(L324="Empata",1,0)))</f>
        <v/>
      </c>
      <c r="R324" s="6">
        <f>IF(L324="","",IF(L324="Pierde",3,IF(L324="Empata",1,0)))</f>
        <v/>
      </c>
      <c r="S324" s="4" t="n"/>
    </row>
    <row r="325">
      <c r="A325" s="4" t="n"/>
      <c r="B325" s="4" t="n"/>
      <c r="C325" s="4" t="n"/>
      <c r="D325" s="4" t="n"/>
      <c r="E325" s="4" t="n"/>
      <c r="F325" s="7" t="n"/>
      <c r="G325" s="4" t="n"/>
      <c r="H325" s="4" t="n"/>
      <c r="I325" s="4" t="n"/>
      <c r="J325" s="4" t="n"/>
      <c r="K325" s="6">
        <f>IF(OR(I325="",J325=""),"",I325&amp;"-"&amp;J325)</f>
        <v/>
      </c>
      <c r="L325" s="6">
        <f>IF(OR(I325="",J325=""),"",IF(I325&gt;J325,"Gana",IF(I325=J325,"Empata","Pierde")))</f>
        <v/>
      </c>
      <c r="M325" s="4" t="n"/>
      <c r="N325" s="4" t="n"/>
      <c r="O325" s="6">
        <f>IF(OR(I325="",J325=""),"",I325+J325)</f>
        <v/>
      </c>
      <c r="P325" s="6">
        <f>IF(OR(I325="",J325=""),"",I325-J325)</f>
        <v/>
      </c>
      <c r="Q325" s="6">
        <f>IF(L325="","",IF(L325="Gana",3,IF(L325="Empata",1,0)))</f>
        <v/>
      </c>
      <c r="R325" s="6">
        <f>IF(L325="","",IF(L325="Pierde",3,IF(L325="Empata",1,0)))</f>
        <v/>
      </c>
      <c r="S325" s="4" t="n"/>
    </row>
    <row r="326">
      <c r="A326" s="4" t="n"/>
      <c r="B326" s="4" t="n"/>
      <c r="C326" s="4" t="n"/>
      <c r="D326" s="4" t="n"/>
      <c r="E326" s="4" t="n"/>
      <c r="F326" s="7" t="n"/>
      <c r="G326" s="4" t="n"/>
      <c r="H326" s="4" t="n"/>
      <c r="I326" s="4" t="n"/>
      <c r="J326" s="4" t="n"/>
      <c r="K326" s="6">
        <f>IF(OR(I326="",J326=""),"",I326&amp;"-"&amp;J326)</f>
        <v/>
      </c>
      <c r="L326" s="6">
        <f>IF(OR(I326="",J326=""),"",IF(I326&gt;J326,"Gana",IF(I326=J326,"Empata","Pierde")))</f>
        <v/>
      </c>
      <c r="M326" s="4" t="n"/>
      <c r="N326" s="4" t="n"/>
      <c r="O326" s="6">
        <f>IF(OR(I326="",J326=""),"",I326+J326)</f>
        <v/>
      </c>
      <c r="P326" s="6">
        <f>IF(OR(I326="",J326=""),"",I326-J326)</f>
        <v/>
      </c>
      <c r="Q326" s="6">
        <f>IF(L326="","",IF(L326="Gana",3,IF(L326="Empata",1,0)))</f>
        <v/>
      </c>
      <c r="R326" s="6">
        <f>IF(L326="","",IF(L326="Pierde",3,IF(L326="Empata",1,0)))</f>
        <v/>
      </c>
      <c r="S326" s="4" t="n"/>
    </row>
    <row r="327">
      <c r="A327" s="4" t="n"/>
      <c r="B327" s="4" t="n"/>
      <c r="C327" s="4" t="n"/>
      <c r="D327" s="4" t="n"/>
      <c r="E327" s="4" t="n"/>
      <c r="F327" s="7" t="n"/>
      <c r="G327" s="4" t="n"/>
      <c r="H327" s="4" t="n"/>
      <c r="I327" s="4" t="n"/>
      <c r="J327" s="4" t="n"/>
      <c r="K327" s="6">
        <f>IF(OR(I327="",J327=""),"",I327&amp;"-"&amp;J327)</f>
        <v/>
      </c>
      <c r="L327" s="6">
        <f>IF(OR(I327="",J327=""),"",IF(I327&gt;J327,"Gana",IF(I327=J327,"Empata","Pierde")))</f>
        <v/>
      </c>
      <c r="M327" s="4" t="n"/>
      <c r="N327" s="4" t="n"/>
      <c r="O327" s="6">
        <f>IF(OR(I327="",J327=""),"",I327+J327)</f>
        <v/>
      </c>
      <c r="P327" s="6">
        <f>IF(OR(I327="",J327=""),"",I327-J327)</f>
        <v/>
      </c>
      <c r="Q327" s="6">
        <f>IF(L327="","",IF(L327="Gana",3,IF(L327="Empata",1,0)))</f>
        <v/>
      </c>
      <c r="R327" s="6">
        <f>IF(L327="","",IF(L327="Pierde",3,IF(L327="Empata",1,0)))</f>
        <v/>
      </c>
      <c r="S327" s="4" t="n"/>
    </row>
    <row r="328">
      <c r="A328" s="4" t="n"/>
      <c r="B328" s="4" t="n"/>
      <c r="C328" s="4" t="n"/>
      <c r="D328" s="4" t="n"/>
      <c r="E328" s="4" t="n"/>
      <c r="F328" s="7" t="n"/>
      <c r="G328" s="4" t="n"/>
      <c r="H328" s="4" t="n"/>
      <c r="I328" s="4" t="n"/>
      <c r="J328" s="4" t="n"/>
      <c r="K328" s="6">
        <f>IF(OR(I328="",J328=""),"",I328&amp;"-"&amp;J328)</f>
        <v/>
      </c>
      <c r="L328" s="6">
        <f>IF(OR(I328="",J328=""),"",IF(I328&gt;J328,"Gana",IF(I328=J328,"Empata","Pierde")))</f>
        <v/>
      </c>
      <c r="M328" s="4" t="n"/>
      <c r="N328" s="4" t="n"/>
      <c r="O328" s="6">
        <f>IF(OR(I328="",J328=""),"",I328+J328)</f>
        <v/>
      </c>
      <c r="P328" s="6">
        <f>IF(OR(I328="",J328=""),"",I328-J328)</f>
        <v/>
      </c>
      <c r="Q328" s="6">
        <f>IF(L328="","",IF(L328="Gana",3,IF(L328="Empata",1,0)))</f>
        <v/>
      </c>
      <c r="R328" s="6">
        <f>IF(L328="","",IF(L328="Pierde",3,IF(L328="Empata",1,0)))</f>
        <v/>
      </c>
      <c r="S328" s="4" t="n"/>
    </row>
    <row r="329">
      <c r="A329" s="4" t="n"/>
      <c r="B329" s="4" t="n"/>
      <c r="C329" s="4" t="n"/>
      <c r="D329" s="4" t="n"/>
      <c r="E329" s="4" t="n"/>
      <c r="F329" s="7" t="n"/>
      <c r="G329" s="4" t="n"/>
      <c r="H329" s="4" t="n"/>
      <c r="I329" s="4" t="n"/>
      <c r="J329" s="4" t="n"/>
      <c r="K329" s="6">
        <f>IF(OR(I329="",J329=""),"",I329&amp;"-"&amp;J329)</f>
        <v/>
      </c>
      <c r="L329" s="6">
        <f>IF(OR(I329="",J329=""),"",IF(I329&gt;J329,"Gana",IF(I329=J329,"Empata","Pierde")))</f>
        <v/>
      </c>
      <c r="M329" s="4" t="n"/>
      <c r="N329" s="4" t="n"/>
      <c r="O329" s="6">
        <f>IF(OR(I329="",J329=""),"",I329+J329)</f>
        <v/>
      </c>
      <c r="P329" s="6">
        <f>IF(OR(I329="",J329=""),"",I329-J329)</f>
        <v/>
      </c>
      <c r="Q329" s="6">
        <f>IF(L329="","",IF(L329="Gana",3,IF(L329="Empata",1,0)))</f>
        <v/>
      </c>
      <c r="R329" s="6">
        <f>IF(L329="","",IF(L329="Pierde",3,IF(L329="Empata",1,0)))</f>
        <v/>
      </c>
      <c r="S329" s="4" t="n"/>
    </row>
    <row r="330">
      <c r="A330" s="4" t="n"/>
      <c r="B330" s="4" t="n"/>
      <c r="C330" s="4" t="n"/>
      <c r="D330" s="4" t="n"/>
      <c r="E330" s="4" t="n"/>
      <c r="F330" s="7" t="n"/>
      <c r="G330" s="4" t="n"/>
      <c r="H330" s="4" t="n"/>
      <c r="I330" s="4" t="n"/>
      <c r="J330" s="4" t="n"/>
      <c r="K330" s="6">
        <f>IF(OR(I330="",J330=""),"",I330&amp;"-"&amp;J330)</f>
        <v/>
      </c>
      <c r="L330" s="6">
        <f>IF(OR(I330="",J330=""),"",IF(I330&gt;J330,"Gana",IF(I330=J330,"Empata","Pierde")))</f>
        <v/>
      </c>
      <c r="M330" s="4" t="n"/>
      <c r="N330" s="4" t="n"/>
      <c r="O330" s="6">
        <f>IF(OR(I330="",J330=""),"",I330+J330)</f>
        <v/>
      </c>
      <c r="P330" s="6">
        <f>IF(OR(I330="",J330=""),"",I330-J330)</f>
        <v/>
      </c>
      <c r="Q330" s="6">
        <f>IF(L330="","",IF(L330="Gana",3,IF(L330="Empata",1,0)))</f>
        <v/>
      </c>
      <c r="R330" s="6">
        <f>IF(L330="","",IF(L330="Pierde",3,IF(L330="Empata",1,0)))</f>
        <v/>
      </c>
      <c r="S330" s="4" t="n"/>
    </row>
    <row r="331">
      <c r="A331" s="4" t="n"/>
      <c r="B331" s="4" t="n"/>
      <c r="C331" s="4" t="n"/>
      <c r="D331" s="4" t="n"/>
      <c r="E331" s="4" t="n"/>
      <c r="F331" s="7" t="n"/>
      <c r="G331" s="4" t="n"/>
      <c r="H331" s="4" t="n"/>
      <c r="I331" s="4" t="n"/>
      <c r="J331" s="4" t="n"/>
      <c r="K331" s="6">
        <f>IF(OR(I331="",J331=""),"",I331&amp;"-"&amp;J331)</f>
        <v/>
      </c>
      <c r="L331" s="6">
        <f>IF(OR(I331="",J331=""),"",IF(I331&gt;J331,"Gana",IF(I331=J331,"Empata","Pierde")))</f>
        <v/>
      </c>
      <c r="M331" s="4" t="n"/>
      <c r="N331" s="4" t="n"/>
      <c r="O331" s="6">
        <f>IF(OR(I331="",J331=""),"",I331+J331)</f>
        <v/>
      </c>
      <c r="P331" s="6">
        <f>IF(OR(I331="",J331=""),"",I331-J331)</f>
        <v/>
      </c>
      <c r="Q331" s="6">
        <f>IF(L331="","",IF(L331="Gana",3,IF(L331="Empata",1,0)))</f>
        <v/>
      </c>
      <c r="R331" s="6">
        <f>IF(L331="","",IF(L331="Pierde",3,IF(L331="Empata",1,0)))</f>
        <v/>
      </c>
      <c r="S331" s="4" t="n"/>
    </row>
    <row r="332">
      <c r="A332" s="4" t="n"/>
      <c r="B332" s="4" t="n"/>
      <c r="C332" s="4" t="n"/>
      <c r="D332" s="4" t="n"/>
      <c r="E332" s="4" t="n"/>
      <c r="F332" s="7" t="n"/>
      <c r="G332" s="4" t="n"/>
      <c r="H332" s="4" t="n"/>
      <c r="I332" s="4" t="n"/>
      <c r="J332" s="4" t="n"/>
      <c r="K332" s="6">
        <f>IF(OR(I332="",J332=""),"",I332&amp;"-"&amp;J332)</f>
        <v/>
      </c>
      <c r="L332" s="6">
        <f>IF(OR(I332="",J332=""),"",IF(I332&gt;J332,"Gana",IF(I332=J332,"Empata","Pierde")))</f>
        <v/>
      </c>
      <c r="M332" s="4" t="n"/>
      <c r="N332" s="4" t="n"/>
      <c r="O332" s="6">
        <f>IF(OR(I332="",J332=""),"",I332+J332)</f>
        <v/>
      </c>
      <c r="P332" s="6">
        <f>IF(OR(I332="",J332=""),"",I332-J332)</f>
        <v/>
      </c>
      <c r="Q332" s="6">
        <f>IF(L332="","",IF(L332="Gana",3,IF(L332="Empata",1,0)))</f>
        <v/>
      </c>
      <c r="R332" s="6">
        <f>IF(L332="","",IF(L332="Pierde",3,IF(L332="Empata",1,0)))</f>
        <v/>
      </c>
      <c r="S332" s="4" t="n"/>
    </row>
    <row r="333">
      <c r="A333" s="4" t="n"/>
      <c r="B333" s="4" t="n"/>
      <c r="C333" s="4" t="n"/>
      <c r="D333" s="4" t="n"/>
      <c r="E333" s="4" t="n"/>
      <c r="F333" s="7" t="n"/>
      <c r="G333" s="4" t="n"/>
      <c r="H333" s="4" t="n"/>
      <c r="I333" s="4" t="n"/>
      <c r="J333" s="4" t="n"/>
      <c r="K333" s="6">
        <f>IF(OR(I333="",J333=""),"",I333&amp;"-"&amp;J333)</f>
        <v/>
      </c>
      <c r="L333" s="6">
        <f>IF(OR(I333="",J333=""),"",IF(I333&gt;J333,"Gana",IF(I333=J333,"Empata","Pierde")))</f>
        <v/>
      </c>
      <c r="M333" s="4" t="n"/>
      <c r="N333" s="4" t="n"/>
      <c r="O333" s="6">
        <f>IF(OR(I333="",J333=""),"",I333+J333)</f>
        <v/>
      </c>
      <c r="P333" s="6">
        <f>IF(OR(I333="",J333=""),"",I333-J333)</f>
        <v/>
      </c>
      <c r="Q333" s="6">
        <f>IF(L333="","",IF(L333="Gana",3,IF(L333="Empata",1,0)))</f>
        <v/>
      </c>
      <c r="R333" s="6">
        <f>IF(L333="","",IF(L333="Pierde",3,IF(L333="Empata",1,0)))</f>
        <v/>
      </c>
      <c r="S333" s="4" t="n"/>
    </row>
    <row r="334">
      <c r="A334" s="4" t="n"/>
      <c r="B334" s="4" t="n"/>
      <c r="C334" s="4" t="n"/>
      <c r="D334" s="4" t="n"/>
      <c r="E334" s="4" t="n"/>
      <c r="F334" s="7" t="n"/>
      <c r="G334" s="4" t="n"/>
      <c r="H334" s="4" t="n"/>
      <c r="I334" s="4" t="n"/>
      <c r="J334" s="4" t="n"/>
      <c r="K334" s="6">
        <f>IF(OR(I334="",J334=""),"",I334&amp;"-"&amp;J334)</f>
        <v/>
      </c>
      <c r="L334" s="6">
        <f>IF(OR(I334="",J334=""),"",IF(I334&gt;J334,"Gana",IF(I334=J334,"Empata","Pierde")))</f>
        <v/>
      </c>
      <c r="M334" s="4" t="n"/>
      <c r="N334" s="4" t="n"/>
      <c r="O334" s="6">
        <f>IF(OR(I334="",J334=""),"",I334+J334)</f>
        <v/>
      </c>
      <c r="P334" s="6">
        <f>IF(OR(I334="",J334=""),"",I334-J334)</f>
        <v/>
      </c>
      <c r="Q334" s="6">
        <f>IF(L334="","",IF(L334="Gana",3,IF(L334="Empata",1,0)))</f>
        <v/>
      </c>
      <c r="R334" s="6">
        <f>IF(L334="","",IF(L334="Pierde",3,IF(L334="Empata",1,0)))</f>
        <v/>
      </c>
      <c r="S334" s="4" t="n"/>
    </row>
    <row r="335">
      <c r="A335" s="4" t="n"/>
      <c r="B335" s="4" t="n"/>
      <c r="C335" s="4" t="n"/>
      <c r="D335" s="4" t="n"/>
      <c r="E335" s="4" t="n"/>
      <c r="F335" s="7" t="n"/>
      <c r="G335" s="4" t="n"/>
      <c r="H335" s="4" t="n"/>
      <c r="I335" s="4" t="n"/>
      <c r="J335" s="4" t="n"/>
      <c r="K335" s="6">
        <f>IF(OR(I335="",J335=""),"",I335&amp;"-"&amp;J335)</f>
        <v/>
      </c>
      <c r="L335" s="6">
        <f>IF(OR(I335="",J335=""),"",IF(I335&gt;J335,"Gana",IF(I335=J335,"Empata","Pierde")))</f>
        <v/>
      </c>
      <c r="M335" s="4" t="n"/>
      <c r="N335" s="4" t="n"/>
      <c r="O335" s="6">
        <f>IF(OR(I335="",J335=""),"",I335+J335)</f>
        <v/>
      </c>
      <c r="P335" s="6">
        <f>IF(OR(I335="",J335=""),"",I335-J335)</f>
        <v/>
      </c>
      <c r="Q335" s="6">
        <f>IF(L335="","",IF(L335="Gana",3,IF(L335="Empata",1,0)))</f>
        <v/>
      </c>
      <c r="R335" s="6">
        <f>IF(L335="","",IF(L335="Pierde",3,IF(L335="Empata",1,0)))</f>
        <v/>
      </c>
      <c r="S335" s="4" t="n"/>
    </row>
    <row r="336">
      <c r="A336" s="4" t="n"/>
      <c r="B336" s="4" t="n"/>
      <c r="C336" s="4" t="n"/>
      <c r="D336" s="4" t="n"/>
      <c r="E336" s="4" t="n"/>
      <c r="F336" s="7" t="n"/>
      <c r="G336" s="4" t="n"/>
      <c r="H336" s="4" t="n"/>
      <c r="I336" s="4" t="n"/>
      <c r="J336" s="4" t="n"/>
      <c r="K336" s="6">
        <f>IF(OR(I336="",J336=""),"",I336&amp;"-"&amp;J336)</f>
        <v/>
      </c>
      <c r="L336" s="6">
        <f>IF(OR(I336="",J336=""),"",IF(I336&gt;J336,"Gana",IF(I336=J336,"Empata","Pierde")))</f>
        <v/>
      </c>
      <c r="M336" s="4" t="n"/>
      <c r="N336" s="4" t="n"/>
      <c r="O336" s="6">
        <f>IF(OR(I336="",J336=""),"",I336+J336)</f>
        <v/>
      </c>
      <c r="P336" s="6">
        <f>IF(OR(I336="",J336=""),"",I336-J336)</f>
        <v/>
      </c>
      <c r="Q336" s="6">
        <f>IF(L336="","",IF(L336="Gana",3,IF(L336="Empata",1,0)))</f>
        <v/>
      </c>
      <c r="R336" s="6">
        <f>IF(L336="","",IF(L336="Pierde",3,IF(L336="Empata",1,0)))</f>
        <v/>
      </c>
      <c r="S336" s="4" t="n"/>
    </row>
    <row r="337">
      <c r="A337" s="4" t="n"/>
      <c r="B337" s="4" t="n"/>
      <c r="C337" s="4" t="n"/>
      <c r="D337" s="4" t="n"/>
      <c r="E337" s="4" t="n"/>
      <c r="F337" s="7" t="n"/>
      <c r="G337" s="4" t="n"/>
      <c r="H337" s="4" t="n"/>
      <c r="I337" s="4" t="n"/>
      <c r="J337" s="4" t="n"/>
      <c r="K337" s="6">
        <f>IF(OR(I337="",J337=""),"",I337&amp;"-"&amp;J337)</f>
        <v/>
      </c>
      <c r="L337" s="6">
        <f>IF(OR(I337="",J337=""),"",IF(I337&gt;J337,"Gana",IF(I337=J337,"Empata","Pierde")))</f>
        <v/>
      </c>
      <c r="M337" s="4" t="n"/>
      <c r="N337" s="4" t="n"/>
      <c r="O337" s="6">
        <f>IF(OR(I337="",J337=""),"",I337+J337)</f>
        <v/>
      </c>
      <c r="P337" s="6">
        <f>IF(OR(I337="",J337=""),"",I337-J337)</f>
        <v/>
      </c>
      <c r="Q337" s="6">
        <f>IF(L337="","",IF(L337="Gana",3,IF(L337="Empata",1,0)))</f>
        <v/>
      </c>
      <c r="R337" s="6">
        <f>IF(L337="","",IF(L337="Pierde",3,IF(L337="Empata",1,0)))</f>
        <v/>
      </c>
      <c r="S337" s="4" t="n"/>
    </row>
    <row r="338">
      <c r="A338" s="4" t="n"/>
      <c r="B338" s="4" t="n"/>
      <c r="C338" s="4" t="n"/>
      <c r="D338" s="4" t="n"/>
      <c r="E338" s="4" t="n"/>
      <c r="F338" s="7" t="n"/>
      <c r="G338" s="4" t="n"/>
      <c r="H338" s="4" t="n"/>
      <c r="I338" s="4" t="n"/>
      <c r="J338" s="4" t="n"/>
      <c r="K338" s="6">
        <f>IF(OR(I338="",J338=""),"",I338&amp;"-"&amp;J338)</f>
        <v/>
      </c>
      <c r="L338" s="6">
        <f>IF(OR(I338="",J338=""),"",IF(I338&gt;J338,"Gana",IF(I338=J338,"Empata","Pierde")))</f>
        <v/>
      </c>
      <c r="M338" s="4" t="n"/>
      <c r="N338" s="4" t="n"/>
      <c r="O338" s="6">
        <f>IF(OR(I338="",J338=""),"",I338+J338)</f>
        <v/>
      </c>
      <c r="P338" s="6">
        <f>IF(OR(I338="",J338=""),"",I338-J338)</f>
        <v/>
      </c>
      <c r="Q338" s="6">
        <f>IF(L338="","",IF(L338="Gana",3,IF(L338="Empata",1,0)))</f>
        <v/>
      </c>
      <c r="R338" s="6">
        <f>IF(L338="","",IF(L338="Pierde",3,IF(L338="Empata",1,0)))</f>
        <v/>
      </c>
      <c r="S338" s="4" t="n"/>
    </row>
    <row r="339">
      <c r="A339" s="4" t="n"/>
      <c r="B339" s="4" t="n"/>
      <c r="C339" s="4" t="n"/>
      <c r="D339" s="4" t="n"/>
      <c r="E339" s="4" t="n"/>
      <c r="F339" s="7" t="n"/>
      <c r="G339" s="4" t="n"/>
      <c r="H339" s="4" t="n"/>
      <c r="I339" s="4" t="n"/>
      <c r="J339" s="4" t="n"/>
      <c r="K339" s="6">
        <f>IF(OR(I339="",J339=""),"",I339&amp;"-"&amp;J339)</f>
        <v/>
      </c>
      <c r="L339" s="6">
        <f>IF(OR(I339="",J339=""),"",IF(I339&gt;J339,"Gana",IF(I339=J339,"Empata","Pierde")))</f>
        <v/>
      </c>
      <c r="M339" s="4" t="n"/>
      <c r="N339" s="4" t="n"/>
      <c r="O339" s="6">
        <f>IF(OR(I339="",J339=""),"",I339+J339)</f>
        <v/>
      </c>
      <c r="P339" s="6">
        <f>IF(OR(I339="",J339=""),"",I339-J339)</f>
        <v/>
      </c>
      <c r="Q339" s="6">
        <f>IF(L339="","",IF(L339="Gana",3,IF(L339="Empata",1,0)))</f>
        <v/>
      </c>
      <c r="R339" s="6">
        <f>IF(L339="","",IF(L339="Pierde",3,IF(L339="Empata",1,0)))</f>
        <v/>
      </c>
      <c r="S339" s="4" t="n"/>
    </row>
    <row r="340">
      <c r="A340" s="4" t="n"/>
      <c r="B340" s="4" t="n"/>
      <c r="C340" s="4" t="n"/>
      <c r="D340" s="4" t="n"/>
      <c r="E340" s="4" t="n"/>
      <c r="F340" s="7" t="n"/>
      <c r="G340" s="4" t="n"/>
      <c r="H340" s="4" t="n"/>
      <c r="I340" s="4" t="n"/>
      <c r="J340" s="4" t="n"/>
      <c r="K340" s="6">
        <f>IF(OR(I340="",J340=""),"",I340&amp;"-"&amp;J340)</f>
        <v/>
      </c>
      <c r="L340" s="6">
        <f>IF(OR(I340="",J340=""),"",IF(I340&gt;J340,"Gana",IF(I340=J340,"Empata","Pierde")))</f>
        <v/>
      </c>
      <c r="M340" s="4" t="n"/>
      <c r="N340" s="4" t="n"/>
      <c r="O340" s="6">
        <f>IF(OR(I340="",J340=""),"",I340+J340)</f>
        <v/>
      </c>
      <c r="P340" s="6">
        <f>IF(OR(I340="",J340=""),"",I340-J340)</f>
        <v/>
      </c>
      <c r="Q340" s="6">
        <f>IF(L340="","",IF(L340="Gana",3,IF(L340="Empata",1,0)))</f>
        <v/>
      </c>
      <c r="R340" s="6">
        <f>IF(L340="","",IF(L340="Pierde",3,IF(L340="Empata",1,0)))</f>
        <v/>
      </c>
      <c r="S340" s="4" t="n"/>
    </row>
    <row r="341">
      <c r="A341" s="4" t="n"/>
      <c r="B341" s="4" t="n"/>
      <c r="C341" s="4" t="n"/>
      <c r="D341" s="4" t="n"/>
      <c r="E341" s="4" t="n"/>
      <c r="F341" s="7" t="n"/>
      <c r="G341" s="4" t="n"/>
      <c r="H341" s="4" t="n"/>
      <c r="I341" s="4" t="n"/>
      <c r="J341" s="4" t="n"/>
      <c r="K341" s="6">
        <f>IF(OR(I341="",J341=""),"",I341&amp;"-"&amp;J341)</f>
        <v/>
      </c>
      <c r="L341" s="6">
        <f>IF(OR(I341="",J341=""),"",IF(I341&gt;J341,"Gana",IF(I341=J341,"Empata","Pierde")))</f>
        <v/>
      </c>
      <c r="M341" s="4" t="n"/>
      <c r="N341" s="4" t="n"/>
      <c r="O341" s="6">
        <f>IF(OR(I341="",J341=""),"",I341+J341)</f>
        <v/>
      </c>
      <c r="P341" s="6">
        <f>IF(OR(I341="",J341=""),"",I341-J341)</f>
        <v/>
      </c>
      <c r="Q341" s="6">
        <f>IF(L341="","",IF(L341="Gana",3,IF(L341="Empata",1,0)))</f>
        <v/>
      </c>
      <c r="R341" s="6">
        <f>IF(L341="","",IF(L341="Pierde",3,IF(L341="Empata",1,0)))</f>
        <v/>
      </c>
      <c r="S341" s="4" t="n"/>
    </row>
    <row r="342">
      <c r="A342" s="4" t="n"/>
      <c r="B342" s="4" t="n"/>
      <c r="C342" s="4" t="n"/>
      <c r="D342" s="4" t="n"/>
      <c r="E342" s="4" t="n"/>
      <c r="F342" s="7" t="n"/>
      <c r="G342" s="4" t="n"/>
      <c r="H342" s="4" t="n"/>
      <c r="I342" s="4" t="n"/>
      <c r="J342" s="4" t="n"/>
      <c r="K342" s="6">
        <f>IF(OR(I342="",J342=""),"",I342&amp;"-"&amp;J342)</f>
        <v/>
      </c>
      <c r="L342" s="6">
        <f>IF(OR(I342="",J342=""),"",IF(I342&gt;J342,"Gana",IF(I342=J342,"Empata","Pierde")))</f>
        <v/>
      </c>
      <c r="M342" s="4" t="n"/>
      <c r="N342" s="4" t="n"/>
      <c r="O342" s="6">
        <f>IF(OR(I342="",J342=""),"",I342+J342)</f>
        <v/>
      </c>
      <c r="P342" s="6">
        <f>IF(OR(I342="",J342=""),"",I342-J342)</f>
        <v/>
      </c>
      <c r="Q342" s="6">
        <f>IF(L342="","",IF(L342="Gana",3,IF(L342="Empata",1,0)))</f>
        <v/>
      </c>
      <c r="R342" s="6">
        <f>IF(L342="","",IF(L342="Pierde",3,IF(L342="Empata",1,0)))</f>
        <v/>
      </c>
      <c r="S342" s="4" t="n"/>
    </row>
    <row r="343">
      <c r="A343" s="4" t="n"/>
      <c r="B343" s="4" t="n"/>
      <c r="C343" s="4" t="n"/>
      <c r="D343" s="4" t="n"/>
      <c r="E343" s="4" t="n"/>
      <c r="F343" s="7" t="n"/>
      <c r="G343" s="4" t="n"/>
      <c r="H343" s="4" t="n"/>
      <c r="I343" s="4" t="n"/>
      <c r="J343" s="4" t="n"/>
      <c r="K343" s="6">
        <f>IF(OR(I343="",J343=""),"",I343&amp;"-"&amp;J343)</f>
        <v/>
      </c>
      <c r="L343" s="6">
        <f>IF(OR(I343="",J343=""),"",IF(I343&gt;J343,"Gana",IF(I343=J343,"Empata","Pierde")))</f>
        <v/>
      </c>
      <c r="M343" s="4" t="n"/>
      <c r="N343" s="4" t="n"/>
      <c r="O343" s="6">
        <f>IF(OR(I343="",J343=""),"",I343+J343)</f>
        <v/>
      </c>
      <c r="P343" s="6">
        <f>IF(OR(I343="",J343=""),"",I343-J343)</f>
        <v/>
      </c>
      <c r="Q343" s="6">
        <f>IF(L343="","",IF(L343="Gana",3,IF(L343="Empata",1,0)))</f>
        <v/>
      </c>
      <c r="R343" s="6">
        <f>IF(L343="","",IF(L343="Pierde",3,IF(L343="Empata",1,0)))</f>
        <v/>
      </c>
      <c r="S343" s="4" t="n"/>
    </row>
    <row r="344">
      <c r="A344" s="4" t="n"/>
      <c r="B344" s="4" t="n"/>
      <c r="C344" s="4" t="n"/>
      <c r="D344" s="4" t="n"/>
      <c r="E344" s="4" t="n"/>
      <c r="F344" s="7" t="n"/>
      <c r="G344" s="4" t="n"/>
      <c r="H344" s="4" t="n"/>
      <c r="I344" s="4" t="n"/>
      <c r="J344" s="4" t="n"/>
      <c r="K344" s="6">
        <f>IF(OR(I344="",J344=""),"",I344&amp;"-"&amp;J344)</f>
        <v/>
      </c>
      <c r="L344" s="6">
        <f>IF(OR(I344="",J344=""),"",IF(I344&gt;J344,"Gana",IF(I344=J344,"Empata","Pierde")))</f>
        <v/>
      </c>
      <c r="M344" s="4" t="n"/>
      <c r="N344" s="4" t="n"/>
      <c r="O344" s="6">
        <f>IF(OR(I344="",J344=""),"",I344+J344)</f>
        <v/>
      </c>
      <c r="P344" s="6">
        <f>IF(OR(I344="",J344=""),"",I344-J344)</f>
        <v/>
      </c>
      <c r="Q344" s="6">
        <f>IF(L344="","",IF(L344="Gana",3,IF(L344="Empata",1,0)))</f>
        <v/>
      </c>
      <c r="R344" s="6">
        <f>IF(L344="","",IF(L344="Pierde",3,IF(L344="Empata",1,0)))</f>
        <v/>
      </c>
      <c r="S344" s="4" t="n"/>
    </row>
    <row r="345">
      <c r="A345" s="4" t="n"/>
      <c r="B345" s="4" t="n"/>
      <c r="C345" s="4" t="n"/>
      <c r="D345" s="4" t="n"/>
      <c r="E345" s="4" t="n"/>
      <c r="F345" s="7" t="n"/>
      <c r="G345" s="4" t="n"/>
      <c r="H345" s="4" t="n"/>
      <c r="I345" s="4" t="n"/>
      <c r="J345" s="4" t="n"/>
      <c r="K345" s="6">
        <f>IF(OR(I345="",J345=""),"",I345&amp;"-"&amp;J345)</f>
        <v/>
      </c>
      <c r="L345" s="6">
        <f>IF(OR(I345="",J345=""),"",IF(I345&gt;J345,"Gana",IF(I345=J345,"Empata","Pierde")))</f>
        <v/>
      </c>
      <c r="M345" s="4" t="n"/>
      <c r="N345" s="4" t="n"/>
      <c r="O345" s="6">
        <f>IF(OR(I345="",J345=""),"",I345+J345)</f>
        <v/>
      </c>
      <c r="P345" s="6">
        <f>IF(OR(I345="",J345=""),"",I345-J345)</f>
        <v/>
      </c>
      <c r="Q345" s="6">
        <f>IF(L345="","",IF(L345="Gana",3,IF(L345="Empata",1,0)))</f>
        <v/>
      </c>
      <c r="R345" s="6">
        <f>IF(L345="","",IF(L345="Pierde",3,IF(L345="Empata",1,0)))</f>
        <v/>
      </c>
      <c r="S345" s="4" t="n"/>
    </row>
    <row r="346">
      <c r="A346" s="4" t="n"/>
      <c r="B346" s="4" t="n"/>
      <c r="C346" s="4" t="n"/>
      <c r="D346" s="4" t="n"/>
      <c r="E346" s="4" t="n"/>
      <c r="F346" s="7" t="n"/>
      <c r="G346" s="4" t="n"/>
      <c r="H346" s="4" t="n"/>
      <c r="I346" s="4" t="n"/>
      <c r="J346" s="4" t="n"/>
      <c r="K346" s="6">
        <f>IF(OR(I346="",J346=""),"",I346&amp;"-"&amp;J346)</f>
        <v/>
      </c>
      <c r="L346" s="6">
        <f>IF(OR(I346="",J346=""),"",IF(I346&gt;J346,"Gana",IF(I346=J346,"Empata","Pierde")))</f>
        <v/>
      </c>
      <c r="M346" s="4" t="n"/>
      <c r="N346" s="4" t="n"/>
      <c r="O346" s="6">
        <f>IF(OR(I346="",J346=""),"",I346+J346)</f>
        <v/>
      </c>
      <c r="P346" s="6">
        <f>IF(OR(I346="",J346=""),"",I346-J346)</f>
        <v/>
      </c>
      <c r="Q346" s="6">
        <f>IF(L346="","",IF(L346="Gana",3,IF(L346="Empata",1,0)))</f>
        <v/>
      </c>
      <c r="R346" s="6">
        <f>IF(L346="","",IF(L346="Pierde",3,IF(L346="Empata",1,0)))</f>
        <v/>
      </c>
      <c r="S346" s="4" t="n"/>
    </row>
    <row r="347">
      <c r="A347" s="4" t="n"/>
      <c r="B347" s="4" t="n"/>
      <c r="C347" s="4" t="n"/>
      <c r="D347" s="4" t="n"/>
      <c r="E347" s="4" t="n"/>
      <c r="F347" s="7" t="n"/>
      <c r="G347" s="4" t="n"/>
      <c r="H347" s="4" t="n"/>
      <c r="I347" s="4" t="n"/>
      <c r="J347" s="4" t="n"/>
      <c r="K347" s="6">
        <f>IF(OR(I347="",J347=""),"",I347&amp;"-"&amp;J347)</f>
        <v/>
      </c>
      <c r="L347" s="6">
        <f>IF(OR(I347="",J347=""),"",IF(I347&gt;J347,"Gana",IF(I347=J347,"Empata","Pierde")))</f>
        <v/>
      </c>
      <c r="M347" s="4" t="n"/>
      <c r="N347" s="4" t="n"/>
      <c r="O347" s="6">
        <f>IF(OR(I347="",J347=""),"",I347+J347)</f>
        <v/>
      </c>
      <c r="P347" s="6">
        <f>IF(OR(I347="",J347=""),"",I347-J347)</f>
        <v/>
      </c>
      <c r="Q347" s="6">
        <f>IF(L347="","",IF(L347="Gana",3,IF(L347="Empata",1,0)))</f>
        <v/>
      </c>
      <c r="R347" s="6">
        <f>IF(L347="","",IF(L347="Pierde",3,IF(L347="Empata",1,0)))</f>
        <v/>
      </c>
      <c r="S347" s="4" t="n"/>
    </row>
    <row r="348">
      <c r="A348" s="4" t="n"/>
      <c r="B348" s="4" t="n"/>
      <c r="C348" s="4" t="n"/>
      <c r="D348" s="4" t="n"/>
      <c r="E348" s="4" t="n"/>
      <c r="F348" s="7" t="n"/>
      <c r="G348" s="4" t="n"/>
      <c r="H348" s="4" t="n"/>
      <c r="I348" s="4" t="n"/>
      <c r="J348" s="4" t="n"/>
      <c r="K348" s="6">
        <f>IF(OR(I348="",J348=""),"",I348&amp;"-"&amp;J348)</f>
        <v/>
      </c>
      <c r="L348" s="6">
        <f>IF(OR(I348="",J348=""),"",IF(I348&gt;J348,"Gana",IF(I348=J348,"Empata","Pierde")))</f>
        <v/>
      </c>
      <c r="M348" s="4" t="n"/>
      <c r="N348" s="4" t="n"/>
      <c r="O348" s="6">
        <f>IF(OR(I348="",J348=""),"",I348+J348)</f>
        <v/>
      </c>
      <c r="P348" s="6">
        <f>IF(OR(I348="",J348=""),"",I348-J348)</f>
        <v/>
      </c>
      <c r="Q348" s="6">
        <f>IF(L348="","",IF(L348="Gana",3,IF(L348="Empata",1,0)))</f>
        <v/>
      </c>
      <c r="R348" s="6">
        <f>IF(L348="","",IF(L348="Pierde",3,IF(L348="Empata",1,0)))</f>
        <v/>
      </c>
      <c r="S348" s="4" t="n"/>
    </row>
    <row r="349">
      <c r="A349" s="4" t="n"/>
      <c r="B349" s="4" t="n"/>
      <c r="C349" s="4" t="n"/>
      <c r="D349" s="4" t="n"/>
      <c r="E349" s="4" t="n"/>
      <c r="F349" s="7" t="n"/>
      <c r="G349" s="4" t="n"/>
      <c r="H349" s="4" t="n"/>
      <c r="I349" s="4" t="n"/>
      <c r="J349" s="4" t="n"/>
      <c r="K349" s="6">
        <f>IF(OR(I349="",J349=""),"",I349&amp;"-"&amp;J349)</f>
        <v/>
      </c>
      <c r="L349" s="6">
        <f>IF(OR(I349="",J349=""),"",IF(I349&gt;J349,"Gana",IF(I349=J349,"Empata","Pierde")))</f>
        <v/>
      </c>
      <c r="M349" s="4" t="n"/>
      <c r="N349" s="4" t="n"/>
      <c r="O349" s="6">
        <f>IF(OR(I349="",J349=""),"",I349+J349)</f>
        <v/>
      </c>
      <c r="P349" s="6">
        <f>IF(OR(I349="",J349=""),"",I349-J349)</f>
        <v/>
      </c>
      <c r="Q349" s="6">
        <f>IF(L349="","",IF(L349="Gana",3,IF(L349="Empata",1,0)))</f>
        <v/>
      </c>
      <c r="R349" s="6">
        <f>IF(L349="","",IF(L349="Pierde",3,IF(L349="Empata",1,0)))</f>
        <v/>
      </c>
      <c r="S349" s="4" t="n"/>
    </row>
    <row r="350">
      <c r="A350" s="4" t="n"/>
      <c r="B350" s="4" t="n"/>
      <c r="C350" s="4" t="n"/>
      <c r="D350" s="4" t="n"/>
      <c r="E350" s="4" t="n"/>
      <c r="F350" s="7" t="n"/>
      <c r="G350" s="4" t="n"/>
      <c r="H350" s="4" t="n"/>
      <c r="I350" s="4" t="n"/>
      <c r="J350" s="4" t="n"/>
      <c r="K350" s="6">
        <f>IF(OR(I350="",J350=""),"",I350&amp;"-"&amp;J350)</f>
        <v/>
      </c>
      <c r="L350" s="6">
        <f>IF(OR(I350="",J350=""),"",IF(I350&gt;J350,"Gana",IF(I350=J350,"Empata","Pierde")))</f>
        <v/>
      </c>
      <c r="M350" s="4" t="n"/>
      <c r="N350" s="4" t="n"/>
      <c r="O350" s="6">
        <f>IF(OR(I350="",J350=""),"",I350+J350)</f>
        <v/>
      </c>
      <c r="P350" s="6">
        <f>IF(OR(I350="",J350=""),"",I350-J350)</f>
        <v/>
      </c>
      <c r="Q350" s="6">
        <f>IF(L350="","",IF(L350="Gana",3,IF(L350="Empata",1,0)))</f>
        <v/>
      </c>
      <c r="R350" s="6">
        <f>IF(L350="","",IF(L350="Pierde",3,IF(L350="Empata",1,0)))</f>
        <v/>
      </c>
      <c r="S350" s="4" t="n"/>
    </row>
    <row r="351">
      <c r="A351" s="4" t="n"/>
      <c r="B351" s="4" t="n"/>
      <c r="C351" s="4" t="n"/>
      <c r="D351" s="4" t="n"/>
      <c r="E351" s="4" t="n"/>
      <c r="F351" s="7" t="n"/>
      <c r="G351" s="4" t="n"/>
      <c r="H351" s="4" t="n"/>
      <c r="I351" s="4" t="n"/>
      <c r="J351" s="4" t="n"/>
      <c r="K351" s="6">
        <f>IF(OR(I351="",J351=""),"",I351&amp;"-"&amp;J351)</f>
        <v/>
      </c>
      <c r="L351" s="6">
        <f>IF(OR(I351="",J351=""),"",IF(I351&gt;J351,"Gana",IF(I351=J351,"Empata","Pierde")))</f>
        <v/>
      </c>
      <c r="M351" s="4" t="n"/>
      <c r="N351" s="4" t="n"/>
      <c r="O351" s="6">
        <f>IF(OR(I351="",J351=""),"",I351+J351)</f>
        <v/>
      </c>
      <c r="P351" s="6">
        <f>IF(OR(I351="",J351=""),"",I351-J351)</f>
        <v/>
      </c>
      <c r="Q351" s="6">
        <f>IF(L351="","",IF(L351="Gana",3,IF(L351="Empata",1,0)))</f>
        <v/>
      </c>
      <c r="R351" s="6">
        <f>IF(L351="","",IF(L351="Pierde",3,IF(L351="Empata",1,0)))</f>
        <v/>
      </c>
      <c r="S351" s="4" t="n"/>
    </row>
    <row r="352">
      <c r="A352" s="4" t="n"/>
      <c r="B352" s="4" t="n"/>
      <c r="C352" s="4" t="n"/>
      <c r="D352" s="4" t="n"/>
      <c r="E352" s="4" t="n"/>
      <c r="F352" s="7" t="n"/>
      <c r="G352" s="4" t="n"/>
      <c r="H352" s="4" t="n"/>
      <c r="I352" s="4" t="n"/>
      <c r="J352" s="4" t="n"/>
      <c r="K352" s="6">
        <f>IF(OR(I352="",J352=""),"",I352&amp;"-"&amp;J352)</f>
        <v/>
      </c>
      <c r="L352" s="6">
        <f>IF(OR(I352="",J352=""),"",IF(I352&gt;J352,"Gana",IF(I352=J352,"Empata","Pierde")))</f>
        <v/>
      </c>
      <c r="M352" s="4" t="n"/>
      <c r="N352" s="4" t="n"/>
      <c r="O352" s="6">
        <f>IF(OR(I352="",J352=""),"",I352+J352)</f>
        <v/>
      </c>
      <c r="P352" s="6">
        <f>IF(OR(I352="",J352=""),"",I352-J352)</f>
        <v/>
      </c>
      <c r="Q352" s="6">
        <f>IF(L352="","",IF(L352="Gana",3,IF(L352="Empata",1,0)))</f>
        <v/>
      </c>
      <c r="R352" s="6">
        <f>IF(L352="","",IF(L352="Pierde",3,IF(L352="Empata",1,0)))</f>
        <v/>
      </c>
      <c r="S352" s="4" t="n"/>
    </row>
    <row r="353">
      <c r="A353" s="4" t="n"/>
      <c r="B353" s="4" t="n"/>
      <c r="C353" s="4" t="n"/>
      <c r="D353" s="4" t="n"/>
      <c r="E353" s="4" t="n"/>
      <c r="F353" s="7" t="n"/>
      <c r="G353" s="4" t="n"/>
      <c r="H353" s="4" t="n"/>
      <c r="I353" s="4" t="n"/>
      <c r="J353" s="4" t="n"/>
      <c r="K353" s="6">
        <f>IF(OR(I353="",J353=""),"",I353&amp;"-"&amp;J353)</f>
        <v/>
      </c>
      <c r="L353" s="6">
        <f>IF(OR(I353="",J353=""),"",IF(I353&gt;J353,"Gana",IF(I353=J353,"Empata","Pierde")))</f>
        <v/>
      </c>
      <c r="M353" s="4" t="n"/>
      <c r="N353" s="4" t="n"/>
      <c r="O353" s="6">
        <f>IF(OR(I353="",J353=""),"",I353+J353)</f>
        <v/>
      </c>
      <c r="P353" s="6">
        <f>IF(OR(I353="",J353=""),"",I353-J353)</f>
        <v/>
      </c>
      <c r="Q353" s="6">
        <f>IF(L353="","",IF(L353="Gana",3,IF(L353="Empata",1,0)))</f>
        <v/>
      </c>
      <c r="R353" s="6">
        <f>IF(L353="","",IF(L353="Pierde",3,IF(L353="Empata",1,0)))</f>
        <v/>
      </c>
      <c r="S353" s="4" t="n"/>
    </row>
    <row r="354">
      <c r="A354" s="4" t="n"/>
      <c r="B354" s="4" t="n"/>
      <c r="C354" s="4" t="n"/>
      <c r="D354" s="4" t="n"/>
      <c r="E354" s="4" t="n"/>
      <c r="F354" s="7" t="n"/>
      <c r="G354" s="4" t="n"/>
      <c r="H354" s="4" t="n"/>
      <c r="I354" s="4" t="n"/>
      <c r="J354" s="4" t="n"/>
      <c r="K354" s="6">
        <f>IF(OR(I354="",J354=""),"",I354&amp;"-"&amp;J354)</f>
        <v/>
      </c>
      <c r="L354" s="6">
        <f>IF(OR(I354="",J354=""),"",IF(I354&gt;J354,"Gana",IF(I354=J354,"Empata","Pierde")))</f>
        <v/>
      </c>
      <c r="M354" s="4" t="n"/>
      <c r="N354" s="4" t="n"/>
      <c r="O354" s="6">
        <f>IF(OR(I354="",J354=""),"",I354+J354)</f>
        <v/>
      </c>
      <c r="P354" s="6">
        <f>IF(OR(I354="",J354=""),"",I354-J354)</f>
        <v/>
      </c>
      <c r="Q354" s="6">
        <f>IF(L354="","",IF(L354="Gana",3,IF(L354="Empata",1,0)))</f>
        <v/>
      </c>
      <c r="R354" s="6">
        <f>IF(L354="","",IF(L354="Pierde",3,IF(L354="Empata",1,0)))</f>
        <v/>
      </c>
      <c r="S354" s="4" t="n"/>
    </row>
    <row r="355">
      <c r="A355" s="4" t="n"/>
      <c r="B355" s="4" t="n"/>
      <c r="C355" s="4" t="n"/>
      <c r="D355" s="4" t="n"/>
      <c r="E355" s="4" t="n"/>
      <c r="F355" s="7" t="n"/>
      <c r="G355" s="4" t="n"/>
      <c r="H355" s="4" t="n"/>
      <c r="I355" s="4" t="n"/>
      <c r="J355" s="4" t="n"/>
      <c r="K355" s="6">
        <f>IF(OR(I355="",J355=""),"",I355&amp;"-"&amp;J355)</f>
        <v/>
      </c>
      <c r="L355" s="6">
        <f>IF(OR(I355="",J355=""),"",IF(I355&gt;J355,"Gana",IF(I355=J355,"Empata","Pierde")))</f>
        <v/>
      </c>
      <c r="M355" s="4" t="n"/>
      <c r="N355" s="4" t="n"/>
      <c r="O355" s="6">
        <f>IF(OR(I355="",J355=""),"",I355+J355)</f>
        <v/>
      </c>
      <c r="P355" s="6">
        <f>IF(OR(I355="",J355=""),"",I355-J355)</f>
        <v/>
      </c>
      <c r="Q355" s="6">
        <f>IF(L355="","",IF(L355="Gana",3,IF(L355="Empata",1,0)))</f>
        <v/>
      </c>
      <c r="R355" s="6">
        <f>IF(L355="","",IF(L355="Pierde",3,IF(L355="Empata",1,0)))</f>
        <v/>
      </c>
      <c r="S355" s="4" t="n"/>
    </row>
    <row r="356">
      <c r="A356" s="4" t="n"/>
      <c r="B356" s="4" t="n"/>
      <c r="C356" s="4" t="n"/>
      <c r="D356" s="4" t="n"/>
      <c r="E356" s="4" t="n"/>
      <c r="F356" s="7" t="n"/>
      <c r="G356" s="4" t="n"/>
      <c r="H356" s="4" t="n"/>
      <c r="I356" s="4" t="n"/>
      <c r="J356" s="4" t="n"/>
      <c r="K356" s="6">
        <f>IF(OR(I356="",J356=""),"",I356&amp;"-"&amp;J356)</f>
        <v/>
      </c>
      <c r="L356" s="6">
        <f>IF(OR(I356="",J356=""),"",IF(I356&gt;J356,"Gana",IF(I356=J356,"Empata","Pierde")))</f>
        <v/>
      </c>
      <c r="M356" s="4" t="n"/>
      <c r="N356" s="4" t="n"/>
      <c r="O356" s="6">
        <f>IF(OR(I356="",J356=""),"",I356+J356)</f>
        <v/>
      </c>
      <c r="P356" s="6">
        <f>IF(OR(I356="",J356=""),"",I356-J356)</f>
        <v/>
      </c>
      <c r="Q356" s="6">
        <f>IF(L356="","",IF(L356="Gana",3,IF(L356="Empata",1,0)))</f>
        <v/>
      </c>
      <c r="R356" s="6">
        <f>IF(L356="","",IF(L356="Pierde",3,IF(L356="Empata",1,0)))</f>
        <v/>
      </c>
      <c r="S356" s="4" t="n"/>
    </row>
    <row r="357">
      <c r="A357" s="4" t="n"/>
      <c r="B357" s="4" t="n"/>
      <c r="C357" s="4" t="n"/>
      <c r="D357" s="4" t="n"/>
      <c r="E357" s="4" t="n"/>
      <c r="F357" s="7" t="n"/>
      <c r="G357" s="4" t="n"/>
      <c r="H357" s="4" t="n"/>
      <c r="I357" s="4" t="n"/>
      <c r="J357" s="4" t="n"/>
      <c r="K357" s="6">
        <f>IF(OR(I357="",J357=""),"",I357&amp;"-"&amp;J357)</f>
        <v/>
      </c>
      <c r="L357" s="6">
        <f>IF(OR(I357="",J357=""),"",IF(I357&gt;J357,"Gana",IF(I357=J357,"Empata","Pierde")))</f>
        <v/>
      </c>
      <c r="M357" s="4" t="n"/>
      <c r="N357" s="4" t="n"/>
      <c r="O357" s="6">
        <f>IF(OR(I357="",J357=""),"",I357+J357)</f>
        <v/>
      </c>
      <c r="P357" s="6">
        <f>IF(OR(I357="",J357=""),"",I357-J357)</f>
        <v/>
      </c>
      <c r="Q357" s="6">
        <f>IF(L357="","",IF(L357="Gana",3,IF(L357="Empata",1,0)))</f>
        <v/>
      </c>
      <c r="R357" s="6">
        <f>IF(L357="","",IF(L357="Pierde",3,IF(L357="Empata",1,0)))</f>
        <v/>
      </c>
      <c r="S357" s="4" t="n"/>
    </row>
    <row r="358">
      <c r="A358" s="4" t="n"/>
      <c r="B358" s="4" t="n"/>
      <c r="C358" s="4" t="n"/>
      <c r="D358" s="4" t="n"/>
      <c r="E358" s="4" t="n"/>
      <c r="F358" s="7" t="n"/>
      <c r="G358" s="4" t="n"/>
      <c r="H358" s="4" t="n"/>
      <c r="I358" s="4" t="n"/>
      <c r="J358" s="4" t="n"/>
      <c r="K358" s="6">
        <f>IF(OR(I358="",J358=""),"",I358&amp;"-"&amp;J358)</f>
        <v/>
      </c>
      <c r="L358" s="6">
        <f>IF(OR(I358="",J358=""),"",IF(I358&gt;J358,"Gana",IF(I358=J358,"Empata","Pierde")))</f>
        <v/>
      </c>
      <c r="M358" s="4" t="n"/>
      <c r="N358" s="4" t="n"/>
      <c r="O358" s="6">
        <f>IF(OR(I358="",J358=""),"",I358+J358)</f>
        <v/>
      </c>
      <c r="P358" s="6">
        <f>IF(OR(I358="",J358=""),"",I358-J358)</f>
        <v/>
      </c>
      <c r="Q358" s="6">
        <f>IF(L358="","",IF(L358="Gana",3,IF(L358="Empata",1,0)))</f>
        <v/>
      </c>
      <c r="R358" s="6">
        <f>IF(L358="","",IF(L358="Pierde",3,IF(L358="Empata",1,0)))</f>
        <v/>
      </c>
      <c r="S358" s="4" t="n"/>
    </row>
    <row r="359">
      <c r="A359" s="4" t="n"/>
      <c r="B359" s="4" t="n"/>
      <c r="C359" s="4" t="n"/>
      <c r="D359" s="4" t="n"/>
      <c r="E359" s="4" t="n"/>
      <c r="F359" s="7" t="n"/>
      <c r="G359" s="4" t="n"/>
      <c r="H359" s="4" t="n"/>
      <c r="I359" s="4" t="n"/>
      <c r="J359" s="4" t="n"/>
      <c r="K359" s="6">
        <f>IF(OR(I359="",J359=""),"",I359&amp;"-"&amp;J359)</f>
        <v/>
      </c>
      <c r="L359" s="6">
        <f>IF(OR(I359="",J359=""),"",IF(I359&gt;J359,"Gana",IF(I359=J359,"Empata","Pierde")))</f>
        <v/>
      </c>
      <c r="M359" s="4" t="n"/>
      <c r="N359" s="4" t="n"/>
      <c r="O359" s="6">
        <f>IF(OR(I359="",J359=""),"",I359+J359)</f>
        <v/>
      </c>
      <c r="P359" s="6">
        <f>IF(OR(I359="",J359=""),"",I359-J359)</f>
        <v/>
      </c>
      <c r="Q359" s="6">
        <f>IF(L359="","",IF(L359="Gana",3,IF(L359="Empata",1,0)))</f>
        <v/>
      </c>
      <c r="R359" s="6">
        <f>IF(L359="","",IF(L359="Pierde",3,IF(L359="Empata",1,0)))</f>
        <v/>
      </c>
      <c r="S359" s="4" t="n"/>
    </row>
    <row r="360">
      <c r="A360" s="4" t="n"/>
      <c r="B360" s="4" t="n"/>
      <c r="C360" s="4" t="n"/>
      <c r="D360" s="4" t="n"/>
      <c r="E360" s="4" t="n"/>
      <c r="F360" s="7" t="n"/>
      <c r="G360" s="4" t="n"/>
      <c r="H360" s="4" t="n"/>
      <c r="I360" s="4" t="n"/>
      <c r="J360" s="4" t="n"/>
      <c r="K360" s="6">
        <f>IF(OR(I360="",J360=""),"",I360&amp;"-"&amp;J360)</f>
        <v/>
      </c>
      <c r="L360" s="6">
        <f>IF(OR(I360="",J360=""),"",IF(I360&gt;J360,"Gana",IF(I360=J360,"Empata","Pierde")))</f>
        <v/>
      </c>
      <c r="M360" s="4" t="n"/>
      <c r="N360" s="4" t="n"/>
      <c r="O360" s="6">
        <f>IF(OR(I360="",J360=""),"",I360+J360)</f>
        <v/>
      </c>
      <c r="P360" s="6">
        <f>IF(OR(I360="",J360=""),"",I360-J360)</f>
        <v/>
      </c>
      <c r="Q360" s="6">
        <f>IF(L360="","",IF(L360="Gana",3,IF(L360="Empata",1,0)))</f>
        <v/>
      </c>
      <c r="R360" s="6">
        <f>IF(L360="","",IF(L360="Pierde",3,IF(L360="Empata",1,0)))</f>
        <v/>
      </c>
      <c r="S360" s="4" t="n"/>
    </row>
    <row r="361">
      <c r="A361" s="4" t="n"/>
      <c r="B361" s="4" t="n"/>
      <c r="C361" s="4" t="n"/>
      <c r="D361" s="4" t="n"/>
      <c r="E361" s="4" t="n"/>
      <c r="F361" s="7" t="n"/>
      <c r="G361" s="4" t="n"/>
      <c r="H361" s="4" t="n"/>
      <c r="I361" s="4" t="n"/>
      <c r="J361" s="4" t="n"/>
      <c r="K361" s="6">
        <f>IF(OR(I361="",J361=""),"",I361&amp;"-"&amp;J361)</f>
        <v/>
      </c>
      <c r="L361" s="6">
        <f>IF(OR(I361="",J361=""),"",IF(I361&gt;J361,"Gana",IF(I361=J361,"Empata","Pierde")))</f>
        <v/>
      </c>
      <c r="M361" s="4" t="n"/>
      <c r="N361" s="4" t="n"/>
      <c r="O361" s="6">
        <f>IF(OR(I361="",J361=""),"",I361+J361)</f>
        <v/>
      </c>
      <c r="P361" s="6">
        <f>IF(OR(I361="",J361=""),"",I361-J361)</f>
        <v/>
      </c>
      <c r="Q361" s="6">
        <f>IF(L361="","",IF(L361="Gana",3,IF(L361="Empata",1,0)))</f>
        <v/>
      </c>
      <c r="R361" s="6">
        <f>IF(L361="","",IF(L361="Pierde",3,IF(L361="Empata",1,0)))</f>
        <v/>
      </c>
      <c r="S361" s="4" t="n"/>
    </row>
    <row r="362">
      <c r="A362" s="4" t="n"/>
      <c r="B362" s="4" t="n"/>
      <c r="C362" s="4" t="n"/>
      <c r="D362" s="4" t="n"/>
      <c r="E362" s="4" t="n"/>
      <c r="F362" s="7" t="n"/>
      <c r="G362" s="4" t="n"/>
      <c r="H362" s="4" t="n"/>
      <c r="I362" s="4" t="n"/>
      <c r="J362" s="4" t="n"/>
      <c r="K362" s="6">
        <f>IF(OR(I362="",J362=""),"",I362&amp;"-"&amp;J362)</f>
        <v/>
      </c>
      <c r="L362" s="6">
        <f>IF(OR(I362="",J362=""),"",IF(I362&gt;J362,"Gana",IF(I362=J362,"Empata","Pierde")))</f>
        <v/>
      </c>
      <c r="M362" s="4" t="n"/>
      <c r="N362" s="4" t="n"/>
      <c r="O362" s="6">
        <f>IF(OR(I362="",J362=""),"",I362+J362)</f>
        <v/>
      </c>
      <c r="P362" s="6">
        <f>IF(OR(I362="",J362=""),"",I362-J362)</f>
        <v/>
      </c>
      <c r="Q362" s="6">
        <f>IF(L362="","",IF(L362="Gana",3,IF(L362="Empata",1,0)))</f>
        <v/>
      </c>
      <c r="R362" s="6">
        <f>IF(L362="","",IF(L362="Pierde",3,IF(L362="Empata",1,0)))</f>
        <v/>
      </c>
      <c r="S362" s="4" t="n"/>
    </row>
    <row r="363">
      <c r="A363" s="4" t="n"/>
      <c r="B363" s="4" t="n"/>
      <c r="C363" s="4" t="n"/>
      <c r="D363" s="4" t="n"/>
      <c r="E363" s="4" t="n"/>
      <c r="F363" s="7" t="n"/>
      <c r="G363" s="4" t="n"/>
      <c r="H363" s="4" t="n"/>
      <c r="I363" s="4" t="n"/>
      <c r="J363" s="4" t="n"/>
      <c r="K363" s="6">
        <f>IF(OR(I363="",J363=""),"",I363&amp;"-"&amp;J363)</f>
        <v/>
      </c>
      <c r="L363" s="6">
        <f>IF(OR(I363="",J363=""),"",IF(I363&gt;J363,"Gana",IF(I363=J363,"Empata","Pierde")))</f>
        <v/>
      </c>
      <c r="M363" s="4" t="n"/>
      <c r="N363" s="4" t="n"/>
      <c r="O363" s="6">
        <f>IF(OR(I363="",J363=""),"",I363+J363)</f>
        <v/>
      </c>
      <c r="P363" s="6">
        <f>IF(OR(I363="",J363=""),"",I363-J363)</f>
        <v/>
      </c>
      <c r="Q363" s="6">
        <f>IF(L363="","",IF(L363="Gana",3,IF(L363="Empata",1,0)))</f>
        <v/>
      </c>
      <c r="R363" s="6">
        <f>IF(L363="","",IF(L363="Pierde",3,IF(L363="Empata",1,0)))</f>
        <v/>
      </c>
      <c r="S363" s="4" t="n"/>
    </row>
    <row r="364">
      <c r="A364" s="4" t="n"/>
      <c r="B364" s="4" t="n"/>
      <c r="C364" s="4" t="n"/>
      <c r="D364" s="4" t="n"/>
      <c r="E364" s="4" t="n"/>
      <c r="F364" s="7" t="n"/>
      <c r="G364" s="4" t="n"/>
      <c r="H364" s="4" t="n"/>
      <c r="I364" s="4" t="n"/>
      <c r="J364" s="4" t="n"/>
      <c r="K364" s="6">
        <f>IF(OR(I364="",J364=""),"",I364&amp;"-"&amp;J364)</f>
        <v/>
      </c>
      <c r="L364" s="6">
        <f>IF(OR(I364="",J364=""),"",IF(I364&gt;J364,"Gana",IF(I364=J364,"Empata","Pierde")))</f>
        <v/>
      </c>
      <c r="M364" s="4" t="n"/>
      <c r="N364" s="4" t="n"/>
      <c r="O364" s="6">
        <f>IF(OR(I364="",J364=""),"",I364+J364)</f>
        <v/>
      </c>
      <c r="P364" s="6">
        <f>IF(OR(I364="",J364=""),"",I364-J364)</f>
        <v/>
      </c>
      <c r="Q364" s="6">
        <f>IF(L364="","",IF(L364="Gana",3,IF(L364="Empata",1,0)))</f>
        <v/>
      </c>
      <c r="R364" s="6">
        <f>IF(L364="","",IF(L364="Pierde",3,IF(L364="Empata",1,0)))</f>
        <v/>
      </c>
      <c r="S364" s="4" t="n"/>
    </row>
    <row r="365">
      <c r="A365" s="4" t="n"/>
      <c r="B365" s="4" t="n"/>
      <c r="C365" s="4" t="n"/>
      <c r="D365" s="4" t="n"/>
      <c r="E365" s="4" t="n"/>
      <c r="F365" s="7" t="n"/>
      <c r="G365" s="4" t="n"/>
      <c r="H365" s="4" t="n"/>
      <c r="I365" s="4" t="n"/>
      <c r="J365" s="4" t="n"/>
      <c r="K365" s="6">
        <f>IF(OR(I365="",J365=""),"",I365&amp;"-"&amp;J365)</f>
        <v/>
      </c>
      <c r="L365" s="6">
        <f>IF(OR(I365="",J365=""),"",IF(I365&gt;J365,"Gana",IF(I365=J365,"Empata","Pierde")))</f>
        <v/>
      </c>
      <c r="M365" s="4" t="n"/>
      <c r="N365" s="4" t="n"/>
      <c r="O365" s="6">
        <f>IF(OR(I365="",J365=""),"",I365+J365)</f>
        <v/>
      </c>
      <c r="P365" s="6">
        <f>IF(OR(I365="",J365=""),"",I365-J365)</f>
        <v/>
      </c>
      <c r="Q365" s="6">
        <f>IF(L365="","",IF(L365="Gana",3,IF(L365="Empata",1,0)))</f>
        <v/>
      </c>
      <c r="R365" s="6">
        <f>IF(L365="","",IF(L365="Pierde",3,IF(L365="Empata",1,0)))</f>
        <v/>
      </c>
      <c r="S365" s="4" t="n"/>
    </row>
    <row r="366">
      <c r="A366" s="4" t="n"/>
      <c r="B366" s="4" t="n"/>
      <c r="C366" s="4" t="n"/>
      <c r="D366" s="4" t="n"/>
      <c r="E366" s="4" t="n"/>
      <c r="F366" s="7" t="n"/>
      <c r="G366" s="4" t="n"/>
      <c r="H366" s="4" t="n"/>
      <c r="I366" s="4" t="n"/>
      <c r="J366" s="4" t="n"/>
      <c r="K366" s="6">
        <f>IF(OR(I366="",J366=""),"",I366&amp;"-"&amp;J366)</f>
        <v/>
      </c>
      <c r="L366" s="6">
        <f>IF(OR(I366="",J366=""),"",IF(I366&gt;J366,"Gana",IF(I366=J366,"Empata","Pierde")))</f>
        <v/>
      </c>
      <c r="M366" s="4" t="n"/>
      <c r="N366" s="4" t="n"/>
      <c r="O366" s="6">
        <f>IF(OR(I366="",J366=""),"",I366+J366)</f>
        <v/>
      </c>
      <c r="P366" s="6">
        <f>IF(OR(I366="",J366=""),"",I366-J366)</f>
        <v/>
      </c>
      <c r="Q366" s="6">
        <f>IF(L366="","",IF(L366="Gana",3,IF(L366="Empata",1,0)))</f>
        <v/>
      </c>
      <c r="R366" s="6">
        <f>IF(L366="","",IF(L366="Pierde",3,IF(L366="Empata",1,0)))</f>
        <v/>
      </c>
      <c r="S366" s="4" t="n"/>
    </row>
    <row r="367">
      <c r="A367" s="4" t="n"/>
      <c r="B367" s="4" t="n"/>
      <c r="C367" s="4" t="n"/>
      <c r="D367" s="4" t="n"/>
      <c r="E367" s="4" t="n"/>
      <c r="F367" s="7" t="n"/>
      <c r="G367" s="4" t="n"/>
      <c r="H367" s="4" t="n"/>
      <c r="I367" s="4" t="n"/>
      <c r="J367" s="4" t="n"/>
      <c r="K367" s="6">
        <f>IF(OR(I367="",J367=""),"",I367&amp;"-"&amp;J367)</f>
        <v/>
      </c>
      <c r="L367" s="6">
        <f>IF(OR(I367="",J367=""),"",IF(I367&gt;J367,"Gana",IF(I367=J367,"Empata","Pierde")))</f>
        <v/>
      </c>
      <c r="M367" s="4" t="n"/>
      <c r="N367" s="4" t="n"/>
      <c r="O367" s="6">
        <f>IF(OR(I367="",J367=""),"",I367+J367)</f>
        <v/>
      </c>
      <c r="P367" s="6">
        <f>IF(OR(I367="",J367=""),"",I367-J367)</f>
        <v/>
      </c>
      <c r="Q367" s="6">
        <f>IF(L367="","",IF(L367="Gana",3,IF(L367="Empata",1,0)))</f>
        <v/>
      </c>
      <c r="R367" s="6">
        <f>IF(L367="","",IF(L367="Pierde",3,IF(L367="Empata",1,0)))</f>
        <v/>
      </c>
      <c r="S367" s="4" t="n"/>
    </row>
    <row r="368">
      <c r="A368" s="4" t="n"/>
      <c r="B368" s="4" t="n"/>
      <c r="C368" s="4" t="n"/>
      <c r="D368" s="4" t="n"/>
      <c r="E368" s="4" t="n"/>
      <c r="F368" s="7" t="n"/>
      <c r="G368" s="4" t="n"/>
      <c r="H368" s="4" t="n"/>
      <c r="I368" s="4" t="n"/>
      <c r="J368" s="4" t="n"/>
      <c r="K368" s="6">
        <f>IF(OR(I368="",J368=""),"",I368&amp;"-"&amp;J368)</f>
        <v/>
      </c>
      <c r="L368" s="6">
        <f>IF(OR(I368="",J368=""),"",IF(I368&gt;J368,"Gana",IF(I368=J368,"Empata","Pierde")))</f>
        <v/>
      </c>
      <c r="M368" s="4" t="n"/>
      <c r="N368" s="4" t="n"/>
      <c r="O368" s="6">
        <f>IF(OR(I368="",J368=""),"",I368+J368)</f>
        <v/>
      </c>
      <c r="P368" s="6">
        <f>IF(OR(I368="",J368=""),"",I368-J368)</f>
        <v/>
      </c>
      <c r="Q368" s="6">
        <f>IF(L368="","",IF(L368="Gana",3,IF(L368="Empata",1,0)))</f>
        <v/>
      </c>
      <c r="R368" s="6">
        <f>IF(L368="","",IF(L368="Pierde",3,IF(L368="Empata",1,0)))</f>
        <v/>
      </c>
      <c r="S368" s="4" t="n"/>
    </row>
    <row r="369">
      <c r="A369" s="4" t="n"/>
      <c r="B369" s="4" t="n"/>
      <c r="C369" s="4" t="n"/>
      <c r="D369" s="4" t="n"/>
      <c r="E369" s="4" t="n"/>
      <c r="F369" s="7" t="n"/>
      <c r="G369" s="4" t="n"/>
      <c r="H369" s="4" t="n"/>
      <c r="I369" s="4" t="n"/>
      <c r="J369" s="4" t="n"/>
      <c r="K369" s="6">
        <f>IF(OR(I369="",J369=""),"",I369&amp;"-"&amp;J369)</f>
        <v/>
      </c>
      <c r="L369" s="6">
        <f>IF(OR(I369="",J369=""),"",IF(I369&gt;J369,"Gana",IF(I369=J369,"Empata","Pierde")))</f>
        <v/>
      </c>
      <c r="M369" s="4" t="n"/>
      <c r="N369" s="4" t="n"/>
      <c r="O369" s="6">
        <f>IF(OR(I369="",J369=""),"",I369+J369)</f>
        <v/>
      </c>
      <c r="P369" s="6">
        <f>IF(OR(I369="",J369=""),"",I369-J369)</f>
        <v/>
      </c>
      <c r="Q369" s="6">
        <f>IF(L369="","",IF(L369="Gana",3,IF(L369="Empata",1,0)))</f>
        <v/>
      </c>
      <c r="R369" s="6">
        <f>IF(L369="","",IF(L369="Pierde",3,IF(L369="Empata",1,0)))</f>
        <v/>
      </c>
      <c r="S369" s="4" t="n"/>
    </row>
    <row r="370">
      <c r="A370" s="4" t="n"/>
      <c r="B370" s="4" t="n"/>
      <c r="C370" s="4" t="n"/>
      <c r="D370" s="4" t="n"/>
      <c r="E370" s="4" t="n"/>
      <c r="F370" s="7" t="n"/>
      <c r="G370" s="4" t="n"/>
      <c r="H370" s="4" t="n"/>
      <c r="I370" s="4" t="n"/>
      <c r="J370" s="4" t="n"/>
      <c r="K370" s="6">
        <f>IF(OR(I370="",J370=""),"",I370&amp;"-"&amp;J370)</f>
        <v/>
      </c>
      <c r="L370" s="6">
        <f>IF(OR(I370="",J370=""),"",IF(I370&gt;J370,"Gana",IF(I370=J370,"Empata","Pierde")))</f>
        <v/>
      </c>
      <c r="M370" s="4" t="n"/>
      <c r="N370" s="4" t="n"/>
      <c r="O370" s="6">
        <f>IF(OR(I370="",J370=""),"",I370+J370)</f>
        <v/>
      </c>
      <c r="P370" s="6">
        <f>IF(OR(I370="",J370=""),"",I370-J370)</f>
        <v/>
      </c>
      <c r="Q370" s="6">
        <f>IF(L370="","",IF(L370="Gana",3,IF(L370="Empata",1,0)))</f>
        <v/>
      </c>
      <c r="R370" s="6">
        <f>IF(L370="","",IF(L370="Pierde",3,IF(L370="Empata",1,0)))</f>
        <v/>
      </c>
      <c r="S370" s="4" t="n"/>
    </row>
    <row r="371">
      <c r="A371" s="4" t="n"/>
      <c r="B371" s="4" t="n"/>
      <c r="C371" s="4" t="n"/>
      <c r="D371" s="4" t="n"/>
      <c r="E371" s="4" t="n"/>
      <c r="F371" s="7" t="n"/>
      <c r="G371" s="4" t="n"/>
      <c r="H371" s="4" t="n"/>
      <c r="I371" s="4" t="n"/>
      <c r="J371" s="4" t="n"/>
      <c r="K371" s="6">
        <f>IF(OR(I371="",J371=""),"",I371&amp;"-"&amp;J371)</f>
        <v/>
      </c>
      <c r="L371" s="6">
        <f>IF(OR(I371="",J371=""),"",IF(I371&gt;J371,"Gana",IF(I371=J371,"Empata","Pierde")))</f>
        <v/>
      </c>
      <c r="M371" s="4" t="n"/>
      <c r="N371" s="4" t="n"/>
      <c r="O371" s="6">
        <f>IF(OR(I371="",J371=""),"",I371+J371)</f>
        <v/>
      </c>
      <c r="P371" s="6">
        <f>IF(OR(I371="",J371=""),"",I371-J371)</f>
        <v/>
      </c>
      <c r="Q371" s="6">
        <f>IF(L371="","",IF(L371="Gana",3,IF(L371="Empata",1,0)))</f>
        <v/>
      </c>
      <c r="R371" s="6">
        <f>IF(L371="","",IF(L371="Pierde",3,IF(L371="Empata",1,0)))</f>
        <v/>
      </c>
      <c r="S371" s="4" t="n"/>
    </row>
    <row r="372">
      <c r="A372" s="4" t="n"/>
      <c r="B372" s="4" t="n"/>
      <c r="C372" s="4" t="n"/>
      <c r="D372" s="4" t="n"/>
      <c r="E372" s="4" t="n"/>
      <c r="F372" s="7" t="n"/>
      <c r="G372" s="4" t="n"/>
      <c r="H372" s="4" t="n"/>
      <c r="I372" s="4" t="n"/>
      <c r="J372" s="4" t="n"/>
      <c r="K372" s="6">
        <f>IF(OR(I372="",J372=""),"",I372&amp;"-"&amp;J372)</f>
        <v/>
      </c>
      <c r="L372" s="6">
        <f>IF(OR(I372="",J372=""),"",IF(I372&gt;J372,"Gana",IF(I372=J372,"Empata","Pierde")))</f>
        <v/>
      </c>
      <c r="M372" s="4" t="n"/>
      <c r="N372" s="4" t="n"/>
      <c r="O372" s="6">
        <f>IF(OR(I372="",J372=""),"",I372+J372)</f>
        <v/>
      </c>
      <c r="P372" s="6">
        <f>IF(OR(I372="",J372=""),"",I372-J372)</f>
        <v/>
      </c>
      <c r="Q372" s="6">
        <f>IF(L372="","",IF(L372="Gana",3,IF(L372="Empata",1,0)))</f>
        <v/>
      </c>
      <c r="R372" s="6">
        <f>IF(L372="","",IF(L372="Pierde",3,IF(L372="Empata",1,0)))</f>
        <v/>
      </c>
      <c r="S372" s="4" t="n"/>
    </row>
    <row r="373">
      <c r="A373" s="4" t="n"/>
      <c r="B373" s="4" t="n"/>
      <c r="C373" s="4" t="n"/>
      <c r="D373" s="4" t="n"/>
      <c r="E373" s="4" t="n"/>
      <c r="F373" s="7" t="n"/>
      <c r="G373" s="4" t="n"/>
      <c r="H373" s="4" t="n"/>
      <c r="I373" s="4" t="n"/>
      <c r="J373" s="4" t="n"/>
      <c r="K373" s="6">
        <f>IF(OR(I373="",J373=""),"",I373&amp;"-"&amp;J373)</f>
        <v/>
      </c>
      <c r="L373" s="6">
        <f>IF(OR(I373="",J373=""),"",IF(I373&gt;J373,"Gana",IF(I373=J373,"Empata","Pierde")))</f>
        <v/>
      </c>
      <c r="M373" s="4" t="n"/>
      <c r="N373" s="4" t="n"/>
      <c r="O373" s="6">
        <f>IF(OR(I373="",J373=""),"",I373+J373)</f>
        <v/>
      </c>
      <c r="P373" s="6">
        <f>IF(OR(I373="",J373=""),"",I373-J373)</f>
        <v/>
      </c>
      <c r="Q373" s="6">
        <f>IF(L373="","",IF(L373="Gana",3,IF(L373="Empata",1,0)))</f>
        <v/>
      </c>
      <c r="R373" s="6">
        <f>IF(L373="","",IF(L373="Pierde",3,IF(L373="Empata",1,0)))</f>
        <v/>
      </c>
      <c r="S373" s="4" t="n"/>
    </row>
    <row r="374">
      <c r="A374" s="4" t="n"/>
      <c r="B374" s="4" t="n"/>
      <c r="C374" s="4" t="n"/>
      <c r="D374" s="4" t="n"/>
      <c r="E374" s="4" t="n"/>
      <c r="F374" s="7" t="n"/>
      <c r="G374" s="4" t="n"/>
      <c r="H374" s="4" t="n"/>
      <c r="I374" s="4" t="n"/>
      <c r="J374" s="4" t="n"/>
      <c r="K374" s="6">
        <f>IF(OR(I374="",J374=""),"",I374&amp;"-"&amp;J374)</f>
        <v/>
      </c>
      <c r="L374" s="6">
        <f>IF(OR(I374="",J374=""),"",IF(I374&gt;J374,"Gana",IF(I374=J374,"Empata","Pierde")))</f>
        <v/>
      </c>
      <c r="M374" s="4" t="n"/>
      <c r="N374" s="4" t="n"/>
      <c r="O374" s="6">
        <f>IF(OR(I374="",J374=""),"",I374+J374)</f>
        <v/>
      </c>
      <c r="P374" s="6">
        <f>IF(OR(I374="",J374=""),"",I374-J374)</f>
        <v/>
      </c>
      <c r="Q374" s="6">
        <f>IF(L374="","",IF(L374="Gana",3,IF(L374="Empata",1,0)))</f>
        <v/>
      </c>
      <c r="R374" s="6">
        <f>IF(L374="","",IF(L374="Pierde",3,IF(L374="Empata",1,0)))</f>
        <v/>
      </c>
      <c r="S374" s="4" t="n"/>
    </row>
    <row r="375">
      <c r="A375" s="4" t="n"/>
      <c r="B375" s="4" t="n"/>
      <c r="C375" s="4" t="n"/>
      <c r="D375" s="4" t="n"/>
      <c r="E375" s="4" t="n"/>
      <c r="F375" s="7" t="n"/>
      <c r="G375" s="4" t="n"/>
      <c r="H375" s="4" t="n"/>
      <c r="I375" s="4" t="n"/>
      <c r="J375" s="4" t="n"/>
      <c r="K375" s="6">
        <f>IF(OR(I375="",J375=""),"",I375&amp;"-"&amp;J375)</f>
        <v/>
      </c>
      <c r="L375" s="6">
        <f>IF(OR(I375="",J375=""),"",IF(I375&gt;J375,"Gana",IF(I375=J375,"Empata","Pierde")))</f>
        <v/>
      </c>
      <c r="M375" s="4" t="n"/>
      <c r="N375" s="4" t="n"/>
      <c r="O375" s="6">
        <f>IF(OR(I375="",J375=""),"",I375+J375)</f>
        <v/>
      </c>
      <c r="P375" s="6">
        <f>IF(OR(I375="",J375=""),"",I375-J375)</f>
        <v/>
      </c>
      <c r="Q375" s="6">
        <f>IF(L375="","",IF(L375="Gana",3,IF(L375="Empata",1,0)))</f>
        <v/>
      </c>
      <c r="R375" s="6">
        <f>IF(L375="","",IF(L375="Pierde",3,IF(L375="Empata",1,0)))</f>
        <v/>
      </c>
      <c r="S375" s="4" t="n"/>
    </row>
    <row r="376">
      <c r="A376" s="4" t="n"/>
      <c r="B376" s="4" t="n"/>
      <c r="C376" s="4" t="n"/>
      <c r="D376" s="4" t="n"/>
      <c r="E376" s="4" t="n"/>
      <c r="F376" s="7" t="n"/>
      <c r="G376" s="4" t="n"/>
      <c r="H376" s="4" t="n"/>
      <c r="I376" s="4" t="n"/>
      <c r="J376" s="4" t="n"/>
      <c r="K376" s="6">
        <f>IF(OR(I376="",J376=""),"",I376&amp;"-"&amp;J376)</f>
        <v/>
      </c>
      <c r="L376" s="6">
        <f>IF(OR(I376="",J376=""),"",IF(I376&gt;J376,"Gana",IF(I376=J376,"Empata","Pierde")))</f>
        <v/>
      </c>
      <c r="M376" s="4" t="n"/>
      <c r="N376" s="4" t="n"/>
      <c r="O376" s="6">
        <f>IF(OR(I376="",J376=""),"",I376+J376)</f>
        <v/>
      </c>
      <c r="P376" s="6">
        <f>IF(OR(I376="",J376=""),"",I376-J376)</f>
        <v/>
      </c>
      <c r="Q376" s="6">
        <f>IF(L376="","",IF(L376="Gana",3,IF(L376="Empata",1,0)))</f>
        <v/>
      </c>
      <c r="R376" s="6">
        <f>IF(L376="","",IF(L376="Pierde",3,IF(L376="Empata",1,0)))</f>
        <v/>
      </c>
      <c r="S376" s="4" t="n"/>
    </row>
    <row r="377">
      <c r="A377" s="4" t="n"/>
      <c r="B377" s="4" t="n"/>
      <c r="C377" s="4" t="n"/>
      <c r="D377" s="4" t="n"/>
      <c r="E377" s="4" t="n"/>
      <c r="F377" s="7" t="n"/>
      <c r="G377" s="4" t="n"/>
      <c r="H377" s="4" t="n"/>
      <c r="I377" s="4" t="n"/>
      <c r="J377" s="4" t="n"/>
      <c r="K377" s="6">
        <f>IF(OR(I377="",J377=""),"",I377&amp;"-"&amp;J377)</f>
        <v/>
      </c>
      <c r="L377" s="6">
        <f>IF(OR(I377="",J377=""),"",IF(I377&gt;J377,"Gana",IF(I377=J377,"Empata","Pierde")))</f>
        <v/>
      </c>
      <c r="M377" s="4" t="n"/>
      <c r="N377" s="4" t="n"/>
      <c r="O377" s="6">
        <f>IF(OR(I377="",J377=""),"",I377+J377)</f>
        <v/>
      </c>
      <c r="P377" s="6">
        <f>IF(OR(I377="",J377=""),"",I377-J377)</f>
        <v/>
      </c>
      <c r="Q377" s="6">
        <f>IF(L377="","",IF(L377="Gana",3,IF(L377="Empata",1,0)))</f>
        <v/>
      </c>
      <c r="R377" s="6">
        <f>IF(L377="","",IF(L377="Pierde",3,IF(L377="Empata",1,0)))</f>
        <v/>
      </c>
      <c r="S377" s="4" t="n"/>
    </row>
    <row r="378">
      <c r="A378" s="4" t="n"/>
      <c r="B378" s="4" t="n"/>
      <c r="C378" s="4" t="n"/>
      <c r="D378" s="4" t="n"/>
      <c r="E378" s="4" t="n"/>
      <c r="F378" s="7" t="n"/>
      <c r="G378" s="4" t="n"/>
      <c r="H378" s="4" t="n"/>
      <c r="I378" s="4" t="n"/>
      <c r="J378" s="4" t="n"/>
      <c r="K378" s="6">
        <f>IF(OR(I378="",J378=""),"",I378&amp;"-"&amp;J378)</f>
        <v/>
      </c>
      <c r="L378" s="6">
        <f>IF(OR(I378="",J378=""),"",IF(I378&gt;J378,"Gana",IF(I378=J378,"Empata","Pierde")))</f>
        <v/>
      </c>
      <c r="M378" s="4" t="n"/>
      <c r="N378" s="4" t="n"/>
      <c r="O378" s="6">
        <f>IF(OR(I378="",J378=""),"",I378+J378)</f>
        <v/>
      </c>
      <c r="P378" s="6">
        <f>IF(OR(I378="",J378=""),"",I378-J378)</f>
        <v/>
      </c>
      <c r="Q378" s="6">
        <f>IF(L378="","",IF(L378="Gana",3,IF(L378="Empata",1,0)))</f>
        <v/>
      </c>
      <c r="R378" s="6">
        <f>IF(L378="","",IF(L378="Pierde",3,IF(L378="Empata",1,0)))</f>
        <v/>
      </c>
      <c r="S378" s="4" t="n"/>
    </row>
    <row r="379">
      <c r="A379" s="4" t="n"/>
      <c r="B379" s="4" t="n"/>
      <c r="C379" s="4" t="n"/>
      <c r="D379" s="4" t="n"/>
      <c r="E379" s="4" t="n"/>
      <c r="F379" s="7" t="n"/>
      <c r="G379" s="4" t="n"/>
      <c r="H379" s="4" t="n"/>
      <c r="I379" s="4" t="n"/>
      <c r="J379" s="4" t="n"/>
      <c r="K379" s="6">
        <f>IF(OR(I379="",J379=""),"",I379&amp;"-"&amp;J379)</f>
        <v/>
      </c>
      <c r="L379" s="6">
        <f>IF(OR(I379="",J379=""),"",IF(I379&gt;J379,"Gana",IF(I379=J379,"Empata","Pierde")))</f>
        <v/>
      </c>
      <c r="M379" s="4" t="n"/>
      <c r="N379" s="4" t="n"/>
      <c r="O379" s="6">
        <f>IF(OR(I379="",J379=""),"",I379+J379)</f>
        <v/>
      </c>
      <c r="P379" s="6">
        <f>IF(OR(I379="",J379=""),"",I379-J379)</f>
        <v/>
      </c>
      <c r="Q379" s="6">
        <f>IF(L379="","",IF(L379="Gana",3,IF(L379="Empata",1,0)))</f>
        <v/>
      </c>
      <c r="R379" s="6">
        <f>IF(L379="","",IF(L379="Pierde",3,IF(L379="Empata",1,0)))</f>
        <v/>
      </c>
      <c r="S379" s="4" t="n"/>
    </row>
    <row r="380">
      <c r="A380" s="4" t="n"/>
      <c r="B380" s="4" t="n"/>
      <c r="C380" s="4" t="n"/>
      <c r="D380" s="4" t="n"/>
      <c r="E380" s="4" t="n"/>
      <c r="F380" s="7" t="n"/>
      <c r="G380" s="4" t="n"/>
      <c r="H380" s="4" t="n"/>
      <c r="I380" s="4" t="n"/>
      <c r="J380" s="4" t="n"/>
      <c r="K380" s="6">
        <f>IF(OR(I380="",J380=""),"",I380&amp;"-"&amp;J380)</f>
        <v/>
      </c>
      <c r="L380" s="6">
        <f>IF(OR(I380="",J380=""),"",IF(I380&gt;J380,"Gana",IF(I380=J380,"Empata","Pierde")))</f>
        <v/>
      </c>
      <c r="M380" s="4" t="n"/>
      <c r="N380" s="4" t="n"/>
      <c r="O380" s="6">
        <f>IF(OR(I380="",J380=""),"",I380+J380)</f>
        <v/>
      </c>
      <c r="P380" s="6">
        <f>IF(OR(I380="",J380=""),"",I380-J380)</f>
        <v/>
      </c>
      <c r="Q380" s="6">
        <f>IF(L380="","",IF(L380="Gana",3,IF(L380="Empata",1,0)))</f>
        <v/>
      </c>
      <c r="R380" s="6">
        <f>IF(L380="","",IF(L380="Pierde",3,IF(L380="Empata",1,0)))</f>
        <v/>
      </c>
      <c r="S380" s="4" t="n"/>
    </row>
    <row r="381">
      <c r="A381" s="4" t="n"/>
      <c r="B381" s="4" t="n"/>
      <c r="C381" s="4" t="n"/>
      <c r="D381" s="4" t="n"/>
      <c r="E381" s="4" t="n"/>
      <c r="F381" s="7" t="n"/>
      <c r="G381" s="4" t="n"/>
      <c r="H381" s="4" t="n"/>
      <c r="I381" s="4" t="n"/>
      <c r="J381" s="4" t="n"/>
      <c r="K381" s="6">
        <f>IF(OR(I381="",J381=""),"",I381&amp;"-"&amp;J381)</f>
        <v/>
      </c>
      <c r="L381" s="6">
        <f>IF(OR(I381="",J381=""),"",IF(I381&gt;J381,"Gana",IF(I381=J381,"Empata","Pierde")))</f>
        <v/>
      </c>
      <c r="M381" s="4" t="n"/>
      <c r="N381" s="4" t="n"/>
      <c r="O381" s="6">
        <f>IF(OR(I381="",J381=""),"",I381+J381)</f>
        <v/>
      </c>
      <c r="P381" s="6">
        <f>IF(OR(I381="",J381=""),"",I381-J381)</f>
        <v/>
      </c>
      <c r="Q381" s="6">
        <f>IF(L381="","",IF(L381="Gana",3,IF(L381="Empata",1,0)))</f>
        <v/>
      </c>
      <c r="R381" s="6">
        <f>IF(L381="","",IF(L381="Pierde",3,IF(L381="Empata",1,0)))</f>
        <v/>
      </c>
      <c r="S381" s="4" t="n"/>
    </row>
    <row r="382">
      <c r="A382" s="4" t="n"/>
      <c r="B382" s="4" t="n"/>
      <c r="C382" s="4" t="n"/>
      <c r="D382" s="4" t="n"/>
      <c r="E382" s="4" t="n"/>
      <c r="F382" s="7" t="n"/>
      <c r="G382" s="4" t="n"/>
      <c r="H382" s="4" t="n"/>
      <c r="I382" s="4" t="n"/>
      <c r="J382" s="4" t="n"/>
      <c r="K382" s="6">
        <f>IF(OR(I382="",J382=""),"",I382&amp;"-"&amp;J382)</f>
        <v/>
      </c>
      <c r="L382" s="6">
        <f>IF(OR(I382="",J382=""),"",IF(I382&gt;J382,"Gana",IF(I382=J382,"Empata","Pierde")))</f>
        <v/>
      </c>
      <c r="M382" s="4" t="n"/>
      <c r="N382" s="4" t="n"/>
      <c r="O382" s="6">
        <f>IF(OR(I382="",J382=""),"",I382+J382)</f>
        <v/>
      </c>
      <c r="P382" s="6">
        <f>IF(OR(I382="",J382=""),"",I382-J382)</f>
        <v/>
      </c>
      <c r="Q382" s="6">
        <f>IF(L382="","",IF(L382="Gana",3,IF(L382="Empata",1,0)))</f>
        <v/>
      </c>
      <c r="R382" s="6">
        <f>IF(L382="","",IF(L382="Pierde",3,IF(L382="Empata",1,0)))</f>
        <v/>
      </c>
      <c r="S382" s="4" t="n"/>
    </row>
    <row r="383">
      <c r="A383" s="4" t="n"/>
      <c r="B383" s="4" t="n"/>
      <c r="C383" s="4" t="n"/>
      <c r="D383" s="4" t="n"/>
      <c r="E383" s="4" t="n"/>
      <c r="F383" s="7" t="n"/>
      <c r="G383" s="4" t="n"/>
      <c r="H383" s="4" t="n"/>
      <c r="I383" s="4" t="n"/>
      <c r="J383" s="4" t="n"/>
      <c r="K383" s="6">
        <f>IF(OR(I383="",J383=""),"",I383&amp;"-"&amp;J383)</f>
        <v/>
      </c>
      <c r="L383" s="6">
        <f>IF(OR(I383="",J383=""),"",IF(I383&gt;J383,"Gana",IF(I383=J383,"Empata","Pierde")))</f>
        <v/>
      </c>
      <c r="M383" s="4" t="n"/>
      <c r="N383" s="4" t="n"/>
      <c r="O383" s="6">
        <f>IF(OR(I383="",J383=""),"",I383+J383)</f>
        <v/>
      </c>
      <c r="P383" s="6">
        <f>IF(OR(I383="",J383=""),"",I383-J383)</f>
        <v/>
      </c>
      <c r="Q383" s="6">
        <f>IF(L383="","",IF(L383="Gana",3,IF(L383="Empata",1,0)))</f>
        <v/>
      </c>
      <c r="R383" s="6">
        <f>IF(L383="","",IF(L383="Pierde",3,IF(L383="Empata",1,0)))</f>
        <v/>
      </c>
      <c r="S383" s="4" t="n"/>
    </row>
    <row r="384">
      <c r="A384" s="4" t="n"/>
      <c r="B384" s="4" t="n"/>
      <c r="C384" s="4" t="n"/>
      <c r="D384" s="4" t="n"/>
      <c r="E384" s="4" t="n"/>
      <c r="F384" s="7" t="n"/>
      <c r="G384" s="4" t="n"/>
      <c r="H384" s="4" t="n"/>
      <c r="I384" s="4" t="n"/>
      <c r="J384" s="4" t="n"/>
      <c r="K384" s="6">
        <f>IF(OR(I384="",J384=""),"",I384&amp;"-"&amp;J384)</f>
        <v/>
      </c>
      <c r="L384" s="6">
        <f>IF(OR(I384="",J384=""),"",IF(I384&gt;J384,"Gana",IF(I384=J384,"Empata","Pierde")))</f>
        <v/>
      </c>
      <c r="M384" s="4" t="n"/>
      <c r="N384" s="4" t="n"/>
      <c r="O384" s="6">
        <f>IF(OR(I384="",J384=""),"",I384+J384)</f>
        <v/>
      </c>
      <c r="P384" s="6">
        <f>IF(OR(I384="",J384=""),"",I384-J384)</f>
        <v/>
      </c>
      <c r="Q384" s="6">
        <f>IF(L384="","",IF(L384="Gana",3,IF(L384="Empata",1,0)))</f>
        <v/>
      </c>
      <c r="R384" s="6">
        <f>IF(L384="","",IF(L384="Pierde",3,IF(L384="Empata",1,0)))</f>
        <v/>
      </c>
      <c r="S384" s="4" t="n"/>
    </row>
    <row r="385">
      <c r="A385" s="4" t="n"/>
      <c r="B385" s="4" t="n"/>
      <c r="C385" s="4" t="n"/>
      <c r="D385" s="4" t="n"/>
      <c r="E385" s="4" t="n"/>
      <c r="F385" s="7" t="n"/>
      <c r="G385" s="4" t="n"/>
      <c r="H385" s="4" t="n"/>
      <c r="I385" s="4" t="n"/>
      <c r="J385" s="4" t="n"/>
      <c r="K385" s="6">
        <f>IF(OR(I385="",J385=""),"",I385&amp;"-"&amp;J385)</f>
        <v/>
      </c>
      <c r="L385" s="6">
        <f>IF(OR(I385="",J385=""),"",IF(I385&gt;J385,"Gana",IF(I385=J385,"Empata","Pierde")))</f>
        <v/>
      </c>
      <c r="M385" s="4" t="n"/>
      <c r="N385" s="4" t="n"/>
      <c r="O385" s="6">
        <f>IF(OR(I385="",J385=""),"",I385+J385)</f>
        <v/>
      </c>
      <c r="P385" s="6">
        <f>IF(OR(I385="",J385=""),"",I385-J385)</f>
        <v/>
      </c>
      <c r="Q385" s="6">
        <f>IF(L385="","",IF(L385="Gana",3,IF(L385="Empata",1,0)))</f>
        <v/>
      </c>
      <c r="R385" s="6">
        <f>IF(L385="","",IF(L385="Pierde",3,IF(L385="Empata",1,0)))</f>
        <v/>
      </c>
      <c r="S385" s="4" t="n"/>
    </row>
    <row r="386">
      <c r="A386" s="4" t="n"/>
      <c r="B386" s="4" t="n"/>
      <c r="C386" s="4" t="n"/>
      <c r="D386" s="4" t="n"/>
      <c r="E386" s="4" t="n"/>
      <c r="F386" s="7" t="n"/>
      <c r="G386" s="4" t="n"/>
      <c r="H386" s="4" t="n"/>
      <c r="I386" s="4" t="n"/>
      <c r="J386" s="4" t="n"/>
      <c r="K386" s="6">
        <f>IF(OR(I386="",J386=""),"",I386&amp;"-"&amp;J386)</f>
        <v/>
      </c>
      <c r="L386" s="6">
        <f>IF(OR(I386="",J386=""),"",IF(I386&gt;J386,"Gana",IF(I386=J386,"Empata","Pierde")))</f>
        <v/>
      </c>
      <c r="M386" s="4" t="n"/>
      <c r="N386" s="4" t="n"/>
      <c r="O386" s="6">
        <f>IF(OR(I386="",J386=""),"",I386+J386)</f>
        <v/>
      </c>
      <c r="P386" s="6">
        <f>IF(OR(I386="",J386=""),"",I386-J386)</f>
        <v/>
      </c>
      <c r="Q386" s="6">
        <f>IF(L386="","",IF(L386="Gana",3,IF(L386="Empata",1,0)))</f>
        <v/>
      </c>
      <c r="R386" s="6">
        <f>IF(L386="","",IF(L386="Pierde",3,IF(L386="Empata",1,0)))</f>
        <v/>
      </c>
      <c r="S386" s="4" t="n"/>
    </row>
    <row r="387">
      <c r="A387" s="4" t="n"/>
      <c r="B387" s="4" t="n"/>
      <c r="C387" s="4" t="n"/>
      <c r="D387" s="4" t="n"/>
      <c r="E387" s="4" t="n"/>
      <c r="F387" s="7" t="n"/>
      <c r="G387" s="4" t="n"/>
      <c r="H387" s="4" t="n"/>
      <c r="I387" s="4" t="n"/>
      <c r="J387" s="4" t="n"/>
      <c r="K387" s="6">
        <f>IF(OR(I387="",J387=""),"",I387&amp;"-"&amp;J387)</f>
        <v/>
      </c>
      <c r="L387" s="6">
        <f>IF(OR(I387="",J387=""),"",IF(I387&gt;J387,"Gana",IF(I387=J387,"Empata","Pierde")))</f>
        <v/>
      </c>
      <c r="M387" s="4" t="n"/>
      <c r="N387" s="4" t="n"/>
      <c r="O387" s="6">
        <f>IF(OR(I387="",J387=""),"",I387+J387)</f>
        <v/>
      </c>
      <c r="P387" s="6">
        <f>IF(OR(I387="",J387=""),"",I387-J387)</f>
        <v/>
      </c>
      <c r="Q387" s="6">
        <f>IF(L387="","",IF(L387="Gana",3,IF(L387="Empata",1,0)))</f>
        <v/>
      </c>
      <c r="R387" s="6">
        <f>IF(L387="","",IF(L387="Pierde",3,IF(L387="Empata",1,0)))</f>
        <v/>
      </c>
      <c r="S387" s="4" t="n"/>
    </row>
    <row r="388">
      <c r="A388" s="4" t="n"/>
      <c r="B388" s="4" t="n"/>
      <c r="C388" s="4" t="n"/>
      <c r="D388" s="4" t="n"/>
      <c r="E388" s="4" t="n"/>
      <c r="F388" s="7" t="n"/>
      <c r="G388" s="4" t="n"/>
      <c r="H388" s="4" t="n"/>
      <c r="I388" s="4" t="n"/>
      <c r="J388" s="4" t="n"/>
      <c r="K388" s="6">
        <f>IF(OR(I388="",J388=""),"",I388&amp;"-"&amp;J388)</f>
        <v/>
      </c>
      <c r="L388" s="6">
        <f>IF(OR(I388="",J388=""),"",IF(I388&gt;J388,"Gana",IF(I388=J388,"Empata","Pierde")))</f>
        <v/>
      </c>
      <c r="M388" s="4" t="n"/>
      <c r="N388" s="4" t="n"/>
      <c r="O388" s="6">
        <f>IF(OR(I388="",J388=""),"",I388+J388)</f>
        <v/>
      </c>
      <c r="P388" s="6">
        <f>IF(OR(I388="",J388=""),"",I388-J388)</f>
        <v/>
      </c>
      <c r="Q388" s="6">
        <f>IF(L388="","",IF(L388="Gana",3,IF(L388="Empata",1,0)))</f>
        <v/>
      </c>
      <c r="R388" s="6">
        <f>IF(L388="","",IF(L388="Pierde",3,IF(L388="Empata",1,0)))</f>
        <v/>
      </c>
      <c r="S388" s="4" t="n"/>
    </row>
    <row r="389">
      <c r="A389" s="4" t="n"/>
      <c r="B389" s="4" t="n"/>
      <c r="C389" s="4" t="n"/>
      <c r="D389" s="4" t="n"/>
      <c r="E389" s="4" t="n"/>
      <c r="F389" s="7" t="n"/>
      <c r="G389" s="4" t="n"/>
      <c r="H389" s="4" t="n"/>
      <c r="I389" s="4" t="n"/>
      <c r="J389" s="4" t="n"/>
      <c r="K389" s="6">
        <f>IF(OR(I389="",J389=""),"",I389&amp;"-"&amp;J389)</f>
        <v/>
      </c>
      <c r="L389" s="6">
        <f>IF(OR(I389="",J389=""),"",IF(I389&gt;J389,"Gana",IF(I389=J389,"Empata","Pierde")))</f>
        <v/>
      </c>
      <c r="M389" s="4" t="n"/>
      <c r="N389" s="4" t="n"/>
      <c r="O389" s="6">
        <f>IF(OR(I389="",J389=""),"",I389+J389)</f>
        <v/>
      </c>
      <c r="P389" s="6">
        <f>IF(OR(I389="",J389=""),"",I389-J389)</f>
        <v/>
      </c>
      <c r="Q389" s="6">
        <f>IF(L389="","",IF(L389="Gana",3,IF(L389="Empata",1,0)))</f>
        <v/>
      </c>
      <c r="R389" s="6">
        <f>IF(L389="","",IF(L389="Pierde",3,IF(L389="Empata",1,0)))</f>
        <v/>
      </c>
      <c r="S389" s="4" t="n"/>
    </row>
    <row r="390">
      <c r="A390" s="4" t="n"/>
      <c r="B390" s="4" t="n"/>
      <c r="C390" s="4" t="n"/>
      <c r="D390" s="4" t="n"/>
      <c r="E390" s="4" t="n"/>
      <c r="F390" s="7" t="n"/>
      <c r="G390" s="4" t="n"/>
      <c r="H390" s="4" t="n"/>
      <c r="I390" s="4" t="n"/>
      <c r="J390" s="4" t="n"/>
      <c r="K390" s="6">
        <f>IF(OR(I390="",J390=""),"",I390&amp;"-"&amp;J390)</f>
        <v/>
      </c>
      <c r="L390" s="6">
        <f>IF(OR(I390="",J390=""),"",IF(I390&gt;J390,"Gana",IF(I390=J390,"Empata","Pierde")))</f>
        <v/>
      </c>
      <c r="M390" s="4" t="n"/>
      <c r="N390" s="4" t="n"/>
      <c r="O390" s="6">
        <f>IF(OR(I390="",J390=""),"",I390+J390)</f>
        <v/>
      </c>
      <c r="P390" s="6">
        <f>IF(OR(I390="",J390=""),"",I390-J390)</f>
        <v/>
      </c>
      <c r="Q390" s="6">
        <f>IF(L390="","",IF(L390="Gana",3,IF(L390="Empata",1,0)))</f>
        <v/>
      </c>
      <c r="R390" s="6">
        <f>IF(L390="","",IF(L390="Pierde",3,IF(L390="Empata",1,0)))</f>
        <v/>
      </c>
      <c r="S390" s="4" t="n"/>
    </row>
    <row r="391">
      <c r="A391" s="4" t="n"/>
      <c r="B391" s="4" t="n"/>
      <c r="C391" s="4" t="n"/>
      <c r="D391" s="4" t="n"/>
      <c r="E391" s="4" t="n"/>
      <c r="F391" s="7" t="n"/>
      <c r="G391" s="4" t="n"/>
      <c r="H391" s="4" t="n"/>
      <c r="I391" s="4" t="n"/>
      <c r="J391" s="4" t="n"/>
      <c r="K391" s="6">
        <f>IF(OR(I391="",J391=""),"",I391&amp;"-"&amp;J391)</f>
        <v/>
      </c>
      <c r="L391" s="6">
        <f>IF(OR(I391="",J391=""),"",IF(I391&gt;J391,"Gana",IF(I391=J391,"Empata","Pierde")))</f>
        <v/>
      </c>
      <c r="M391" s="4" t="n"/>
      <c r="N391" s="4" t="n"/>
      <c r="O391" s="6">
        <f>IF(OR(I391="",J391=""),"",I391+J391)</f>
        <v/>
      </c>
      <c r="P391" s="6">
        <f>IF(OR(I391="",J391=""),"",I391-J391)</f>
        <v/>
      </c>
      <c r="Q391" s="6">
        <f>IF(L391="","",IF(L391="Gana",3,IF(L391="Empata",1,0)))</f>
        <v/>
      </c>
      <c r="R391" s="6">
        <f>IF(L391="","",IF(L391="Pierde",3,IF(L391="Empata",1,0)))</f>
        <v/>
      </c>
      <c r="S391" s="4" t="n"/>
    </row>
    <row r="392">
      <c r="A392" s="4" t="n"/>
      <c r="B392" s="4" t="n"/>
      <c r="C392" s="4" t="n"/>
      <c r="D392" s="4" t="n"/>
      <c r="E392" s="4" t="n"/>
      <c r="F392" s="7" t="n"/>
      <c r="G392" s="4" t="n"/>
      <c r="H392" s="4" t="n"/>
      <c r="I392" s="4" t="n"/>
      <c r="J392" s="4" t="n"/>
      <c r="K392" s="6">
        <f>IF(OR(I392="",J392=""),"",I392&amp;"-"&amp;J392)</f>
        <v/>
      </c>
      <c r="L392" s="6">
        <f>IF(OR(I392="",J392=""),"",IF(I392&gt;J392,"Gana",IF(I392=J392,"Empata","Pierde")))</f>
        <v/>
      </c>
      <c r="M392" s="4" t="n"/>
      <c r="N392" s="4" t="n"/>
      <c r="O392" s="6">
        <f>IF(OR(I392="",J392=""),"",I392+J392)</f>
        <v/>
      </c>
      <c r="P392" s="6">
        <f>IF(OR(I392="",J392=""),"",I392-J392)</f>
        <v/>
      </c>
      <c r="Q392" s="6">
        <f>IF(L392="","",IF(L392="Gana",3,IF(L392="Empata",1,0)))</f>
        <v/>
      </c>
      <c r="R392" s="6">
        <f>IF(L392="","",IF(L392="Pierde",3,IF(L392="Empata",1,0)))</f>
        <v/>
      </c>
      <c r="S392" s="4" t="n"/>
    </row>
    <row r="393">
      <c r="A393" s="4" t="n"/>
      <c r="B393" s="4" t="n"/>
      <c r="C393" s="4" t="n"/>
      <c r="D393" s="4" t="n"/>
      <c r="E393" s="4" t="n"/>
      <c r="F393" s="7" t="n"/>
      <c r="G393" s="4" t="n"/>
      <c r="H393" s="4" t="n"/>
      <c r="I393" s="4" t="n"/>
      <c r="J393" s="4" t="n"/>
      <c r="K393" s="6">
        <f>IF(OR(I393="",J393=""),"",I393&amp;"-"&amp;J393)</f>
        <v/>
      </c>
      <c r="L393" s="6">
        <f>IF(OR(I393="",J393=""),"",IF(I393&gt;J393,"Gana",IF(I393=J393,"Empata","Pierde")))</f>
        <v/>
      </c>
      <c r="M393" s="4" t="n"/>
      <c r="N393" s="4" t="n"/>
      <c r="O393" s="6">
        <f>IF(OR(I393="",J393=""),"",I393+J393)</f>
        <v/>
      </c>
      <c r="P393" s="6">
        <f>IF(OR(I393="",J393=""),"",I393-J393)</f>
        <v/>
      </c>
      <c r="Q393" s="6">
        <f>IF(L393="","",IF(L393="Gana",3,IF(L393="Empata",1,0)))</f>
        <v/>
      </c>
      <c r="R393" s="6">
        <f>IF(L393="","",IF(L393="Pierde",3,IF(L393="Empata",1,0)))</f>
        <v/>
      </c>
      <c r="S393" s="4" t="n"/>
    </row>
    <row r="394">
      <c r="A394" s="4" t="n"/>
      <c r="B394" s="4" t="n"/>
      <c r="C394" s="4" t="n"/>
      <c r="D394" s="4" t="n"/>
      <c r="E394" s="4" t="n"/>
      <c r="F394" s="7" t="n"/>
      <c r="G394" s="4" t="n"/>
      <c r="H394" s="4" t="n"/>
      <c r="I394" s="4" t="n"/>
      <c r="J394" s="4" t="n"/>
      <c r="K394" s="6">
        <f>IF(OR(I394="",J394=""),"",I394&amp;"-"&amp;J394)</f>
        <v/>
      </c>
      <c r="L394" s="6">
        <f>IF(OR(I394="",J394=""),"",IF(I394&gt;J394,"Gana",IF(I394=J394,"Empata","Pierde")))</f>
        <v/>
      </c>
      <c r="M394" s="4" t="n"/>
      <c r="N394" s="4" t="n"/>
      <c r="O394" s="6">
        <f>IF(OR(I394="",J394=""),"",I394+J394)</f>
        <v/>
      </c>
      <c r="P394" s="6">
        <f>IF(OR(I394="",J394=""),"",I394-J394)</f>
        <v/>
      </c>
      <c r="Q394" s="6">
        <f>IF(L394="","",IF(L394="Gana",3,IF(L394="Empata",1,0)))</f>
        <v/>
      </c>
      <c r="R394" s="6">
        <f>IF(L394="","",IF(L394="Pierde",3,IF(L394="Empata",1,0)))</f>
        <v/>
      </c>
      <c r="S394" s="4" t="n"/>
    </row>
    <row r="395">
      <c r="A395" s="4" t="n"/>
      <c r="B395" s="4" t="n"/>
      <c r="C395" s="4" t="n"/>
      <c r="D395" s="4" t="n"/>
      <c r="E395" s="4" t="n"/>
      <c r="F395" s="7" t="n"/>
      <c r="G395" s="4" t="n"/>
      <c r="H395" s="4" t="n"/>
      <c r="I395" s="4" t="n"/>
      <c r="J395" s="4" t="n"/>
      <c r="K395" s="6">
        <f>IF(OR(I395="",J395=""),"",I395&amp;"-"&amp;J395)</f>
        <v/>
      </c>
      <c r="L395" s="6">
        <f>IF(OR(I395="",J395=""),"",IF(I395&gt;J395,"Gana",IF(I395=J395,"Empata","Pierde")))</f>
        <v/>
      </c>
      <c r="M395" s="4" t="n"/>
      <c r="N395" s="4" t="n"/>
      <c r="O395" s="6">
        <f>IF(OR(I395="",J395=""),"",I395+J395)</f>
        <v/>
      </c>
      <c r="P395" s="6">
        <f>IF(OR(I395="",J395=""),"",I395-J395)</f>
        <v/>
      </c>
      <c r="Q395" s="6">
        <f>IF(L395="","",IF(L395="Gana",3,IF(L395="Empata",1,0)))</f>
        <v/>
      </c>
      <c r="R395" s="6">
        <f>IF(L395="","",IF(L395="Pierde",3,IF(L395="Empata",1,0)))</f>
        <v/>
      </c>
      <c r="S395" s="4" t="n"/>
    </row>
    <row r="396">
      <c r="A396" s="4" t="n"/>
      <c r="B396" s="4" t="n"/>
      <c r="C396" s="4" t="n"/>
      <c r="D396" s="4" t="n"/>
      <c r="E396" s="4" t="n"/>
      <c r="F396" s="7" t="n"/>
      <c r="G396" s="4" t="n"/>
      <c r="H396" s="4" t="n"/>
      <c r="I396" s="4" t="n"/>
      <c r="J396" s="4" t="n"/>
      <c r="K396" s="6">
        <f>IF(OR(I396="",J396=""),"",I396&amp;"-"&amp;J396)</f>
        <v/>
      </c>
      <c r="L396" s="6">
        <f>IF(OR(I396="",J396=""),"",IF(I396&gt;J396,"Gana",IF(I396=J396,"Empata","Pierde")))</f>
        <v/>
      </c>
      <c r="M396" s="4" t="n"/>
      <c r="N396" s="4" t="n"/>
      <c r="O396" s="6">
        <f>IF(OR(I396="",J396=""),"",I396+J396)</f>
        <v/>
      </c>
      <c r="P396" s="6">
        <f>IF(OR(I396="",J396=""),"",I396-J396)</f>
        <v/>
      </c>
      <c r="Q396" s="6">
        <f>IF(L396="","",IF(L396="Gana",3,IF(L396="Empata",1,0)))</f>
        <v/>
      </c>
      <c r="R396" s="6">
        <f>IF(L396="","",IF(L396="Pierde",3,IF(L396="Empata",1,0)))</f>
        <v/>
      </c>
      <c r="S396" s="4" t="n"/>
    </row>
    <row r="397">
      <c r="A397" s="4" t="n"/>
      <c r="B397" s="4" t="n"/>
      <c r="C397" s="4" t="n"/>
      <c r="D397" s="4" t="n"/>
      <c r="E397" s="4" t="n"/>
      <c r="F397" s="7" t="n"/>
      <c r="G397" s="4" t="n"/>
      <c r="H397" s="4" t="n"/>
      <c r="I397" s="4" t="n"/>
      <c r="J397" s="4" t="n"/>
      <c r="K397" s="6">
        <f>IF(OR(I397="",J397=""),"",I397&amp;"-"&amp;J397)</f>
        <v/>
      </c>
      <c r="L397" s="6">
        <f>IF(OR(I397="",J397=""),"",IF(I397&gt;J397,"Gana",IF(I397=J397,"Empata","Pierde")))</f>
        <v/>
      </c>
      <c r="M397" s="4" t="n"/>
      <c r="N397" s="4" t="n"/>
      <c r="O397" s="6">
        <f>IF(OR(I397="",J397=""),"",I397+J397)</f>
        <v/>
      </c>
      <c r="P397" s="6">
        <f>IF(OR(I397="",J397=""),"",I397-J397)</f>
        <v/>
      </c>
      <c r="Q397" s="6">
        <f>IF(L397="","",IF(L397="Gana",3,IF(L397="Empata",1,0)))</f>
        <v/>
      </c>
      <c r="R397" s="6">
        <f>IF(L397="","",IF(L397="Pierde",3,IF(L397="Empata",1,0)))</f>
        <v/>
      </c>
      <c r="S397" s="4" t="n"/>
    </row>
    <row r="398">
      <c r="A398" s="4" t="n"/>
      <c r="B398" s="4" t="n"/>
      <c r="C398" s="4" t="n"/>
      <c r="D398" s="4" t="n"/>
      <c r="E398" s="4" t="n"/>
      <c r="F398" s="7" t="n"/>
      <c r="G398" s="4" t="n"/>
      <c r="H398" s="4" t="n"/>
      <c r="I398" s="4" t="n"/>
      <c r="J398" s="4" t="n"/>
      <c r="K398" s="6">
        <f>IF(OR(I398="",J398=""),"",I398&amp;"-"&amp;J398)</f>
        <v/>
      </c>
      <c r="L398" s="6">
        <f>IF(OR(I398="",J398=""),"",IF(I398&gt;J398,"Gana",IF(I398=J398,"Empata","Pierde")))</f>
        <v/>
      </c>
      <c r="M398" s="4" t="n"/>
      <c r="N398" s="4" t="n"/>
      <c r="O398" s="6">
        <f>IF(OR(I398="",J398=""),"",I398+J398)</f>
        <v/>
      </c>
      <c r="P398" s="6">
        <f>IF(OR(I398="",J398=""),"",I398-J398)</f>
        <v/>
      </c>
      <c r="Q398" s="6">
        <f>IF(L398="","",IF(L398="Gana",3,IF(L398="Empata",1,0)))</f>
        <v/>
      </c>
      <c r="R398" s="6">
        <f>IF(L398="","",IF(L398="Pierde",3,IF(L398="Empata",1,0)))</f>
        <v/>
      </c>
      <c r="S398" s="4" t="n"/>
    </row>
    <row r="399">
      <c r="A399" s="4" t="n"/>
      <c r="B399" s="4" t="n"/>
      <c r="C399" s="4" t="n"/>
      <c r="D399" s="4" t="n"/>
      <c r="E399" s="4" t="n"/>
      <c r="F399" s="7" t="n"/>
      <c r="G399" s="4" t="n"/>
      <c r="H399" s="4" t="n"/>
      <c r="I399" s="4" t="n"/>
      <c r="J399" s="4" t="n"/>
      <c r="K399" s="6">
        <f>IF(OR(I399="",J399=""),"",I399&amp;"-"&amp;J399)</f>
        <v/>
      </c>
      <c r="L399" s="6">
        <f>IF(OR(I399="",J399=""),"",IF(I399&gt;J399,"Gana",IF(I399=J399,"Empata","Pierde")))</f>
        <v/>
      </c>
      <c r="M399" s="4" t="n"/>
      <c r="N399" s="4" t="n"/>
      <c r="O399" s="6">
        <f>IF(OR(I399="",J399=""),"",I399+J399)</f>
        <v/>
      </c>
      <c r="P399" s="6">
        <f>IF(OR(I399="",J399=""),"",I399-J399)</f>
        <v/>
      </c>
      <c r="Q399" s="6">
        <f>IF(L399="","",IF(L399="Gana",3,IF(L399="Empata",1,0)))</f>
        <v/>
      </c>
      <c r="R399" s="6">
        <f>IF(L399="","",IF(L399="Pierde",3,IF(L399="Empata",1,0)))</f>
        <v/>
      </c>
      <c r="S399" s="4" t="n"/>
    </row>
    <row r="400">
      <c r="A400" s="4" t="n"/>
      <c r="B400" s="4" t="n"/>
      <c r="C400" s="4" t="n"/>
      <c r="D400" s="4" t="n"/>
      <c r="E400" s="4" t="n"/>
      <c r="F400" s="7" t="n"/>
      <c r="G400" s="4" t="n"/>
      <c r="H400" s="4" t="n"/>
      <c r="I400" s="4" t="n"/>
      <c r="J400" s="4" t="n"/>
      <c r="K400" s="6">
        <f>IF(OR(I400="",J400=""),"",I400&amp;"-"&amp;J400)</f>
        <v/>
      </c>
      <c r="L400" s="6">
        <f>IF(OR(I400="",J400=""),"",IF(I400&gt;J400,"Gana",IF(I400=J400,"Empata","Pierde")))</f>
        <v/>
      </c>
      <c r="M400" s="4" t="n"/>
      <c r="N400" s="4" t="n"/>
      <c r="O400" s="6">
        <f>IF(OR(I400="",J400=""),"",I400+J400)</f>
        <v/>
      </c>
      <c r="P400" s="6">
        <f>IF(OR(I400="",J400=""),"",I400-J400)</f>
        <v/>
      </c>
      <c r="Q400" s="6">
        <f>IF(L400="","",IF(L400="Gana",3,IF(L400="Empata",1,0)))</f>
        <v/>
      </c>
      <c r="R400" s="6">
        <f>IF(L400="","",IF(L400="Pierde",3,IF(L400="Empata",1,0)))</f>
        <v/>
      </c>
      <c r="S400" s="4" t="n"/>
    </row>
    <row r="401">
      <c r="A401" s="4" t="n"/>
      <c r="B401" s="4" t="n"/>
      <c r="C401" s="4" t="n"/>
      <c r="D401" s="4" t="n"/>
      <c r="E401" s="4" t="n"/>
      <c r="F401" s="7" t="n"/>
      <c r="G401" s="4" t="n"/>
      <c r="H401" s="4" t="n"/>
      <c r="I401" s="4" t="n"/>
      <c r="J401" s="4" t="n"/>
      <c r="K401" s="6">
        <f>IF(OR(I401="",J401=""),"",I401&amp;"-"&amp;J401)</f>
        <v/>
      </c>
      <c r="L401" s="6">
        <f>IF(OR(I401="",J401=""),"",IF(I401&gt;J401,"Gana",IF(I401=J401,"Empata","Pierde")))</f>
        <v/>
      </c>
      <c r="M401" s="4" t="n"/>
      <c r="N401" s="4" t="n"/>
      <c r="O401" s="6">
        <f>IF(OR(I401="",J401=""),"",I401+J401)</f>
        <v/>
      </c>
      <c r="P401" s="6">
        <f>IF(OR(I401="",J401=""),"",I401-J401)</f>
        <v/>
      </c>
      <c r="Q401" s="6">
        <f>IF(L401="","",IF(L401="Gana",3,IF(L401="Empata",1,0)))</f>
        <v/>
      </c>
      <c r="R401" s="6">
        <f>IF(L401="","",IF(L401="Pierde",3,IF(L401="Empata",1,0)))</f>
        <v/>
      </c>
      <c r="S401" s="4" t="n"/>
    </row>
    <row r="402">
      <c r="A402" s="4" t="n"/>
      <c r="B402" s="4" t="n"/>
      <c r="C402" s="4" t="n"/>
      <c r="D402" s="4" t="n"/>
      <c r="E402" s="4" t="n"/>
      <c r="F402" s="7" t="n"/>
      <c r="G402" s="4" t="n"/>
      <c r="H402" s="4" t="n"/>
      <c r="I402" s="4" t="n"/>
      <c r="J402" s="4" t="n"/>
      <c r="K402" s="6">
        <f>IF(OR(I402="",J402=""),"",I402&amp;"-"&amp;J402)</f>
        <v/>
      </c>
      <c r="L402" s="6">
        <f>IF(OR(I402="",J402=""),"",IF(I402&gt;J402,"Gana",IF(I402=J402,"Empata","Pierde")))</f>
        <v/>
      </c>
      <c r="M402" s="4" t="n"/>
      <c r="N402" s="4" t="n"/>
      <c r="O402" s="6">
        <f>IF(OR(I402="",J402=""),"",I402+J402)</f>
        <v/>
      </c>
      <c r="P402" s="6">
        <f>IF(OR(I402="",J402=""),"",I402-J402)</f>
        <v/>
      </c>
      <c r="Q402" s="6">
        <f>IF(L402="","",IF(L402="Gana",3,IF(L402="Empata",1,0)))</f>
        <v/>
      </c>
      <c r="R402" s="6">
        <f>IF(L402="","",IF(L402="Pierde",3,IF(L402="Empata",1,0)))</f>
        <v/>
      </c>
      <c r="S402" s="4" t="n"/>
    </row>
    <row r="403">
      <c r="A403" s="4" t="n"/>
      <c r="B403" s="4" t="n"/>
      <c r="C403" s="4" t="n"/>
      <c r="D403" s="4" t="n"/>
      <c r="E403" s="4" t="n"/>
      <c r="F403" s="7" t="n"/>
      <c r="G403" s="4" t="n"/>
      <c r="H403" s="4" t="n"/>
      <c r="I403" s="4" t="n"/>
      <c r="J403" s="4" t="n"/>
      <c r="K403" s="6">
        <f>IF(OR(I403="",J403=""),"",I403&amp;"-"&amp;J403)</f>
        <v/>
      </c>
      <c r="L403" s="6">
        <f>IF(OR(I403="",J403=""),"",IF(I403&gt;J403,"Gana",IF(I403=J403,"Empata","Pierde")))</f>
        <v/>
      </c>
      <c r="M403" s="4" t="n"/>
      <c r="N403" s="4" t="n"/>
      <c r="O403" s="6">
        <f>IF(OR(I403="",J403=""),"",I403+J403)</f>
        <v/>
      </c>
      <c r="P403" s="6">
        <f>IF(OR(I403="",J403=""),"",I403-J403)</f>
        <v/>
      </c>
      <c r="Q403" s="6">
        <f>IF(L403="","",IF(L403="Gana",3,IF(L403="Empata",1,0)))</f>
        <v/>
      </c>
      <c r="R403" s="6">
        <f>IF(L403="","",IF(L403="Pierde",3,IF(L403="Empata",1,0)))</f>
        <v/>
      </c>
      <c r="S403" s="4" t="n"/>
    </row>
    <row r="404">
      <c r="A404" s="4" t="n"/>
      <c r="B404" s="4" t="n"/>
      <c r="C404" s="4" t="n"/>
      <c r="D404" s="4" t="n"/>
      <c r="E404" s="4" t="n"/>
      <c r="F404" s="7" t="n"/>
      <c r="G404" s="4" t="n"/>
      <c r="H404" s="4" t="n"/>
      <c r="I404" s="4" t="n"/>
      <c r="J404" s="4" t="n"/>
      <c r="K404" s="6">
        <f>IF(OR(I404="",J404=""),"",I404&amp;"-"&amp;J404)</f>
        <v/>
      </c>
      <c r="L404" s="6">
        <f>IF(OR(I404="",J404=""),"",IF(I404&gt;J404,"Gana",IF(I404=J404,"Empata","Pierde")))</f>
        <v/>
      </c>
      <c r="M404" s="4" t="n"/>
      <c r="N404" s="4" t="n"/>
      <c r="O404" s="6">
        <f>IF(OR(I404="",J404=""),"",I404+J404)</f>
        <v/>
      </c>
      <c r="P404" s="6">
        <f>IF(OR(I404="",J404=""),"",I404-J404)</f>
        <v/>
      </c>
      <c r="Q404" s="6">
        <f>IF(L404="","",IF(L404="Gana",3,IF(L404="Empata",1,0)))</f>
        <v/>
      </c>
      <c r="R404" s="6">
        <f>IF(L404="","",IF(L404="Pierde",3,IF(L404="Empata",1,0)))</f>
        <v/>
      </c>
      <c r="S404" s="4" t="n"/>
    </row>
    <row r="405">
      <c r="A405" s="4" t="n"/>
      <c r="B405" s="4" t="n"/>
      <c r="C405" s="4" t="n"/>
      <c r="D405" s="4" t="n"/>
      <c r="E405" s="4" t="n"/>
      <c r="F405" s="7" t="n"/>
      <c r="G405" s="4" t="n"/>
      <c r="H405" s="4" t="n"/>
      <c r="I405" s="4" t="n"/>
      <c r="J405" s="4" t="n"/>
      <c r="K405" s="6">
        <f>IF(OR(I405="",J405=""),"",I405&amp;"-"&amp;J405)</f>
        <v/>
      </c>
      <c r="L405" s="6">
        <f>IF(OR(I405="",J405=""),"",IF(I405&gt;J405,"Gana",IF(I405=J405,"Empata","Pierde")))</f>
        <v/>
      </c>
      <c r="M405" s="4" t="n"/>
      <c r="N405" s="4" t="n"/>
      <c r="O405" s="6">
        <f>IF(OR(I405="",J405=""),"",I405+J405)</f>
        <v/>
      </c>
      <c r="P405" s="6">
        <f>IF(OR(I405="",J405=""),"",I405-J405)</f>
        <v/>
      </c>
      <c r="Q405" s="6">
        <f>IF(L405="","",IF(L405="Gana",3,IF(L405="Empata",1,0)))</f>
        <v/>
      </c>
      <c r="R405" s="6">
        <f>IF(L405="","",IF(L405="Pierde",3,IF(L405="Empata",1,0)))</f>
        <v/>
      </c>
      <c r="S405" s="4" t="n"/>
    </row>
    <row r="406">
      <c r="A406" s="4" t="n"/>
      <c r="B406" s="4" t="n"/>
      <c r="C406" s="4" t="n"/>
      <c r="D406" s="4" t="n"/>
      <c r="E406" s="4" t="n"/>
      <c r="F406" s="7" t="n"/>
      <c r="G406" s="4" t="n"/>
      <c r="H406" s="4" t="n"/>
      <c r="I406" s="4" t="n"/>
      <c r="J406" s="4" t="n"/>
      <c r="K406" s="6">
        <f>IF(OR(I406="",J406=""),"",I406&amp;"-"&amp;J406)</f>
        <v/>
      </c>
      <c r="L406" s="6">
        <f>IF(OR(I406="",J406=""),"",IF(I406&gt;J406,"Gana",IF(I406=J406,"Empata","Pierde")))</f>
        <v/>
      </c>
      <c r="M406" s="4" t="n"/>
      <c r="N406" s="4" t="n"/>
      <c r="O406" s="6">
        <f>IF(OR(I406="",J406=""),"",I406+J406)</f>
        <v/>
      </c>
      <c r="P406" s="6">
        <f>IF(OR(I406="",J406=""),"",I406-J406)</f>
        <v/>
      </c>
      <c r="Q406" s="6">
        <f>IF(L406="","",IF(L406="Gana",3,IF(L406="Empata",1,0)))</f>
        <v/>
      </c>
      <c r="R406" s="6">
        <f>IF(L406="","",IF(L406="Pierde",3,IF(L406="Empata",1,0)))</f>
        <v/>
      </c>
      <c r="S406" s="4" t="n"/>
    </row>
    <row r="407">
      <c r="A407" s="4" t="n"/>
      <c r="B407" s="4" t="n"/>
      <c r="C407" s="4" t="n"/>
      <c r="D407" s="4" t="n"/>
      <c r="E407" s="4" t="n"/>
      <c r="F407" s="7" t="n"/>
      <c r="G407" s="4" t="n"/>
      <c r="H407" s="4" t="n"/>
      <c r="I407" s="4" t="n"/>
      <c r="J407" s="4" t="n"/>
      <c r="K407" s="6">
        <f>IF(OR(I407="",J407=""),"",I407&amp;"-"&amp;J407)</f>
        <v/>
      </c>
      <c r="L407" s="6">
        <f>IF(OR(I407="",J407=""),"",IF(I407&gt;J407,"Gana",IF(I407=J407,"Empata","Pierde")))</f>
        <v/>
      </c>
      <c r="M407" s="4" t="n"/>
      <c r="N407" s="4" t="n"/>
      <c r="O407" s="6">
        <f>IF(OR(I407="",J407=""),"",I407+J407)</f>
        <v/>
      </c>
      <c r="P407" s="6">
        <f>IF(OR(I407="",J407=""),"",I407-J407)</f>
        <v/>
      </c>
      <c r="Q407" s="6">
        <f>IF(L407="","",IF(L407="Gana",3,IF(L407="Empata",1,0)))</f>
        <v/>
      </c>
      <c r="R407" s="6">
        <f>IF(L407="","",IF(L407="Pierde",3,IF(L407="Empata",1,0)))</f>
        <v/>
      </c>
      <c r="S407" s="4" t="n"/>
    </row>
    <row r="408">
      <c r="A408" s="4" t="n"/>
      <c r="B408" s="4" t="n"/>
      <c r="C408" s="4" t="n"/>
      <c r="D408" s="4" t="n"/>
      <c r="E408" s="4" t="n"/>
      <c r="F408" s="7" t="n"/>
      <c r="G408" s="4" t="n"/>
      <c r="H408" s="4" t="n"/>
      <c r="I408" s="4" t="n"/>
      <c r="J408" s="4" t="n"/>
      <c r="K408" s="6">
        <f>IF(OR(I408="",J408=""),"",I408&amp;"-"&amp;J408)</f>
        <v/>
      </c>
      <c r="L408" s="6">
        <f>IF(OR(I408="",J408=""),"",IF(I408&gt;J408,"Gana",IF(I408=J408,"Empata","Pierde")))</f>
        <v/>
      </c>
      <c r="M408" s="4" t="n"/>
      <c r="N408" s="4" t="n"/>
      <c r="O408" s="6">
        <f>IF(OR(I408="",J408=""),"",I408+J408)</f>
        <v/>
      </c>
      <c r="P408" s="6">
        <f>IF(OR(I408="",J408=""),"",I408-J408)</f>
        <v/>
      </c>
      <c r="Q408" s="6">
        <f>IF(L408="","",IF(L408="Gana",3,IF(L408="Empata",1,0)))</f>
        <v/>
      </c>
      <c r="R408" s="6">
        <f>IF(L408="","",IF(L408="Pierde",3,IF(L408="Empata",1,0)))</f>
        <v/>
      </c>
      <c r="S408" s="4" t="n"/>
    </row>
    <row r="409">
      <c r="A409" s="4" t="n"/>
      <c r="B409" s="4" t="n"/>
      <c r="C409" s="4" t="n"/>
      <c r="D409" s="4" t="n"/>
      <c r="E409" s="4" t="n"/>
      <c r="F409" s="7" t="n"/>
      <c r="G409" s="4" t="n"/>
      <c r="H409" s="4" t="n"/>
      <c r="I409" s="4" t="n"/>
      <c r="J409" s="4" t="n"/>
      <c r="K409" s="6">
        <f>IF(OR(I409="",J409=""),"",I409&amp;"-"&amp;J409)</f>
        <v/>
      </c>
      <c r="L409" s="6">
        <f>IF(OR(I409="",J409=""),"",IF(I409&gt;J409,"Gana",IF(I409=J409,"Empata","Pierde")))</f>
        <v/>
      </c>
      <c r="M409" s="4" t="n"/>
      <c r="N409" s="4" t="n"/>
      <c r="O409" s="6">
        <f>IF(OR(I409="",J409=""),"",I409+J409)</f>
        <v/>
      </c>
      <c r="P409" s="6">
        <f>IF(OR(I409="",J409=""),"",I409-J409)</f>
        <v/>
      </c>
      <c r="Q409" s="6">
        <f>IF(L409="","",IF(L409="Gana",3,IF(L409="Empata",1,0)))</f>
        <v/>
      </c>
      <c r="R409" s="6">
        <f>IF(L409="","",IF(L409="Pierde",3,IF(L409="Empata",1,0)))</f>
        <v/>
      </c>
      <c r="S409" s="4" t="n"/>
    </row>
    <row r="410">
      <c r="A410" s="4" t="n"/>
      <c r="B410" s="4" t="n"/>
      <c r="C410" s="4" t="n"/>
      <c r="D410" s="4" t="n"/>
      <c r="E410" s="4" t="n"/>
      <c r="F410" s="7" t="n"/>
      <c r="G410" s="4" t="n"/>
      <c r="H410" s="4" t="n"/>
      <c r="I410" s="4" t="n"/>
      <c r="J410" s="4" t="n"/>
      <c r="K410" s="6">
        <f>IF(OR(I410="",J410=""),"",I410&amp;"-"&amp;J410)</f>
        <v/>
      </c>
      <c r="L410" s="6">
        <f>IF(OR(I410="",J410=""),"",IF(I410&gt;J410,"Gana",IF(I410=J410,"Empata","Pierde")))</f>
        <v/>
      </c>
      <c r="M410" s="4" t="n"/>
      <c r="N410" s="4" t="n"/>
      <c r="O410" s="6">
        <f>IF(OR(I410="",J410=""),"",I410+J410)</f>
        <v/>
      </c>
      <c r="P410" s="6">
        <f>IF(OR(I410="",J410=""),"",I410-J410)</f>
        <v/>
      </c>
      <c r="Q410" s="6">
        <f>IF(L410="","",IF(L410="Gana",3,IF(L410="Empata",1,0)))</f>
        <v/>
      </c>
      <c r="R410" s="6">
        <f>IF(L410="","",IF(L410="Pierde",3,IF(L410="Empata",1,0)))</f>
        <v/>
      </c>
      <c r="S410" s="4" t="n"/>
    </row>
    <row r="411">
      <c r="A411" s="4" t="n"/>
      <c r="B411" s="4" t="n"/>
      <c r="C411" s="4" t="n"/>
      <c r="D411" s="4" t="n"/>
      <c r="E411" s="4" t="n"/>
      <c r="F411" s="7" t="n"/>
      <c r="G411" s="4" t="n"/>
      <c r="H411" s="4" t="n"/>
      <c r="I411" s="4" t="n"/>
      <c r="J411" s="4" t="n"/>
      <c r="K411" s="6">
        <f>IF(OR(I411="",J411=""),"",I411&amp;"-"&amp;J411)</f>
        <v/>
      </c>
      <c r="L411" s="6">
        <f>IF(OR(I411="",J411=""),"",IF(I411&gt;J411,"Gana",IF(I411=J411,"Empata","Pierde")))</f>
        <v/>
      </c>
      <c r="M411" s="4" t="n"/>
      <c r="N411" s="4" t="n"/>
      <c r="O411" s="6">
        <f>IF(OR(I411="",J411=""),"",I411+J411)</f>
        <v/>
      </c>
      <c r="P411" s="6">
        <f>IF(OR(I411="",J411=""),"",I411-J411)</f>
        <v/>
      </c>
      <c r="Q411" s="6">
        <f>IF(L411="","",IF(L411="Gana",3,IF(L411="Empata",1,0)))</f>
        <v/>
      </c>
      <c r="R411" s="6">
        <f>IF(L411="","",IF(L411="Pierde",3,IF(L411="Empata",1,0)))</f>
        <v/>
      </c>
      <c r="S411" s="4" t="n"/>
    </row>
    <row r="412">
      <c r="A412" s="4" t="n"/>
      <c r="B412" s="4" t="n"/>
      <c r="C412" s="4" t="n"/>
      <c r="D412" s="4" t="n"/>
      <c r="E412" s="4" t="n"/>
      <c r="F412" s="7" t="n"/>
      <c r="G412" s="4" t="n"/>
      <c r="H412" s="4" t="n"/>
      <c r="I412" s="4" t="n"/>
      <c r="J412" s="4" t="n"/>
      <c r="K412" s="6">
        <f>IF(OR(I412="",J412=""),"",I412&amp;"-"&amp;J412)</f>
        <v/>
      </c>
      <c r="L412" s="6">
        <f>IF(OR(I412="",J412=""),"",IF(I412&gt;J412,"Gana",IF(I412=J412,"Empata","Pierde")))</f>
        <v/>
      </c>
      <c r="M412" s="4" t="n"/>
      <c r="N412" s="4" t="n"/>
      <c r="O412" s="6">
        <f>IF(OR(I412="",J412=""),"",I412+J412)</f>
        <v/>
      </c>
      <c r="P412" s="6">
        <f>IF(OR(I412="",J412=""),"",I412-J412)</f>
        <v/>
      </c>
      <c r="Q412" s="6">
        <f>IF(L412="","",IF(L412="Gana",3,IF(L412="Empata",1,0)))</f>
        <v/>
      </c>
      <c r="R412" s="6">
        <f>IF(L412="","",IF(L412="Pierde",3,IF(L412="Empata",1,0)))</f>
        <v/>
      </c>
      <c r="S412" s="4" t="n"/>
    </row>
    <row r="413">
      <c r="A413" s="4" t="n"/>
      <c r="B413" s="4" t="n"/>
      <c r="C413" s="4" t="n"/>
      <c r="D413" s="4" t="n"/>
      <c r="E413" s="4" t="n"/>
      <c r="F413" s="7" t="n"/>
      <c r="G413" s="4" t="n"/>
      <c r="H413" s="4" t="n"/>
      <c r="I413" s="4" t="n"/>
      <c r="J413" s="4" t="n"/>
      <c r="K413" s="6">
        <f>IF(OR(I413="",J413=""),"",I413&amp;"-"&amp;J413)</f>
        <v/>
      </c>
      <c r="L413" s="6">
        <f>IF(OR(I413="",J413=""),"",IF(I413&gt;J413,"Gana",IF(I413=J413,"Empata","Pierde")))</f>
        <v/>
      </c>
      <c r="M413" s="4" t="n"/>
      <c r="N413" s="4" t="n"/>
      <c r="O413" s="6">
        <f>IF(OR(I413="",J413=""),"",I413+J413)</f>
        <v/>
      </c>
      <c r="P413" s="6">
        <f>IF(OR(I413="",J413=""),"",I413-J413)</f>
        <v/>
      </c>
      <c r="Q413" s="6">
        <f>IF(L413="","",IF(L413="Gana",3,IF(L413="Empata",1,0)))</f>
        <v/>
      </c>
      <c r="R413" s="6">
        <f>IF(L413="","",IF(L413="Pierde",3,IF(L413="Empata",1,0)))</f>
        <v/>
      </c>
      <c r="S413" s="4" t="n"/>
    </row>
    <row r="414">
      <c r="A414" s="4" t="n"/>
      <c r="B414" s="4" t="n"/>
      <c r="C414" s="4" t="n"/>
      <c r="D414" s="4" t="n"/>
      <c r="E414" s="4" t="n"/>
      <c r="F414" s="7" t="n"/>
      <c r="G414" s="4" t="n"/>
      <c r="H414" s="4" t="n"/>
      <c r="I414" s="4" t="n"/>
      <c r="J414" s="4" t="n"/>
      <c r="K414" s="6">
        <f>IF(OR(I414="",J414=""),"",I414&amp;"-"&amp;J414)</f>
        <v/>
      </c>
      <c r="L414" s="6">
        <f>IF(OR(I414="",J414=""),"",IF(I414&gt;J414,"Gana",IF(I414=J414,"Empata","Pierde")))</f>
        <v/>
      </c>
      <c r="M414" s="4" t="n"/>
      <c r="N414" s="4" t="n"/>
      <c r="O414" s="6">
        <f>IF(OR(I414="",J414=""),"",I414+J414)</f>
        <v/>
      </c>
      <c r="P414" s="6">
        <f>IF(OR(I414="",J414=""),"",I414-J414)</f>
        <v/>
      </c>
      <c r="Q414" s="6">
        <f>IF(L414="","",IF(L414="Gana",3,IF(L414="Empata",1,0)))</f>
        <v/>
      </c>
      <c r="R414" s="6">
        <f>IF(L414="","",IF(L414="Pierde",3,IF(L414="Empata",1,0)))</f>
        <v/>
      </c>
      <c r="S414" s="4" t="n"/>
    </row>
    <row r="415">
      <c r="A415" s="4" t="n"/>
      <c r="B415" s="4" t="n"/>
      <c r="C415" s="4" t="n"/>
      <c r="D415" s="4" t="n"/>
      <c r="E415" s="4" t="n"/>
      <c r="F415" s="7" t="n"/>
      <c r="G415" s="4" t="n"/>
      <c r="H415" s="4" t="n"/>
      <c r="I415" s="4" t="n"/>
      <c r="J415" s="4" t="n"/>
      <c r="K415" s="6">
        <f>IF(OR(I415="",J415=""),"",I415&amp;"-"&amp;J415)</f>
        <v/>
      </c>
      <c r="L415" s="6">
        <f>IF(OR(I415="",J415=""),"",IF(I415&gt;J415,"Gana",IF(I415=J415,"Empata","Pierde")))</f>
        <v/>
      </c>
      <c r="M415" s="4" t="n"/>
      <c r="N415" s="4" t="n"/>
      <c r="O415" s="6">
        <f>IF(OR(I415="",J415=""),"",I415+J415)</f>
        <v/>
      </c>
      <c r="P415" s="6">
        <f>IF(OR(I415="",J415=""),"",I415-J415)</f>
        <v/>
      </c>
      <c r="Q415" s="6">
        <f>IF(L415="","",IF(L415="Gana",3,IF(L415="Empata",1,0)))</f>
        <v/>
      </c>
      <c r="R415" s="6">
        <f>IF(L415="","",IF(L415="Pierde",3,IF(L415="Empata",1,0)))</f>
        <v/>
      </c>
      <c r="S415" s="4" t="n"/>
    </row>
    <row r="416">
      <c r="A416" s="4" t="n"/>
      <c r="B416" s="4" t="n"/>
      <c r="C416" s="4" t="n"/>
      <c r="D416" s="4" t="n"/>
      <c r="E416" s="4" t="n"/>
      <c r="F416" s="7" t="n"/>
      <c r="G416" s="4" t="n"/>
      <c r="H416" s="4" t="n"/>
      <c r="I416" s="4" t="n"/>
      <c r="J416" s="4" t="n"/>
      <c r="K416" s="6">
        <f>IF(OR(I416="",J416=""),"",I416&amp;"-"&amp;J416)</f>
        <v/>
      </c>
      <c r="L416" s="6">
        <f>IF(OR(I416="",J416=""),"",IF(I416&gt;J416,"Gana",IF(I416=J416,"Empata","Pierde")))</f>
        <v/>
      </c>
      <c r="M416" s="4" t="n"/>
      <c r="N416" s="4" t="n"/>
      <c r="O416" s="6">
        <f>IF(OR(I416="",J416=""),"",I416+J416)</f>
        <v/>
      </c>
      <c r="P416" s="6">
        <f>IF(OR(I416="",J416=""),"",I416-J416)</f>
        <v/>
      </c>
      <c r="Q416" s="6">
        <f>IF(L416="","",IF(L416="Gana",3,IF(L416="Empata",1,0)))</f>
        <v/>
      </c>
      <c r="R416" s="6">
        <f>IF(L416="","",IF(L416="Pierde",3,IF(L416="Empata",1,0)))</f>
        <v/>
      </c>
      <c r="S416" s="4" t="n"/>
    </row>
    <row r="417">
      <c r="A417" s="4" t="n"/>
      <c r="B417" s="4" t="n"/>
      <c r="C417" s="4" t="n"/>
      <c r="D417" s="4" t="n"/>
      <c r="E417" s="4" t="n"/>
      <c r="F417" s="7" t="n"/>
      <c r="G417" s="4" t="n"/>
      <c r="H417" s="4" t="n"/>
      <c r="I417" s="4" t="n"/>
      <c r="J417" s="4" t="n"/>
      <c r="K417" s="6">
        <f>IF(OR(I417="",J417=""),"",I417&amp;"-"&amp;J417)</f>
        <v/>
      </c>
      <c r="L417" s="6">
        <f>IF(OR(I417="",J417=""),"",IF(I417&gt;J417,"Gana",IF(I417=J417,"Empata","Pierde")))</f>
        <v/>
      </c>
      <c r="M417" s="4" t="n"/>
      <c r="N417" s="4" t="n"/>
      <c r="O417" s="6">
        <f>IF(OR(I417="",J417=""),"",I417+J417)</f>
        <v/>
      </c>
      <c r="P417" s="6">
        <f>IF(OR(I417="",J417=""),"",I417-J417)</f>
        <v/>
      </c>
      <c r="Q417" s="6">
        <f>IF(L417="","",IF(L417="Gana",3,IF(L417="Empata",1,0)))</f>
        <v/>
      </c>
      <c r="R417" s="6">
        <f>IF(L417="","",IF(L417="Pierde",3,IF(L417="Empata",1,0)))</f>
        <v/>
      </c>
      <c r="S417" s="4" t="n"/>
    </row>
    <row r="418">
      <c r="A418" s="4" t="n"/>
      <c r="B418" s="4" t="n"/>
      <c r="C418" s="4" t="n"/>
      <c r="D418" s="4" t="n"/>
      <c r="E418" s="4" t="n"/>
      <c r="F418" s="7" t="n"/>
      <c r="G418" s="4" t="n"/>
      <c r="H418" s="4" t="n"/>
      <c r="I418" s="4" t="n"/>
      <c r="J418" s="4" t="n"/>
      <c r="K418" s="6">
        <f>IF(OR(I418="",J418=""),"",I418&amp;"-"&amp;J418)</f>
        <v/>
      </c>
      <c r="L418" s="6">
        <f>IF(OR(I418="",J418=""),"",IF(I418&gt;J418,"Gana",IF(I418=J418,"Empata","Pierde")))</f>
        <v/>
      </c>
      <c r="M418" s="4" t="n"/>
      <c r="N418" s="4" t="n"/>
      <c r="O418" s="6">
        <f>IF(OR(I418="",J418=""),"",I418+J418)</f>
        <v/>
      </c>
      <c r="P418" s="6">
        <f>IF(OR(I418="",J418=""),"",I418-J418)</f>
        <v/>
      </c>
      <c r="Q418" s="6">
        <f>IF(L418="","",IF(L418="Gana",3,IF(L418="Empata",1,0)))</f>
        <v/>
      </c>
      <c r="R418" s="6">
        <f>IF(L418="","",IF(L418="Pierde",3,IF(L418="Empata",1,0)))</f>
        <v/>
      </c>
      <c r="S418" s="4" t="n"/>
    </row>
    <row r="419">
      <c r="A419" s="4" t="n"/>
      <c r="B419" s="4" t="n"/>
      <c r="C419" s="4" t="n"/>
      <c r="D419" s="4" t="n"/>
      <c r="E419" s="4" t="n"/>
      <c r="F419" s="7" t="n"/>
      <c r="G419" s="4" t="n"/>
      <c r="H419" s="4" t="n"/>
      <c r="I419" s="4" t="n"/>
      <c r="J419" s="4" t="n"/>
      <c r="K419" s="6">
        <f>IF(OR(I419="",J419=""),"",I419&amp;"-"&amp;J419)</f>
        <v/>
      </c>
      <c r="L419" s="6">
        <f>IF(OR(I419="",J419=""),"",IF(I419&gt;J419,"Gana",IF(I419=J419,"Empata","Pierde")))</f>
        <v/>
      </c>
      <c r="M419" s="4" t="n"/>
      <c r="N419" s="4" t="n"/>
      <c r="O419" s="6">
        <f>IF(OR(I419="",J419=""),"",I419+J419)</f>
        <v/>
      </c>
      <c r="P419" s="6">
        <f>IF(OR(I419="",J419=""),"",I419-J419)</f>
        <v/>
      </c>
      <c r="Q419" s="6">
        <f>IF(L419="","",IF(L419="Gana",3,IF(L419="Empata",1,0)))</f>
        <v/>
      </c>
      <c r="R419" s="6">
        <f>IF(L419="","",IF(L419="Pierde",3,IF(L419="Empata",1,0)))</f>
        <v/>
      </c>
      <c r="S419" s="4" t="n"/>
    </row>
    <row r="420">
      <c r="A420" s="4" t="n"/>
      <c r="B420" s="4" t="n"/>
      <c r="C420" s="4" t="n"/>
      <c r="D420" s="4" t="n"/>
      <c r="E420" s="4" t="n"/>
      <c r="F420" s="7" t="n"/>
      <c r="G420" s="4" t="n"/>
      <c r="H420" s="4" t="n"/>
      <c r="I420" s="4" t="n"/>
      <c r="J420" s="4" t="n"/>
      <c r="K420" s="6">
        <f>IF(OR(I420="",J420=""),"",I420&amp;"-"&amp;J420)</f>
        <v/>
      </c>
      <c r="L420" s="6">
        <f>IF(OR(I420="",J420=""),"",IF(I420&gt;J420,"Gana",IF(I420=J420,"Empata","Pierde")))</f>
        <v/>
      </c>
      <c r="M420" s="4" t="n"/>
      <c r="N420" s="4" t="n"/>
      <c r="O420" s="6">
        <f>IF(OR(I420="",J420=""),"",I420+J420)</f>
        <v/>
      </c>
      <c r="P420" s="6">
        <f>IF(OR(I420="",J420=""),"",I420-J420)</f>
        <v/>
      </c>
      <c r="Q420" s="6">
        <f>IF(L420="","",IF(L420="Gana",3,IF(L420="Empata",1,0)))</f>
        <v/>
      </c>
      <c r="R420" s="6">
        <f>IF(L420="","",IF(L420="Pierde",3,IF(L420="Empata",1,0)))</f>
        <v/>
      </c>
      <c r="S420" s="4" t="n"/>
    </row>
    <row r="421">
      <c r="A421" s="4" t="n"/>
      <c r="B421" s="4" t="n"/>
      <c r="C421" s="4" t="n"/>
      <c r="D421" s="4" t="n"/>
      <c r="E421" s="4" t="n"/>
      <c r="F421" s="7" t="n"/>
      <c r="G421" s="4" t="n"/>
      <c r="H421" s="4" t="n"/>
      <c r="I421" s="4" t="n"/>
      <c r="J421" s="4" t="n"/>
      <c r="K421" s="6">
        <f>IF(OR(I421="",J421=""),"",I421&amp;"-"&amp;J421)</f>
        <v/>
      </c>
      <c r="L421" s="6">
        <f>IF(OR(I421="",J421=""),"",IF(I421&gt;J421,"Gana",IF(I421=J421,"Empata","Pierde")))</f>
        <v/>
      </c>
      <c r="M421" s="4" t="n"/>
      <c r="N421" s="4" t="n"/>
      <c r="O421" s="6">
        <f>IF(OR(I421="",J421=""),"",I421+J421)</f>
        <v/>
      </c>
      <c r="P421" s="6">
        <f>IF(OR(I421="",J421=""),"",I421-J421)</f>
        <v/>
      </c>
      <c r="Q421" s="6">
        <f>IF(L421="","",IF(L421="Gana",3,IF(L421="Empata",1,0)))</f>
        <v/>
      </c>
      <c r="R421" s="6">
        <f>IF(L421="","",IF(L421="Pierde",3,IF(L421="Empata",1,0)))</f>
        <v/>
      </c>
      <c r="S421" s="4" t="n"/>
    </row>
    <row r="422">
      <c r="A422" s="4" t="n"/>
      <c r="B422" s="4" t="n"/>
      <c r="C422" s="4" t="n"/>
      <c r="D422" s="4" t="n"/>
      <c r="E422" s="4" t="n"/>
      <c r="F422" s="7" t="n"/>
      <c r="G422" s="4" t="n"/>
      <c r="H422" s="4" t="n"/>
      <c r="I422" s="4" t="n"/>
      <c r="J422" s="4" t="n"/>
      <c r="K422" s="6">
        <f>IF(OR(I422="",J422=""),"",I422&amp;"-"&amp;J422)</f>
        <v/>
      </c>
      <c r="L422" s="6">
        <f>IF(OR(I422="",J422=""),"",IF(I422&gt;J422,"Gana",IF(I422=J422,"Empata","Pierde")))</f>
        <v/>
      </c>
      <c r="M422" s="4" t="n"/>
      <c r="N422" s="4" t="n"/>
      <c r="O422" s="6">
        <f>IF(OR(I422="",J422=""),"",I422+J422)</f>
        <v/>
      </c>
      <c r="P422" s="6">
        <f>IF(OR(I422="",J422=""),"",I422-J422)</f>
        <v/>
      </c>
      <c r="Q422" s="6">
        <f>IF(L422="","",IF(L422="Gana",3,IF(L422="Empata",1,0)))</f>
        <v/>
      </c>
      <c r="R422" s="6">
        <f>IF(L422="","",IF(L422="Pierde",3,IF(L422="Empata",1,0)))</f>
        <v/>
      </c>
      <c r="S422" s="4" t="n"/>
    </row>
    <row r="423">
      <c r="A423" s="4" t="n"/>
      <c r="B423" s="4" t="n"/>
      <c r="C423" s="4" t="n"/>
      <c r="D423" s="4" t="n"/>
      <c r="E423" s="4" t="n"/>
      <c r="F423" s="7" t="n"/>
      <c r="G423" s="4" t="n"/>
      <c r="H423" s="4" t="n"/>
      <c r="I423" s="4" t="n"/>
      <c r="J423" s="4" t="n"/>
      <c r="K423" s="6">
        <f>IF(OR(I423="",J423=""),"",I423&amp;"-"&amp;J423)</f>
        <v/>
      </c>
      <c r="L423" s="6">
        <f>IF(OR(I423="",J423=""),"",IF(I423&gt;J423,"Gana",IF(I423=J423,"Empata","Pierde")))</f>
        <v/>
      </c>
      <c r="M423" s="4" t="n"/>
      <c r="N423" s="4" t="n"/>
      <c r="O423" s="6">
        <f>IF(OR(I423="",J423=""),"",I423+J423)</f>
        <v/>
      </c>
      <c r="P423" s="6">
        <f>IF(OR(I423="",J423=""),"",I423-J423)</f>
        <v/>
      </c>
      <c r="Q423" s="6">
        <f>IF(L423="","",IF(L423="Gana",3,IF(L423="Empata",1,0)))</f>
        <v/>
      </c>
      <c r="R423" s="6">
        <f>IF(L423="","",IF(L423="Pierde",3,IF(L423="Empata",1,0)))</f>
        <v/>
      </c>
      <c r="S423" s="4" t="n"/>
    </row>
    <row r="424">
      <c r="A424" s="4" t="n"/>
      <c r="B424" s="4" t="n"/>
      <c r="C424" s="4" t="n"/>
      <c r="D424" s="4" t="n"/>
      <c r="E424" s="4" t="n"/>
      <c r="F424" s="7" t="n"/>
      <c r="G424" s="4" t="n"/>
      <c r="H424" s="4" t="n"/>
      <c r="I424" s="4" t="n"/>
      <c r="J424" s="4" t="n"/>
      <c r="K424" s="6">
        <f>IF(OR(I424="",J424=""),"",I424&amp;"-"&amp;J424)</f>
        <v/>
      </c>
      <c r="L424" s="6">
        <f>IF(OR(I424="",J424=""),"",IF(I424&gt;J424,"Gana",IF(I424=J424,"Empata","Pierde")))</f>
        <v/>
      </c>
      <c r="M424" s="4" t="n"/>
      <c r="N424" s="4" t="n"/>
      <c r="O424" s="6">
        <f>IF(OR(I424="",J424=""),"",I424+J424)</f>
        <v/>
      </c>
      <c r="P424" s="6">
        <f>IF(OR(I424="",J424=""),"",I424-J424)</f>
        <v/>
      </c>
      <c r="Q424" s="6">
        <f>IF(L424="","",IF(L424="Gana",3,IF(L424="Empata",1,0)))</f>
        <v/>
      </c>
      <c r="R424" s="6">
        <f>IF(L424="","",IF(L424="Pierde",3,IF(L424="Empata",1,0)))</f>
        <v/>
      </c>
      <c r="S424" s="4" t="n"/>
    </row>
    <row r="425">
      <c r="A425" s="4" t="n"/>
      <c r="B425" s="4" t="n"/>
      <c r="C425" s="4" t="n"/>
      <c r="D425" s="4" t="n"/>
      <c r="E425" s="4" t="n"/>
      <c r="F425" s="7" t="n"/>
      <c r="G425" s="4" t="n"/>
      <c r="H425" s="4" t="n"/>
      <c r="I425" s="4" t="n"/>
      <c r="J425" s="4" t="n"/>
      <c r="K425" s="6">
        <f>IF(OR(I425="",J425=""),"",I425&amp;"-"&amp;J425)</f>
        <v/>
      </c>
      <c r="L425" s="6">
        <f>IF(OR(I425="",J425=""),"",IF(I425&gt;J425,"Gana",IF(I425=J425,"Empata","Pierde")))</f>
        <v/>
      </c>
      <c r="M425" s="4" t="n"/>
      <c r="N425" s="4" t="n"/>
      <c r="O425" s="6">
        <f>IF(OR(I425="",J425=""),"",I425+J425)</f>
        <v/>
      </c>
      <c r="P425" s="6">
        <f>IF(OR(I425="",J425=""),"",I425-J425)</f>
        <v/>
      </c>
      <c r="Q425" s="6">
        <f>IF(L425="","",IF(L425="Gana",3,IF(L425="Empata",1,0)))</f>
        <v/>
      </c>
      <c r="R425" s="6">
        <f>IF(L425="","",IF(L425="Pierde",3,IF(L425="Empata",1,0)))</f>
        <v/>
      </c>
      <c r="S425" s="4" t="n"/>
    </row>
    <row r="426">
      <c r="A426" s="4" t="n"/>
      <c r="B426" s="4" t="n"/>
      <c r="C426" s="4" t="n"/>
      <c r="D426" s="4" t="n"/>
      <c r="E426" s="4" t="n"/>
      <c r="F426" s="7" t="n"/>
      <c r="G426" s="4" t="n"/>
      <c r="H426" s="4" t="n"/>
      <c r="I426" s="4" t="n"/>
      <c r="J426" s="4" t="n"/>
      <c r="K426" s="6">
        <f>IF(OR(I426="",J426=""),"",I426&amp;"-"&amp;J426)</f>
        <v/>
      </c>
      <c r="L426" s="6">
        <f>IF(OR(I426="",J426=""),"",IF(I426&gt;J426,"Gana",IF(I426=J426,"Empata","Pierde")))</f>
        <v/>
      </c>
      <c r="M426" s="4" t="n"/>
      <c r="N426" s="4" t="n"/>
      <c r="O426" s="6">
        <f>IF(OR(I426="",J426=""),"",I426+J426)</f>
        <v/>
      </c>
      <c r="P426" s="6">
        <f>IF(OR(I426="",J426=""),"",I426-J426)</f>
        <v/>
      </c>
      <c r="Q426" s="6">
        <f>IF(L426="","",IF(L426="Gana",3,IF(L426="Empata",1,0)))</f>
        <v/>
      </c>
      <c r="R426" s="6">
        <f>IF(L426="","",IF(L426="Pierde",3,IF(L426="Empata",1,0)))</f>
        <v/>
      </c>
      <c r="S426" s="4" t="n"/>
    </row>
    <row r="427">
      <c r="A427" s="4" t="n"/>
      <c r="B427" s="4" t="n"/>
      <c r="C427" s="4" t="n"/>
      <c r="D427" s="4" t="n"/>
      <c r="E427" s="4" t="n"/>
      <c r="F427" s="7" t="n"/>
      <c r="G427" s="4" t="n"/>
      <c r="H427" s="4" t="n"/>
      <c r="I427" s="4" t="n"/>
      <c r="J427" s="4" t="n"/>
      <c r="K427" s="6">
        <f>IF(OR(I427="",J427=""),"",I427&amp;"-"&amp;J427)</f>
        <v/>
      </c>
      <c r="L427" s="6">
        <f>IF(OR(I427="",J427=""),"",IF(I427&gt;J427,"Gana",IF(I427=J427,"Empata","Pierde")))</f>
        <v/>
      </c>
      <c r="M427" s="4" t="n"/>
      <c r="N427" s="4" t="n"/>
      <c r="O427" s="6">
        <f>IF(OR(I427="",J427=""),"",I427+J427)</f>
        <v/>
      </c>
      <c r="P427" s="6">
        <f>IF(OR(I427="",J427=""),"",I427-J427)</f>
        <v/>
      </c>
      <c r="Q427" s="6">
        <f>IF(L427="","",IF(L427="Gana",3,IF(L427="Empata",1,0)))</f>
        <v/>
      </c>
      <c r="R427" s="6">
        <f>IF(L427="","",IF(L427="Pierde",3,IF(L427="Empata",1,0)))</f>
        <v/>
      </c>
      <c r="S427" s="4" t="n"/>
    </row>
    <row r="428">
      <c r="A428" s="4" t="n"/>
      <c r="B428" s="4" t="n"/>
      <c r="C428" s="4" t="n"/>
      <c r="D428" s="4" t="n"/>
      <c r="E428" s="4" t="n"/>
      <c r="F428" s="7" t="n"/>
      <c r="G428" s="4" t="n"/>
      <c r="H428" s="4" t="n"/>
      <c r="I428" s="4" t="n"/>
      <c r="J428" s="4" t="n"/>
      <c r="K428" s="6">
        <f>IF(OR(I428="",J428=""),"",I428&amp;"-"&amp;J428)</f>
        <v/>
      </c>
      <c r="L428" s="6">
        <f>IF(OR(I428="",J428=""),"",IF(I428&gt;J428,"Gana",IF(I428=J428,"Empata","Pierde")))</f>
        <v/>
      </c>
      <c r="M428" s="4" t="n"/>
      <c r="N428" s="4" t="n"/>
      <c r="O428" s="6">
        <f>IF(OR(I428="",J428=""),"",I428+J428)</f>
        <v/>
      </c>
      <c r="P428" s="6">
        <f>IF(OR(I428="",J428=""),"",I428-J428)</f>
        <v/>
      </c>
      <c r="Q428" s="6">
        <f>IF(L428="","",IF(L428="Gana",3,IF(L428="Empata",1,0)))</f>
        <v/>
      </c>
      <c r="R428" s="6">
        <f>IF(L428="","",IF(L428="Pierde",3,IF(L428="Empata",1,0)))</f>
        <v/>
      </c>
      <c r="S428" s="4" t="n"/>
    </row>
    <row r="429">
      <c r="A429" s="4" t="n"/>
      <c r="B429" s="4" t="n"/>
      <c r="C429" s="4" t="n"/>
      <c r="D429" s="4" t="n"/>
      <c r="E429" s="4" t="n"/>
      <c r="F429" s="7" t="n"/>
      <c r="G429" s="4" t="n"/>
      <c r="H429" s="4" t="n"/>
      <c r="I429" s="4" t="n"/>
      <c r="J429" s="4" t="n"/>
      <c r="K429" s="6">
        <f>IF(OR(I429="",J429=""),"",I429&amp;"-"&amp;J429)</f>
        <v/>
      </c>
      <c r="L429" s="6">
        <f>IF(OR(I429="",J429=""),"",IF(I429&gt;J429,"Gana",IF(I429=J429,"Empata","Pierde")))</f>
        <v/>
      </c>
      <c r="M429" s="4" t="n"/>
      <c r="N429" s="4" t="n"/>
      <c r="O429" s="6">
        <f>IF(OR(I429="",J429=""),"",I429+J429)</f>
        <v/>
      </c>
      <c r="P429" s="6">
        <f>IF(OR(I429="",J429=""),"",I429-J429)</f>
        <v/>
      </c>
      <c r="Q429" s="6">
        <f>IF(L429="","",IF(L429="Gana",3,IF(L429="Empata",1,0)))</f>
        <v/>
      </c>
      <c r="R429" s="6">
        <f>IF(L429="","",IF(L429="Pierde",3,IF(L429="Empata",1,0)))</f>
        <v/>
      </c>
      <c r="S429" s="4" t="n"/>
    </row>
    <row r="430">
      <c r="A430" s="4" t="n"/>
      <c r="B430" s="4" t="n"/>
      <c r="C430" s="4" t="n"/>
      <c r="D430" s="4" t="n"/>
      <c r="E430" s="4" t="n"/>
      <c r="F430" s="7" t="n"/>
      <c r="G430" s="4" t="n"/>
      <c r="H430" s="4" t="n"/>
      <c r="I430" s="4" t="n"/>
      <c r="J430" s="4" t="n"/>
      <c r="K430" s="6">
        <f>IF(OR(I430="",J430=""),"",I430&amp;"-"&amp;J430)</f>
        <v/>
      </c>
      <c r="L430" s="6">
        <f>IF(OR(I430="",J430=""),"",IF(I430&gt;J430,"Gana",IF(I430=J430,"Empata","Pierde")))</f>
        <v/>
      </c>
      <c r="M430" s="4" t="n"/>
      <c r="N430" s="4" t="n"/>
      <c r="O430" s="6">
        <f>IF(OR(I430="",J430=""),"",I430+J430)</f>
        <v/>
      </c>
      <c r="P430" s="6">
        <f>IF(OR(I430="",J430=""),"",I430-J430)</f>
        <v/>
      </c>
      <c r="Q430" s="6">
        <f>IF(L430="","",IF(L430="Gana",3,IF(L430="Empata",1,0)))</f>
        <v/>
      </c>
      <c r="R430" s="6">
        <f>IF(L430="","",IF(L430="Pierde",3,IF(L430="Empata",1,0)))</f>
        <v/>
      </c>
      <c r="S430" s="4" t="n"/>
    </row>
    <row r="431">
      <c r="A431" s="4" t="n"/>
      <c r="B431" s="4" t="n"/>
      <c r="C431" s="4" t="n"/>
      <c r="D431" s="4" t="n"/>
      <c r="E431" s="4" t="n"/>
      <c r="F431" s="7" t="n"/>
      <c r="G431" s="4" t="n"/>
      <c r="H431" s="4" t="n"/>
      <c r="I431" s="4" t="n"/>
      <c r="J431" s="4" t="n"/>
      <c r="K431" s="6">
        <f>IF(OR(I431="",J431=""),"",I431&amp;"-"&amp;J431)</f>
        <v/>
      </c>
      <c r="L431" s="6">
        <f>IF(OR(I431="",J431=""),"",IF(I431&gt;J431,"Gana",IF(I431=J431,"Empata","Pierde")))</f>
        <v/>
      </c>
      <c r="M431" s="4" t="n"/>
      <c r="N431" s="4" t="n"/>
      <c r="O431" s="6">
        <f>IF(OR(I431="",J431=""),"",I431+J431)</f>
        <v/>
      </c>
      <c r="P431" s="6">
        <f>IF(OR(I431="",J431=""),"",I431-J431)</f>
        <v/>
      </c>
      <c r="Q431" s="6">
        <f>IF(L431="","",IF(L431="Gana",3,IF(L431="Empata",1,0)))</f>
        <v/>
      </c>
      <c r="R431" s="6">
        <f>IF(L431="","",IF(L431="Pierde",3,IF(L431="Empata",1,0)))</f>
        <v/>
      </c>
      <c r="S431" s="4" t="n"/>
    </row>
    <row r="432">
      <c r="A432" s="4" t="n"/>
      <c r="B432" s="4" t="n"/>
      <c r="C432" s="4" t="n"/>
      <c r="D432" s="4" t="n"/>
      <c r="E432" s="4" t="n"/>
      <c r="F432" s="7" t="n"/>
      <c r="G432" s="4" t="n"/>
      <c r="H432" s="4" t="n"/>
      <c r="I432" s="4" t="n"/>
      <c r="J432" s="4" t="n"/>
      <c r="K432" s="6">
        <f>IF(OR(I432="",J432=""),"",I432&amp;"-"&amp;J432)</f>
        <v/>
      </c>
      <c r="L432" s="6">
        <f>IF(OR(I432="",J432=""),"",IF(I432&gt;J432,"Gana",IF(I432=J432,"Empata","Pierde")))</f>
        <v/>
      </c>
      <c r="M432" s="4" t="n"/>
      <c r="N432" s="4" t="n"/>
      <c r="O432" s="6">
        <f>IF(OR(I432="",J432=""),"",I432+J432)</f>
        <v/>
      </c>
      <c r="P432" s="6">
        <f>IF(OR(I432="",J432=""),"",I432-J432)</f>
        <v/>
      </c>
      <c r="Q432" s="6">
        <f>IF(L432="","",IF(L432="Gana",3,IF(L432="Empata",1,0)))</f>
        <v/>
      </c>
      <c r="R432" s="6">
        <f>IF(L432="","",IF(L432="Pierde",3,IF(L432="Empata",1,0)))</f>
        <v/>
      </c>
      <c r="S432" s="4" t="n"/>
    </row>
    <row r="433">
      <c r="A433" s="4" t="n"/>
      <c r="B433" s="4" t="n"/>
      <c r="C433" s="4" t="n"/>
      <c r="D433" s="4" t="n"/>
      <c r="E433" s="4" t="n"/>
      <c r="F433" s="7" t="n"/>
      <c r="G433" s="4" t="n"/>
      <c r="H433" s="4" t="n"/>
      <c r="I433" s="4" t="n"/>
      <c r="J433" s="4" t="n"/>
      <c r="K433" s="6">
        <f>IF(OR(I433="",J433=""),"",I433&amp;"-"&amp;J433)</f>
        <v/>
      </c>
      <c r="L433" s="6">
        <f>IF(OR(I433="",J433=""),"",IF(I433&gt;J433,"Gana",IF(I433=J433,"Empata","Pierde")))</f>
        <v/>
      </c>
      <c r="M433" s="4" t="n"/>
      <c r="N433" s="4" t="n"/>
      <c r="O433" s="6">
        <f>IF(OR(I433="",J433=""),"",I433+J433)</f>
        <v/>
      </c>
      <c r="P433" s="6">
        <f>IF(OR(I433="",J433=""),"",I433-J433)</f>
        <v/>
      </c>
      <c r="Q433" s="6">
        <f>IF(L433="","",IF(L433="Gana",3,IF(L433="Empata",1,0)))</f>
        <v/>
      </c>
      <c r="R433" s="6">
        <f>IF(L433="","",IF(L433="Pierde",3,IF(L433="Empata",1,0)))</f>
        <v/>
      </c>
      <c r="S433" s="4" t="n"/>
    </row>
    <row r="434">
      <c r="A434" s="4" t="n"/>
      <c r="B434" s="4" t="n"/>
      <c r="C434" s="4" t="n"/>
      <c r="D434" s="4" t="n"/>
      <c r="E434" s="4" t="n"/>
      <c r="F434" s="7" t="n"/>
      <c r="G434" s="4" t="n"/>
      <c r="H434" s="4" t="n"/>
      <c r="I434" s="4" t="n"/>
      <c r="J434" s="4" t="n"/>
      <c r="K434" s="6">
        <f>IF(OR(I434="",J434=""),"",I434&amp;"-"&amp;J434)</f>
        <v/>
      </c>
      <c r="L434" s="6">
        <f>IF(OR(I434="",J434=""),"",IF(I434&gt;J434,"Gana",IF(I434=J434,"Empata","Pierde")))</f>
        <v/>
      </c>
      <c r="M434" s="4" t="n"/>
      <c r="N434" s="4" t="n"/>
      <c r="O434" s="6">
        <f>IF(OR(I434="",J434=""),"",I434+J434)</f>
        <v/>
      </c>
      <c r="P434" s="6">
        <f>IF(OR(I434="",J434=""),"",I434-J434)</f>
        <v/>
      </c>
      <c r="Q434" s="6">
        <f>IF(L434="","",IF(L434="Gana",3,IF(L434="Empata",1,0)))</f>
        <v/>
      </c>
      <c r="R434" s="6">
        <f>IF(L434="","",IF(L434="Pierde",3,IF(L434="Empata",1,0)))</f>
        <v/>
      </c>
      <c r="S434" s="4" t="n"/>
    </row>
    <row r="435">
      <c r="A435" s="4" t="n"/>
      <c r="B435" s="4" t="n"/>
      <c r="C435" s="4" t="n"/>
      <c r="D435" s="4" t="n"/>
      <c r="E435" s="4" t="n"/>
      <c r="F435" s="7" t="n"/>
      <c r="G435" s="4" t="n"/>
      <c r="H435" s="4" t="n"/>
      <c r="I435" s="4" t="n"/>
      <c r="J435" s="4" t="n"/>
      <c r="K435" s="6">
        <f>IF(OR(I435="",J435=""),"",I435&amp;"-"&amp;J435)</f>
        <v/>
      </c>
      <c r="L435" s="6">
        <f>IF(OR(I435="",J435=""),"",IF(I435&gt;J435,"Gana",IF(I435=J435,"Empata","Pierde")))</f>
        <v/>
      </c>
      <c r="M435" s="4" t="n"/>
      <c r="N435" s="4" t="n"/>
      <c r="O435" s="6">
        <f>IF(OR(I435="",J435=""),"",I435+J435)</f>
        <v/>
      </c>
      <c r="P435" s="6">
        <f>IF(OR(I435="",J435=""),"",I435-J435)</f>
        <v/>
      </c>
      <c r="Q435" s="6">
        <f>IF(L435="","",IF(L435="Gana",3,IF(L435="Empata",1,0)))</f>
        <v/>
      </c>
      <c r="R435" s="6">
        <f>IF(L435="","",IF(L435="Pierde",3,IF(L435="Empata",1,0)))</f>
        <v/>
      </c>
      <c r="S435" s="4" t="n"/>
    </row>
    <row r="436">
      <c r="A436" s="4" t="n"/>
      <c r="B436" s="4" t="n"/>
      <c r="C436" s="4" t="n"/>
      <c r="D436" s="4" t="n"/>
      <c r="E436" s="4" t="n"/>
      <c r="F436" s="7" t="n"/>
      <c r="G436" s="4" t="n"/>
      <c r="H436" s="4" t="n"/>
      <c r="I436" s="4" t="n"/>
      <c r="J436" s="4" t="n"/>
      <c r="K436" s="6">
        <f>IF(OR(I436="",J436=""),"",I436&amp;"-"&amp;J436)</f>
        <v/>
      </c>
      <c r="L436" s="6">
        <f>IF(OR(I436="",J436=""),"",IF(I436&gt;J436,"Gana",IF(I436=J436,"Empata","Pierde")))</f>
        <v/>
      </c>
      <c r="M436" s="4" t="n"/>
      <c r="N436" s="4" t="n"/>
      <c r="O436" s="6">
        <f>IF(OR(I436="",J436=""),"",I436+J436)</f>
        <v/>
      </c>
      <c r="P436" s="6">
        <f>IF(OR(I436="",J436=""),"",I436-J436)</f>
        <v/>
      </c>
      <c r="Q436" s="6">
        <f>IF(L436="","",IF(L436="Gana",3,IF(L436="Empata",1,0)))</f>
        <v/>
      </c>
      <c r="R436" s="6">
        <f>IF(L436="","",IF(L436="Pierde",3,IF(L436="Empata",1,0)))</f>
        <v/>
      </c>
      <c r="S436" s="4" t="n"/>
    </row>
    <row r="437">
      <c r="A437" s="4" t="n"/>
      <c r="B437" s="4" t="n"/>
      <c r="C437" s="4" t="n"/>
      <c r="D437" s="4" t="n"/>
      <c r="E437" s="4" t="n"/>
      <c r="F437" s="7" t="n"/>
      <c r="G437" s="4" t="n"/>
      <c r="H437" s="4" t="n"/>
      <c r="I437" s="4" t="n"/>
      <c r="J437" s="4" t="n"/>
      <c r="K437" s="6">
        <f>IF(OR(I437="",J437=""),"",I437&amp;"-"&amp;J437)</f>
        <v/>
      </c>
      <c r="L437" s="6">
        <f>IF(OR(I437="",J437=""),"",IF(I437&gt;J437,"Gana",IF(I437=J437,"Empata","Pierde")))</f>
        <v/>
      </c>
      <c r="M437" s="4" t="n"/>
      <c r="N437" s="4" t="n"/>
      <c r="O437" s="6">
        <f>IF(OR(I437="",J437=""),"",I437+J437)</f>
        <v/>
      </c>
      <c r="P437" s="6">
        <f>IF(OR(I437="",J437=""),"",I437-J437)</f>
        <v/>
      </c>
      <c r="Q437" s="6">
        <f>IF(L437="","",IF(L437="Gana",3,IF(L437="Empata",1,0)))</f>
        <v/>
      </c>
      <c r="R437" s="6">
        <f>IF(L437="","",IF(L437="Pierde",3,IF(L437="Empata",1,0)))</f>
        <v/>
      </c>
      <c r="S437" s="4" t="n"/>
    </row>
    <row r="438">
      <c r="A438" s="4" t="n"/>
      <c r="B438" s="4" t="n"/>
      <c r="C438" s="4" t="n"/>
      <c r="D438" s="4" t="n"/>
      <c r="E438" s="4" t="n"/>
      <c r="F438" s="7" t="n"/>
      <c r="G438" s="4" t="n"/>
      <c r="H438" s="4" t="n"/>
      <c r="I438" s="4" t="n"/>
      <c r="J438" s="4" t="n"/>
      <c r="K438" s="6">
        <f>IF(OR(I438="",J438=""),"",I438&amp;"-"&amp;J438)</f>
        <v/>
      </c>
      <c r="L438" s="6">
        <f>IF(OR(I438="",J438=""),"",IF(I438&gt;J438,"Gana",IF(I438=J438,"Empata","Pierde")))</f>
        <v/>
      </c>
      <c r="M438" s="4" t="n"/>
      <c r="N438" s="4" t="n"/>
      <c r="O438" s="6">
        <f>IF(OR(I438="",J438=""),"",I438+J438)</f>
        <v/>
      </c>
      <c r="P438" s="6">
        <f>IF(OR(I438="",J438=""),"",I438-J438)</f>
        <v/>
      </c>
      <c r="Q438" s="6">
        <f>IF(L438="","",IF(L438="Gana",3,IF(L438="Empata",1,0)))</f>
        <v/>
      </c>
      <c r="R438" s="6">
        <f>IF(L438="","",IF(L438="Pierde",3,IF(L438="Empata",1,0)))</f>
        <v/>
      </c>
      <c r="S438" s="4" t="n"/>
    </row>
    <row r="439">
      <c r="A439" s="4" t="n"/>
      <c r="B439" s="4" t="n"/>
      <c r="C439" s="4" t="n"/>
      <c r="D439" s="4" t="n"/>
      <c r="E439" s="4" t="n"/>
      <c r="F439" s="7" t="n"/>
      <c r="G439" s="4" t="n"/>
      <c r="H439" s="4" t="n"/>
      <c r="I439" s="4" t="n"/>
      <c r="J439" s="4" t="n"/>
      <c r="K439" s="6">
        <f>IF(OR(I439="",J439=""),"",I439&amp;"-"&amp;J439)</f>
        <v/>
      </c>
      <c r="L439" s="6">
        <f>IF(OR(I439="",J439=""),"",IF(I439&gt;J439,"Gana",IF(I439=J439,"Empata","Pierde")))</f>
        <v/>
      </c>
      <c r="M439" s="4" t="n"/>
      <c r="N439" s="4" t="n"/>
      <c r="O439" s="6">
        <f>IF(OR(I439="",J439=""),"",I439+J439)</f>
        <v/>
      </c>
      <c r="P439" s="6">
        <f>IF(OR(I439="",J439=""),"",I439-J439)</f>
        <v/>
      </c>
      <c r="Q439" s="6">
        <f>IF(L439="","",IF(L439="Gana",3,IF(L439="Empata",1,0)))</f>
        <v/>
      </c>
      <c r="R439" s="6">
        <f>IF(L439="","",IF(L439="Pierde",3,IF(L439="Empata",1,0)))</f>
        <v/>
      </c>
      <c r="S439" s="4" t="n"/>
    </row>
    <row r="440">
      <c r="A440" s="4" t="n"/>
      <c r="B440" s="4" t="n"/>
      <c r="C440" s="4" t="n"/>
      <c r="D440" s="4" t="n"/>
      <c r="E440" s="4" t="n"/>
      <c r="F440" s="7" t="n"/>
      <c r="G440" s="4" t="n"/>
      <c r="H440" s="4" t="n"/>
      <c r="I440" s="4" t="n"/>
      <c r="J440" s="4" t="n"/>
      <c r="K440" s="6">
        <f>IF(OR(I440="",J440=""),"",I440&amp;"-"&amp;J440)</f>
        <v/>
      </c>
      <c r="L440" s="6">
        <f>IF(OR(I440="",J440=""),"",IF(I440&gt;J440,"Gana",IF(I440=J440,"Empata","Pierde")))</f>
        <v/>
      </c>
      <c r="M440" s="4" t="n"/>
      <c r="N440" s="4" t="n"/>
      <c r="O440" s="6">
        <f>IF(OR(I440="",J440=""),"",I440+J440)</f>
        <v/>
      </c>
      <c r="P440" s="6">
        <f>IF(OR(I440="",J440=""),"",I440-J440)</f>
        <v/>
      </c>
      <c r="Q440" s="6">
        <f>IF(L440="","",IF(L440="Gana",3,IF(L440="Empata",1,0)))</f>
        <v/>
      </c>
      <c r="R440" s="6">
        <f>IF(L440="","",IF(L440="Pierde",3,IF(L440="Empata",1,0)))</f>
        <v/>
      </c>
      <c r="S440" s="4" t="n"/>
    </row>
    <row r="441">
      <c r="A441" s="4" t="n"/>
      <c r="B441" s="4" t="n"/>
      <c r="C441" s="4" t="n"/>
      <c r="D441" s="4" t="n"/>
      <c r="E441" s="4" t="n"/>
      <c r="F441" s="7" t="n"/>
      <c r="G441" s="4" t="n"/>
      <c r="H441" s="4" t="n"/>
      <c r="I441" s="4" t="n"/>
      <c r="J441" s="4" t="n"/>
      <c r="K441" s="6">
        <f>IF(OR(I441="",J441=""),"",I441&amp;"-"&amp;J441)</f>
        <v/>
      </c>
      <c r="L441" s="6">
        <f>IF(OR(I441="",J441=""),"",IF(I441&gt;J441,"Gana",IF(I441=J441,"Empata","Pierde")))</f>
        <v/>
      </c>
      <c r="M441" s="4" t="n"/>
      <c r="N441" s="4" t="n"/>
      <c r="O441" s="6">
        <f>IF(OR(I441="",J441=""),"",I441+J441)</f>
        <v/>
      </c>
      <c r="P441" s="6">
        <f>IF(OR(I441="",J441=""),"",I441-J441)</f>
        <v/>
      </c>
      <c r="Q441" s="6">
        <f>IF(L441="","",IF(L441="Gana",3,IF(L441="Empata",1,0)))</f>
        <v/>
      </c>
      <c r="R441" s="6">
        <f>IF(L441="","",IF(L441="Pierde",3,IF(L441="Empata",1,0)))</f>
        <v/>
      </c>
      <c r="S441" s="4" t="n"/>
    </row>
    <row r="442">
      <c r="A442" s="4" t="n"/>
      <c r="B442" s="4" t="n"/>
      <c r="C442" s="4" t="n"/>
      <c r="D442" s="4" t="n"/>
      <c r="E442" s="4" t="n"/>
      <c r="F442" s="7" t="n"/>
      <c r="G442" s="4" t="n"/>
      <c r="H442" s="4" t="n"/>
      <c r="I442" s="4" t="n"/>
      <c r="J442" s="4" t="n"/>
      <c r="K442" s="6">
        <f>IF(OR(I442="",J442=""),"",I442&amp;"-"&amp;J442)</f>
        <v/>
      </c>
      <c r="L442" s="6">
        <f>IF(OR(I442="",J442=""),"",IF(I442&gt;J442,"Gana",IF(I442=J442,"Empata","Pierde")))</f>
        <v/>
      </c>
      <c r="M442" s="4" t="n"/>
      <c r="N442" s="4" t="n"/>
      <c r="O442" s="6">
        <f>IF(OR(I442="",J442=""),"",I442+J442)</f>
        <v/>
      </c>
      <c r="P442" s="6">
        <f>IF(OR(I442="",J442=""),"",I442-J442)</f>
        <v/>
      </c>
      <c r="Q442" s="6">
        <f>IF(L442="","",IF(L442="Gana",3,IF(L442="Empata",1,0)))</f>
        <v/>
      </c>
      <c r="R442" s="6">
        <f>IF(L442="","",IF(L442="Pierde",3,IF(L442="Empata",1,0)))</f>
        <v/>
      </c>
      <c r="S442" s="4" t="n"/>
    </row>
    <row r="443">
      <c r="A443" s="4" t="n"/>
      <c r="B443" s="4" t="n"/>
      <c r="C443" s="4" t="n"/>
      <c r="D443" s="4" t="n"/>
      <c r="E443" s="4" t="n"/>
      <c r="F443" s="7" t="n"/>
      <c r="G443" s="4" t="n"/>
      <c r="H443" s="4" t="n"/>
      <c r="I443" s="4" t="n"/>
      <c r="J443" s="4" t="n"/>
      <c r="K443" s="6">
        <f>IF(OR(I443="",J443=""),"",I443&amp;"-"&amp;J443)</f>
        <v/>
      </c>
      <c r="L443" s="6">
        <f>IF(OR(I443="",J443=""),"",IF(I443&gt;J443,"Gana",IF(I443=J443,"Empata","Pierde")))</f>
        <v/>
      </c>
      <c r="M443" s="4" t="n"/>
      <c r="N443" s="4" t="n"/>
      <c r="O443" s="6">
        <f>IF(OR(I443="",J443=""),"",I443+J443)</f>
        <v/>
      </c>
      <c r="P443" s="6">
        <f>IF(OR(I443="",J443=""),"",I443-J443)</f>
        <v/>
      </c>
      <c r="Q443" s="6">
        <f>IF(L443="","",IF(L443="Gana",3,IF(L443="Empata",1,0)))</f>
        <v/>
      </c>
      <c r="R443" s="6">
        <f>IF(L443="","",IF(L443="Pierde",3,IF(L443="Empata",1,0)))</f>
        <v/>
      </c>
      <c r="S443" s="4" t="n"/>
    </row>
    <row r="444">
      <c r="A444" s="4" t="n"/>
      <c r="B444" s="4" t="n"/>
      <c r="C444" s="4" t="n"/>
      <c r="D444" s="4" t="n"/>
      <c r="E444" s="4" t="n"/>
      <c r="F444" s="7" t="n"/>
      <c r="G444" s="4" t="n"/>
      <c r="H444" s="4" t="n"/>
      <c r="I444" s="4" t="n"/>
      <c r="J444" s="4" t="n"/>
      <c r="K444" s="6">
        <f>IF(OR(I444="",J444=""),"",I444&amp;"-"&amp;J444)</f>
        <v/>
      </c>
      <c r="L444" s="6">
        <f>IF(OR(I444="",J444=""),"",IF(I444&gt;J444,"Gana",IF(I444=J444,"Empata","Pierde")))</f>
        <v/>
      </c>
      <c r="M444" s="4" t="n"/>
      <c r="N444" s="4" t="n"/>
      <c r="O444" s="6">
        <f>IF(OR(I444="",J444=""),"",I444+J444)</f>
        <v/>
      </c>
      <c r="P444" s="6">
        <f>IF(OR(I444="",J444=""),"",I444-J444)</f>
        <v/>
      </c>
      <c r="Q444" s="6">
        <f>IF(L444="","",IF(L444="Gana",3,IF(L444="Empata",1,0)))</f>
        <v/>
      </c>
      <c r="R444" s="6">
        <f>IF(L444="","",IF(L444="Pierde",3,IF(L444="Empata",1,0)))</f>
        <v/>
      </c>
      <c r="S444" s="4" t="n"/>
    </row>
    <row r="445">
      <c r="A445" s="4" t="n"/>
      <c r="B445" s="4" t="n"/>
      <c r="C445" s="4" t="n"/>
      <c r="D445" s="4" t="n"/>
      <c r="E445" s="4" t="n"/>
      <c r="F445" s="7" t="n"/>
      <c r="G445" s="4" t="n"/>
      <c r="H445" s="4" t="n"/>
      <c r="I445" s="4" t="n"/>
      <c r="J445" s="4" t="n"/>
      <c r="K445" s="6">
        <f>IF(OR(I445="",J445=""),"",I445&amp;"-"&amp;J445)</f>
        <v/>
      </c>
      <c r="L445" s="6">
        <f>IF(OR(I445="",J445=""),"",IF(I445&gt;J445,"Gana",IF(I445=J445,"Empata","Pierde")))</f>
        <v/>
      </c>
      <c r="M445" s="4" t="n"/>
      <c r="N445" s="4" t="n"/>
      <c r="O445" s="6">
        <f>IF(OR(I445="",J445=""),"",I445+J445)</f>
        <v/>
      </c>
      <c r="P445" s="6">
        <f>IF(OR(I445="",J445=""),"",I445-J445)</f>
        <v/>
      </c>
      <c r="Q445" s="6">
        <f>IF(L445="","",IF(L445="Gana",3,IF(L445="Empata",1,0)))</f>
        <v/>
      </c>
      <c r="R445" s="6">
        <f>IF(L445="","",IF(L445="Pierde",3,IF(L445="Empata",1,0)))</f>
        <v/>
      </c>
      <c r="S445" s="4" t="n"/>
    </row>
    <row r="446">
      <c r="A446" s="4" t="n"/>
      <c r="B446" s="4" t="n"/>
      <c r="C446" s="4" t="n"/>
      <c r="D446" s="4" t="n"/>
      <c r="E446" s="4" t="n"/>
      <c r="F446" s="7" t="n"/>
      <c r="G446" s="4" t="n"/>
      <c r="H446" s="4" t="n"/>
      <c r="I446" s="4" t="n"/>
      <c r="J446" s="4" t="n"/>
      <c r="K446" s="6">
        <f>IF(OR(I446="",J446=""),"",I446&amp;"-"&amp;J446)</f>
        <v/>
      </c>
      <c r="L446" s="6">
        <f>IF(OR(I446="",J446=""),"",IF(I446&gt;J446,"Gana",IF(I446=J446,"Empata","Pierde")))</f>
        <v/>
      </c>
      <c r="M446" s="4" t="n"/>
      <c r="N446" s="4" t="n"/>
      <c r="O446" s="6">
        <f>IF(OR(I446="",J446=""),"",I446+J446)</f>
        <v/>
      </c>
      <c r="P446" s="6">
        <f>IF(OR(I446="",J446=""),"",I446-J446)</f>
        <v/>
      </c>
      <c r="Q446" s="6">
        <f>IF(L446="","",IF(L446="Gana",3,IF(L446="Empata",1,0)))</f>
        <v/>
      </c>
      <c r="R446" s="6">
        <f>IF(L446="","",IF(L446="Pierde",3,IF(L446="Empata",1,0)))</f>
        <v/>
      </c>
      <c r="S446" s="4" t="n"/>
    </row>
    <row r="447">
      <c r="A447" s="4" t="n"/>
      <c r="B447" s="4" t="n"/>
      <c r="C447" s="4" t="n"/>
      <c r="D447" s="4" t="n"/>
      <c r="E447" s="4" t="n"/>
      <c r="F447" s="7" t="n"/>
      <c r="G447" s="4" t="n"/>
      <c r="H447" s="4" t="n"/>
      <c r="I447" s="4" t="n"/>
      <c r="J447" s="4" t="n"/>
      <c r="K447" s="6">
        <f>IF(OR(I447="",J447=""),"",I447&amp;"-"&amp;J447)</f>
        <v/>
      </c>
      <c r="L447" s="6">
        <f>IF(OR(I447="",J447=""),"",IF(I447&gt;J447,"Gana",IF(I447=J447,"Empata","Pierde")))</f>
        <v/>
      </c>
      <c r="M447" s="4" t="n"/>
      <c r="N447" s="4" t="n"/>
      <c r="O447" s="6">
        <f>IF(OR(I447="",J447=""),"",I447+J447)</f>
        <v/>
      </c>
      <c r="P447" s="6">
        <f>IF(OR(I447="",J447=""),"",I447-J447)</f>
        <v/>
      </c>
      <c r="Q447" s="6">
        <f>IF(L447="","",IF(L447="Gana",3,IF(L447="Empata",1,0)))</f>
        <v/>
      </c>
      <c r="R447" s="6">
        <f>IF(L447="","",IF(L447="Pierde",3,IF(L447="Empata",1,0)))</f>
        <v/>
      </c>
      <c r="S447" s="4" t="n"/>
    </row>
    <row r="448">
      <c r="A448" s="4" t="n"/>
      <c r="B448" s="4" t="n"/>
      <c r="C448" s="4" t="n"/>
      <c r="D448" s="4" t="n"/>
      <c r="E448" s="4" t="n"/>
      <c r="F448" s="7" t="n"/>
      <c r="G448" s="4" t="n"/>
      <c r="H448" s="4" t="n"/>
      <c r="I448" s="4" t="n"/>
      <c r="J448" s="4" t="n"/>
      <c r="K448" s="6">
        <f>IF(OR(I448="",J448=""),"",I448&amp;"-"&amp;J448)</f>
        <v/>
      </c>
      <c r="L448" s="6">
        <f>IF(OR(I448="",J448=""),"",IF(I448&gt;J448,"Gana",IF(I448=J448,"Empata","Pierde")))</f>
        <v/>
      </c>
      <c r="M448" s="4" t="n"/>
      <c r="N448" s="4" t="n"/>
      <c r="O448" s="6">
        <f>IF(OR(I448="",J448=""),"",I448+J448)</f>
        <v/>
      </c>
      <c r="P448" s="6">
        <f>IF(OR(I448="",J448=""),"",I448-J448)</f>
        <v/>
      </c>
      <c r="Q448" s="6">
        <f>IF(L448="","",IF(L448="Gana",3,IF(L448="Empata",1,0)))</f>
        <v/>
      </c>
      <c r="R448" s="6">
        <f>IF(L448="","",IF(L448="Pierde",3,IF(L448="Empata",1,0)))</f>
        <v/>
      </c>
      <c r="S448" s="4" t="n"/>
    </row>
    <row r="449">
      <c r="A449" s="4" t="n"/>
      <c r="B449" s="4" t="n"/>
      <c r="C449" s="4" t="n"/>
      <c r="D449" s="4" t="n"/>
      <c r="E449" s="4" t="n"/>
      <c r="F449" s="7" t="n"/>
      <c r="G449" s="4" t="n"/>
      <c r="H449" s="4" t="n"/>
      <c r="I449" s="4" t="n"/>
      <c r="J449" s="4" t="n"/>
      <c r="K449" s="6">
        <f>IF(OR(I449="",J449=""),"",I449&amp;"-"&amp;J449)</f>
        <v/>
      </c>
      <c r="L449" s="6">
        <f>IF(OR(I449="",J449=""),"",IF(I449&gt;J449,"Gana",IF(I449=J449,"Empata","Pierde")))</f>
        <v/>
      </c>
      <c r="M449" s="4" t="n"/>
      <c r="N449" s="4" t="n"/>
      <c r="O449" s="6">
        <f>IF(OR(I449="",J449=""),"",I449+J449)</f>
        <v/>
      </c>
      <c r="P449" s="6">
        <f>IF(OR(I449="",J449=""),"",I449-J449)</f>
        <v/>
      </c>
      <c r="Q449" s="6">
        <f>IF(L449="","",IF(L449="Gana",3,IF(L449="Empata",1,0)))</f>
        <v/>
      </c>
      <c r="R449" s="6">
        <f>IF(L449="","",IF(L449="Pierde",3,IF(L449="Empata",1,0)))</f>
        <v/>
      </c>
      <c r="S449" s="4" t="n"/>
    </row>
    <row r="450">
      <c r="A450" s="4" t="n"/>
      <c r="B450" s="4" t="n"/>
      <c r="C450" s="4" t="n"/>
      <c r="D450" s="4" t="n"/>
      <c r="E450" s="4" t="n"/>
      <c r="F450" s="7" t="n"/>
      <c r="G450" s="4" t="n"/>
      <c r="H450" s="4" t="n"/>
      <c r="I450" s="4" t="n"/>
      <c r="J450" s="4" t="n"/>
      <c r="K450" s="6">
        <f>IF(OR(I450="",J450=""),"",I450&amp;"-"&amp;J450)</f>
        <v/>
      </c>
      <c r="L450" s="6">
        <f>IF(OR(I450="",J450=""),"",IF(I450&gt;J450,"Gana",IF(I450=J450,"Empata","Pierde")))</f>
        <v/>
      </c>
      <c r="M450" s="4" t="n"/>
      <c r="N450" s="4" t="n"/>
      <c r="O450" s="6">
        <f>IF(OR(I450="",J450=""),"",I450+J450)</f>
        <v/>
      </c>
      <c r="P450" s="6">
        <f>IF(OR(I450="",J450=""),"",I450-J450)</f>
        <v/>
      </c>
      <c r="Q450" s="6">
        <f>IF(L450="","",IF(L450="Gana",3,IF(L450="Empata",1,0)))</f>
        <v/>
      </c>
      <c r="R450" s="6">
        <f>IF(L450="","",IF(L450="Pierde",3,IF(L450="Empata",1,0)))</f>
        <v/>
      </c>
      <c r="S450" s="4" t="n"/>
    </row>
    <row r="451">
      <c r="A451" s="4" t="n"/>
      <c r="B451" s="4" t="n"/>
      <c r="C451" s="4" t="n"/>
      <c r="D451" s="4" t="n"/>
      <c r="E451" s="4" t="n"/>
      <c r="F451" s="7" t="n"/>
      <c r="G451" s="4" t="n"/>
      <c r="H451" s="4" t="n"/>
      <c r="I451" s="4" t="n"/>
      <c r="J451" s="4" t="n"/>
      <c r="K451" s="6">
        <f>IF(OR(I451="",J451=""),"",I451&amp;"-"&amp;J451)</f>
        <v/>
      </c>
      <c r="L451" s="6">
        <f>IF(OR(I451="",J451=""),"",IF(I451&gt;J451,"Gana",IF(I451=J451,"Empata","Pierde")))</f>
        <v/>
      </c>
      <c r="M451" s="4" t="n"/>
      <c r="N451" s="4" t="n"/>
      <c r="O451" s="6">
        <f>IF(OR(I451="",J451=""),"",I451+J451)</f>
        <v/>
      </c>
      <c r="P451" s="6">
        <f>IF(OR(I451="",J451=""),"",I451-J451)</f>
        <v/>
      </c>
      <c r="Q451" s="6">
        <f>IF(L451="","",IF(L451="Gana",3,IF(L451="Empata",1,0)))</f>
        <v/>
      </c>
      <c r="R451" s="6">
        <f>IF(L451="","",IF(L451="Pierde",3,IF(L451="Empata",1,0)))</f>
        <v/>
      </c>
      <c r="S451" s="4" t="n"/>
    </row>
    <row r="452">
      <c r="A452" s="4" t="n"/>
      <c r="B452" s="4" t="n"/>
      <c r="C452" s="4" t="n"/>
      <c r="D452" s="4" t="n"/>
      <c r="E452" s="4" t="n"/>
      <c r="F452" s="7" t="n"/>
      <c r="G452" s="4" t="n"/>
      <c r="H452" s="4" t="n"/>
      <c r="I452" s="4" t="n"/>
      <c r="J452" s="4" t="n"/>
      <c r="K452" s="6">
        <f>IF(OR(I452="",J452=""),"",I452&amp;"-"&amp;J452)</f>
        <v/>
      </c>
      <c r="L452" s="6">
        <f>IF(OR(I452="",J452=""),"",IF(I452&gt;J452,"Gana",IF(I452=J452,"Empata","Pierde")))</f>
        <v/>
      </c>
      <c r="M452" s="4" t="n"/>
      <c r="N452" s="4" t="n"/>
      <c r="O452" s="6">
        <f>IF(OR(I452="",J452=""),"",I452+J452)</f>
        <v/>
      </c>
      <c r="P452" s="6">
        <f>IF(OR(I452="",J452=""),"",I452-J452)</f>
        <v/>
      </c>
      <c r="Q452" s="6">
        <f>IF(L452="","",IF(L452="Gana",3,IF(L452="Empata",1,0)))</f>
        <v/>
      </c>
      <c r="R452" s="6">
        <f>IF(L452="","",IF(L452="Pierde",3,IF(L452="Empata",1,0)))</f>
        <v/>
      </c>
      <c r="S452" s="4" t="n"/>
    </row>
    <row r="453">
      <c r="A453" s="4" t="n"/>
      <c r="B453" s="4" t="n"/>
      <c r="C453" s="4" t="n"/>
      <c r="D453" s="4" t="n"/>
      <c r="E453" s="4" t="n"/>
      <c r="F453" s="7" t="n"/>
      <c r="G453" s="4" t="n"/>
      <c r="H453" s="4" t="n"/>
      <c r="I453" s="4" t="n"/>
      <c r="J453" s="4" t="n"/>
      <c r="K453" s="6">
        <f>IF(OR(I453="",J453=""),"",I453&amp;"-"&amp;J453)</f>
        <v/>
      </c>
      <c r="L453" s="6">
        <f>IF(OR(I453="",J453=""),"",IF(I453&gt;J453,"Gana",IF(I453=J453,"Empata","Pierde")))</f>
        <v/>
      </c>
      <c r="M453" s="4" t="n"/>
      <c r="N453" s="4" t="n"/>
      <c r="O453" s="6">
        <f>IF(OR(I453="",J453=""),"",I453+J453)</f>
        <v/>
      </c>
      <c r="P453" s="6">
        <f>IF(OR(I453="",J453=""),"",I453-J453)</f>
        <v/>
      </c>
      <c r="Q453" s="6">
        <f>IF(L453="","",IF(L453="Gana",3,IF(L453="Empata",1,0)))</f>
        <v/>
      </c>
      <c r="R453" s="6">
        <f>IF(L453="","",IF(L453="Pierde",3,IF(L453="Empata",1,0)))</f>
        <v/>
      </c>
      <c r="S453" s="4" t="n"/>
    </row>
    <row r="454">
      <c r="A454" s="4" t="n"/>
      <c r="B454" s="4" t="n"/>
      <c r="C454" s="4" t="n"/>
      <c r="D454" s="4" t="n"/>
      <c r="E454" s="4" t="n"/>
      <c r="F454" s="7" t="n"/>
      <c r="G454" s="4" t="n"/>
      <c r="H454" s="4" t="n"/>
      <c r="I454" s="4" t="n"/>
      <c r="J454" s="4" t="n"/>
      <c r="K454" s="6">
        <f>IF(OR(I454="",J454=""),"",I454&amp;"-"&amp;J454)</f>
        <v/>
      </c>
      <c r="L454" s="6">
        <f>IF(OR(I454="",J454=""),"",IF(I454&gt;J454,"Gana",IF(I454=J454,"Empata","Pierde")))</f>
        <v/>
      </c>
      <c r="M454" s="4" t="n"/>
      <c r="N454" s="4" t="n"/>
      <c r="O454" s="6">
        <f>IF(OR(I454="",J454=""),"",I454+J454)</f>
        <v/>
      </c>
      <c r="P454" s="6">
        <f>IF(OR(I454="",J454=""),"",I454-J454)</f>
        <v/>
      </c>
      <c r="Q454" s="6">
        <f>IF(L454="","",IF(L454="Gana",3,IF(L454="Empata",1,0)))</f>
        <v/>
      </c>
      <c r="R454" s="6">
        <f>IF(L454="","",IF(L454="Pierde",3,IF(L454="Empata",1,0)))</f>
        <v/>
      </c>
      <c r="S454" s="4" t="n"/>
    </row>
    <row r="455">
      <c r="A455" s="4" t="n"/>
      <c r="B455" s="4" t="n"/>
      <c r="C455" s="4" t="n"/>
      <c r="D455" s="4" t="n"/>
      <c r="E455" s="4" t="n"/>
      <c r="F455" s="7" t="n"/>
      <c r="G455" s="4" t="n"/>
      <c r="H455" s="4" t="n"/>
      <c r="I455" s="4" t="n"/>
      <c r="J455" s="4" t="n"/>
      <c r="K455" s="6">
        <f>IF(OR(I455="",J455=""),"",I455&amp;"-"&amp;J455)</f>
        <v/>
      </c>
      <c r="L455" s="6">
        <f>IF(OR(I455="",J455=""),"",IF(I455&gt;J455,"Gana",IF(I455=J455,"Empata","Pierde")))</f>
        <v/>
      </c>
      <c r="M455" s="4" t="n"/>
      <c r="N455" s="4" t="n"/>
      <c r="O455" s="6">
        <f>IF(OR(I455="",J455=""),"",I455+J455)</f>
        <v/>
      </c>
      <c r="P455" s="6">
        <f>IF(OR(I455="",J455=""),"",I455-J455)</f>
        <v/>
      </c>
      <c r="Q455" s="6">
        <f>IF(L455="","",IF(L455="Gana",3,IF(L455="Empata",1,0)))</f>
        <v/>
      </c>
      <c r="R455" s="6">
        <f>IF(L455="","",IF(L455="Pierde",3,IF(L455="Empata",1,0)))</f>
        <v/>
      </c>
      <c r="S455" s="4" t="n"/>
    </row>
    <row r="456">
      <c r="A456" s="4" t="n"/>
      <c r="B456" s="4" t="n"/>
      <c r="C456" s="4" t="n"/>
      <c r="D456" s="4" t="n"/>
      <c r="E456" s="4" t="n"/>
      <c r="F456" s="7" t="n"/>
      <c r="G456" s="4" t="n"/>
      <c r="H456" s="4" t="n"/>
      <c r="I456" s="4" t="n"/>
      <c r="J456" s="4" t="n"/>
      <c r="K456" s="6">
        <f>IF(OR(I456="",J456=""),"",I456&amp;"-"&amp;J456)</f>
        <v/>
      </c>
      <c r="L456" s="6">
        <f>IF(OR(I456="",J456=""),"",IF(I456&gt;J456,"Gana",IF(I456=J456,"Empata","Pierde")))</f>
        <v/>
      </c>
      <c r="M456" s="4" t="n"/>
      <c r="N456" s="4" t="n"/>
      <c r="O456" s="6">
        <f>IF(OR(I456="",J456=""),"",I456+J456)</f>
        <v/>
      </c>
      <c r="P456" s="6">
        <f>IF(OR(I456="",J456=""),"",I456-J456)</f>
        <v/>
      </c>
      <c r="Q456" s="6">
        <f>IF(L456="","",IF(L456="Gana",3,IF(L456="Empata",1,0)))</f>
        <v/>
      </c>
      <c r="R456" s="6">
        <f>IF(L456="","",IF(L456="Pierde",3,IF(L456="Empata",1,0)))</f>
        <v/>
      </c>
      <c r="S456" s="4" t="n"/>
    </row>
    <row r="457">
      <c r="A457" s="4" t="n"/>
      <c r="B457" s="4" t="n"/>
      <c r="C457" s="4" t="n"/>
      <c r="D457" s="4" t="n"/>
      <c r="E457" s="4" t="n"/>
      <c r="F457" s="7" t="n"/>
      <c r="G457" s="4" t="n"/>
      <c r="H457" s="4" t="n"/>
      <c r="I457" s="4" t="n"/>
      <c r="J457" s="4" t="n"/>
      <c r="K457" s="6">
        <f>IF(OR(I457="",J457=""),"",I457&amp;"-"&amp;J457)</f>
        <v/>
      </c>
      <c r="L457" s="6">
        <f>IF(OR(I457="",J457=""),"",IF(I457&gt;J457,"Gana",IF(I457=J457,"Empata","Pierde")))</f>
        <v/>
      </c>
      <c r="M457" s="4" t="n"/>
      <c r="N457" s="4" t="n"/>
      <c r="O457" s="6">
        <f>IF(OR(I457="",J457=""),"",I457+J457)</f>
        <v/>
      </c>
      <c r="P457" s="6">
        <f>IF(OR(I457="",J457=""),"",I457-J457)</f>
        <v/>
      </c>
      <c r="Q457" s="6">
        <f>IF(L457="","",IF(L457="Gana",3,IF(L457="Empata",1,0)))</f>
        <v/>
      </c>
      <c r="R457" s="6">
        <f>IF(L457="","",IF(L457="Pierde",3,IF(L457="Empata",1,0)))</f>
        <v/>
      </c>
      <c r="S457" s="4" t="n"/>
    </row>
    <row r="458">
      <c r="A458" s="4" t="n"/>
      <c r="B458" s="4" t="n"/>
      <c r="C458" s="4" t="n"/>
      <c r="D458" s="4" t="n"/>
      <c r="E458" s="4" t="n"/>
      <c r="F458" s="7" t="n"/>
      <c r="G458" s="4" t="n"/>
      <c r="H458" s="4" t="n"/>
      <c r="I458" s="4" t="n"/>
      <c r="J458" s="4" t="n"/>
      <c r="K458" s="6">
        <f>IF(OR(I458="",J458=""),"",I458&amp;"-"&amp;J458)</f>
        <v/>
      </c>
      <c r="L458" s="6">
        <f>IF(OR(I458="",J458=""),"",IF(I458&gt;J458,"Gana",IF(I458=J458,"Empata","Pierde")))</f>
        <v/>
      </c>
      <c r="M458" s="4" t="n"/>
      <c r="N458" s="4" t="n"/>
      <c r="O458" s="6">
        <f>IF(OR(I458="",J458=""),"",I458+J458)</f>
        <v/>
      </c>
      <c r="P458" s="6">
        <f>IF(OR(I458="",J458=""),"",I458-J458)</f>
        <v/>
      </c>
      <c r="Q458" s="6">
        <f>IF(L458="","",IF(L458="Gana",3,IF(L458="Empata",1,0)))</f>
        <v/>
      </c>
      <c r="R458" s="6">
        <f>IF(L458="","",IF(L458="Pierde",3,IF(L458="Empata",1,0)))</f>
        <v/>
      </c>
      <c r="S458" s="4" t="n"/>
    </row>
    <row r="459">
      <c r="A459" s="4" t="n"/>
      <c r="B459" s="4" t="n"/>
      <c r="C459" s="4" t="n"/>
      <c r="D459" s="4" t="n"/>
      <c r="E459" s="4" t="n"/>
      <c r="F459" s="7" t="n"/>
      <c r="G459" s="4" t="n"/>
      <c r="H459" s="4" t="n"/>
      <c r="I459" s="4" t="n"/>
      <c r="J459" s="4" t="n"/>
      <c r="K459" s="6">
        <f>IF(OR(I459="",J459=""),"",I459&amp;"-"&amp;J459)</f>
        <v/>
      </c>
      <c r="L459" s="6">
        <f>IF(OR(I459="",J459=""),"",IF(I459&gt;J459,"Gana",IF(I459=J459,"Empata","Pierde")))</f>
        <v/>
      </c>
      <c r="M459" s="4" t="n"/>
      <c r="N459" s="4" t="n"/>
      <c r="O459" s="6">
        <f>IF(OR(I459="",J459=""),"",I459+J459)</f>
        <v/>
      </c>
      <c r="P459" s="6">
        <f>IF(OR(I459="",J459=""),"",I459-J459)</f>
        <v/>
      </c>
      <c r="Q459" s="6">
        <f>IF(L459="","",IF(L459="Gana",3,IF(L459="Empata",1,0)))</f>
        <v/>
      </c>
      <c r="R459" s="6">
        <f>IF(L459="","",IF(L459="Pierde",3,IF(L459="Empata",1,0)))</f>
        <v/>
      </c>
      <c r="S459" s="4" t="n"/>
    </row>
    <row r="460">
      <c r="A460" s="4" t="n"/>
      <c r="B460" s="4" t="n"/>
      <c r="C460" s="4" t="n"/>
      <c r="D460" s="4" t="n"/>
      <c r="E460" s="4" t="n"/>
      <c r="F460" s="7" t="n"/>
      <c r="G460" s="4" t="n"/>
      <c r="H460" s="4" t="n"/>
      <c r="I460" s="4" t="n"/>
      <c r="J460" s="4" t="n"/>
      <c r="K460" s="6">
        <f>IF(OR(I460="",J460=""),"",I460&amp;"-"&amp;J460)</f>
        <v/>
      </c>
      <c r="L460" s="6">
        <f>IF(OR(I460="",J460=""),"",IF(I460&gt;J460,"Gana",IF(I460=J460,"Empata","Pierde")))</f>
        <v/>
      </c>
      <c r="M460" s="4" t="n"/>
      <c r="N460" s="4" t="n"/>
      <c r="O460" s="6">
        <f>IF(OR(I460="",J460=""),"",I460+J460)</f>
        <v/>
      </c>
      <c r="P460" s="6">
        <f>IF(OR(I460="",J460=""),"",I460-J460)</f>
        <v/>
      </c>
      <c r="Q460" s="6">
        <f>IF(L460="","",IF(L460="Gana",3,IF(L460="Empata",1,0)))</f>
        <v/>
      </c>
      <c r="R460" s="6">
        <f>IF(L460="","",IF(L460="Pierde",3,IF(L460="Empata",1,0)))</f>
        <v/>
      </c>
      <c r="S460" s="4" t="n"/>
    </row>
    <row r="461">
      <c r="A461" s="4" t="n"/>
      <c r="B461" s="4" t="n"/>
      <c r="C461" s="4" t="n"/>
      <c r="D461" s="4" t="n"/>
      <c r="E461" s="4" t="n"/>
      <c r="F461" s="7" t="n"/>
      <c r="G461" s="4" t="n"/>
      <c r="H461" s="4" t="n"/>
      <c r="I461" s="4" t="n"/>
      <c r="J461" s="4" t="n"/>
      <c r="K461" s="6">
        <f>IF(OR(I461="",J461=""),"",I461&amp;"-"&amp;J461)</f>
        <v/>
      </c>
      <c r="L461" s="6">
        <f>IF(OR(I461="",J461=""),"",IF(I461&gt;J461,"Gana",IF(I461=J461,"Empata","Pierde")))</f>
        <v/>
      </c>
      <c r="M461" s="4" t="n"/>
      <c r="N461" s="4" t="n"/>
      <c r="O461" s="6">
        <f>IF(OR(I461="",J461=""),"",I461+J461)</f>
        <v/>
      </c>
      <c r="P461" s="6">
        <f>IF(OR(I461="",J461=""),"",I461-J461)</f>
        <v/>
      </c>
      <c r="Q461" s="6">
        <f>IF(L461="","",IF(L461="Gana",3,IF(L461="Empata",1,0)))</f>
        <v/>
      </c>
      <c r="R461" s="6">
        <f>IF(L461="","",IF(L461="Pierde",3,IF(L461="Empata",1,0)))</f>
        <v/>
      </c>
      <c r="S461" s="4" t="n"/>
    </row>
    <row r="462">
      <c r="A462" s="4" t="n"/>
      <c r="B462" s="4" t="n"/>
      <c r="C462" s="4" t="n"/>
      <c r="D462" s="4" t="n"/>
      <c r="E462" s="4" t="n"/>
      <c r="F462" s="7" t="n"/>
      <c r="G462" s="4" t="n"/>
      <c r="H462" s="4" t="n"/>
      <c r="I462" s="4" t="n"/>
      <c r="J462" s="4" t="n"/>
      <c r="K462" s="6">
        <f>IF(OR(I462="",J462=""),"",I462&amp;"-"&amp;J462)</f>
        <v/>
      </c>
      <c r="L462" s="6">
        <f>IF(OR(I462="",J462=""),"",IF(I462&gt;J462,"Gana",IF(I462=J462,"Empata","Pierde")))</f>
        <v/>
      </c>
      <c r="M462" s="4" t="n"/>
      <c r="N462" s="4" t="n"/>
      <c r="O462" s="6">
        <f>IF(OR(I462="",J462=""),"",I462+J462)</f>
        <v/>
      </c>
      <c r="P462" s="6">
        <f>IF(OR(I462="",J462=""),"",I462-J462)</f>
        <v/>
      </c>
      <c r="Q462" s="6">
        <f>IF(L462="","",IF(L462="Gana",3,IF(L462="Empata",1,0)))</f>
        <v/>
      </c>
      <c r="R462" s="6">
        <f>IF(L462="","",IF(L462="Pierde",3,IF(L462="Empata",1,0)))</f>
        <v/>
      </c>
      <c r="S462" s="4" t="n"/>
    </row>
    <row r="463">
      <c r="A463" s="4" t="n"/>
      <c r="B463" s="4" t="n"/>
      <c r="C463" s="4" t="n"/>
      <c r="D463" s="4" t="n"/>
      <c r="E463" s="4" t="n"/>
      <c r="F463" s="7" t="n"/>
      <c r="G463" s="4" t="n"/>
      <c r="H463" s="4" t="n"/>
      <c r="I463" s="4" t="n"/>
      <c r="J463" s="4" t="n"/>
      <c r="K463" s="6">
        <f>IF(OR(I463="",J463=""),"",I463&amp;"-"&amp;J463)</f>
        <v/>
      </c>
      <c r="L463" s="6">
        <f>IF(OR(I463="",J463=""),"",IF(I463&gt;J463,"Gana",IF(I463=J463,"Empata","Pierde")))</f>
        <v/>
      </c>
      <c r="M463" s="4" t="n"/>
      <c r="N463" s="4" t="n"/>
      <c r="O463" s="6">
        <f>IF(OR(I463="",J463=""),"",I463+J463)</f>
        <v/>
      </c>
      <c r="P463" s="6">
        <f>IF(OR(I463="",J463=""),"",I463-J463)</f>
        <v/>
      </c>
      <c r="Q463" s="6">
        <f>IF(L463="","",IF(L463="Gana",3,IF(L463="Empata",1,0)))</f>
        <v/>
      </c>
      <c r="R463" s="6">
        <f>IF(L463="","",IF(L463="Pierde",3,IF(L463="Empata",1,0)))</f>
        <v/>
      </c>
      <c r="S463" s="4" t="n"/>
    </row>
    <row r="464">
      <c r="A464" s="4" t="n"/>
      <c r="B464" s="4" t="n"/>
      <c r="C464" s="4" t="n"/>
      <c r="D464" s="4" t="n"/>
      <c r="E464" s="4" t="n"/>
      <c r="F464" s="7" t="n"/>
      <c r="G464" s="4" t="n"/>
      <c r="H464" s="4" t="n"/>
      <c r="I464" s="4" t="n"/>
      <c r="J464" s="4" t="n"/>
      <c r="K464" s="6">
        <f>IF(OR(I464="",J464=""),"",I464&amp;"-"&amp;J464)</f>
        <v/>
      </c>
      <c r="L464" s="6">
        <f>IF(OR(I464="",J464=""),"",IF(I464&gt;J464,"Gana",IF(I464=J464,"Empata","Pierde")))</f>
        <v/>
      </c>
      <c r="M464" s="4" t="n"/>
      <c r="N464" s="4" t="n"/>
      <c r="O464" s="6">
        <f>IF(OR(I464="",J464=""),"",I464+J464)</f>
        <v/>
      </c>
      <c r="P464" s="6">
        <f>IF(OR(I464="",J464=""),"",I464-J464)</f>
        <v/>
      </c>
      <c r="Q464" s="6">
        <f>IF(L464="","",IF(L464="Gana",3,IF(L464="Empata",1,0)))</f>
        <v/>
      </c>
      <c r="R464" s="6">
        <f>IF(L464="","",IF(L464="Pierde",3,IF(L464="Empata",1,0)))</f>
        <v/>
      </c>
      <c r="S464" s="4" t="n"/>
    </row>
    <row r="465">
      <c r="A465" s="4" t="n"/>
      <c r="B465" s="4" t="n"/>
      <c r="C465" s="4" t="n"/>
      <c r="D465" s="4" t="n"/>
      <c r="E465" s="4" t="n"/>
      <c r="F465" s="7" t="n"/>
      <c r="G465" s="4" t="n"/>
      <c r="H465" s="4" t="n"/>
      <c r="I465" s="4" t="n"/>
      <c r="J465" s="4" t="n"/>
      <c r="K465" s="6">
        <f>IF(OR(I465="",J465=""),"",I465&amp;"-"&amp;J465)</f>
        <v/>
      </c>
      <c r="L465" s="6">
        <f>IF(OR(I465="",J465=""),"",IF(I465&gt;J465,"Gana",IF(I465=J465,"Empata","Pierde")))</f>
        <v/>
      </c>
      <c r="M465" s="4" t="n"/>
      <c r="N465" s="4" t="n"/>
      <c r="O465" s="6">
        <f>IF(OR(I465="",J465=""),"",I465+J465)</f>
        <v/>
      </c>
      <c r="P465" s="6">
        <f>IF(OR(I465="",J465=""),"",I465-J465)</f>
        <v/>
      </c>
      <c r="Q465" s="6">
        <f>IF(L465="","",IF(L465="Gana",3,IF(L465="Empata",1,0)))</f>
        <v/>
      </c>
      <c r="R465" s="6">
        <f>IF(L465="","",IF(L465="Pierde",3,IF(L465="Empata",1,0)))</f>
        <v/>
      </c>
      <c r="S465" s="4" t="n"/>
    </row>
    <row r="466">
      <c r="A466" s="4" t="n"/>
      <c r="B466" s="4" t="n"/>
      <c r="C466" s="4" t="n"/>
      <c r="D466" s="4" t="n"/>
      <c r="E466" s="4" t="n"/>
      <c r="F466" s="7" t="n"/>
      <c r="G466" s="4" t="n"/>
      <c r="H466" s="4" t="n"/>
      <c r="I466" s="4" t="n"/>
      <c r="J466" s="4" t="n"/>
      <c r="K466" s="6">
        <f>IF(OR(I466="",J466=""),"",I466&amp;"-"&amp;J466)</f>
        <v/>
      </c>
      <c r="L466" s="6">
        <f>IF(OR(I466="",J466=""),"",IF(I466&gt;J466,"Gana",IF(I466=J466,"Empata","Pierde")))</f>
        <v/>
      </c>
      <c r="M466" s="4" t="n"/>
      <c r="N466" s="4" t="n"/>
      <c r="O466" s="6">
        <f>IF(OR(I466="",J466=""),"",I466+J466)</f>
        <v/>
      </c>
      <c r="P466" s="6">
        <f>IF(OR(I466="",J466=""),"",I466-J466)</f>
        <v/>
      </c>
      <c r="Q466" s="6">
        <f>IF(L466="","",IF(L466="Gana",3,IF(L466="Empata",1,0)))</f>
        <v/>
      </c>
      <c r="R466" s="6">
        <f>IF(L466="","",IF(L466="Pierde",3,IF(L466="Empata",1,0)))</f>
        <v/>
      </c>
      <c r="S466" s="4" t="n"/>
    </row>
    <row r="467">
      <c r="A467" s="4" t="n"/>
      <c r="B467" s="4" t="n"/>
      <c r="C467" s="4" t="n"/>
      <c r="D467" s="4" t="n"/>
      <c r="E467" s="4" t="n"/>
      <c r="F467" s="7" t="n"/>
      <c r="G467" s="4" t="n"/>
      <c r="H467" s="4" t="n"/>
      <c r="I467" s="4" t="n"/>
      <c r="J467" s="4" t="n"/>
      <c r="K467" s="6">
        <f>IF(OR(I467="",J467=""),"",I467&amp;"-"&amp;J467)</f>
        <v/>
      </c>
      <c r="L467" s="6">
        <f>IF(OR(I467="",J467=""),"",IF(I467&gt;J467,"Gana",IF(I467=J467,"Empata","Pierde")))</f>
        <v/>
      </c>
      <c r="M467" s="4" t="n"/>
      <c r="N467" s="4" t="n"/>
      <c r="O467" s="6">
        <f>IF(OR(I467="",J467=""),"",I467+J467)</f>
        <v/>
      </c>
      <c r="P467" s="6">
        <f>IF(OR(I467="",J467=""),"",I467-J467)</f>
        <v/>
      </c>
      <c r="Q467" s="6">
        <f>IF(L467="","",IF(L467="Gana",3,IF(L467="Empata",1,0)))</f>
        <v/>
      </c>
      <c r="R467" s="6">
        <f>IF(L467="","",IF(L467="Pierde",3,IF(L467="Empata",1,0)))</f>
        <v/>
      </c>
      <c r="S467" s="4" t="n"/>
    </row>
    <row r="468">
      <c r="A468" s="4" t="n"/>
      <c r="B468" s="4" t="n"/>
      <c r="C468" s="4" t="n"/>
      <c r="D468" s="4" t="n"/>
      <c r="E468" s="4" t="n"/>
      <c r="F468" s="7" t="n"/>
      <c r="G468" s="4" t="n"/>
      <c r="H468" s="4" t="n"/>
      <c r="I468" s="4" t="n"/>
      <c r="J468" s="4" t="n"/>
      <c r="K468" s="6">
        <f>IF(OR(I468="",J468=""),"",I468&amp;"-"&amp;J468)</f>
        <v/>
      </c>
      <c r="L468" s="6">
        <f>IF(OR(I468="",J468=""),"",IF(I468&gt;J468,"Gana",IF(I468=J468,"Empata","Pierde")))</f>
        <v/>
      </c>
      <c r="M468" s="4" t="n"/>
      <c r="N468" s="4" t="n"/>
      <c r="O468" s="6">
        <f>IF(OR(I468="",J468=""),"",I468+J468)</f>
        <v/>
      </c>
      <c r="P468" s="6">
        <f>IF(OR(I468="",J468=""),"",I468-J468)</f>
        <v/>
      </c>
      <c r="Q468" s="6">
        <f>IF(L468="","",IF(L468="Gana",3,IF(L468="Empata",1,0)))</f>
        <v/>
      </c>
      <c r="R468" s="6">
        <f>IF(L468="","",IF(L468="Pierde",3,IF(L468="Empata",1,0)))</f>
        <v/>
      </c>
      <c r="S468" s="4" t="n"/>
    </row>
    <row r="469">
      <c r="A469" s="4" t="n"/>
      <c r="B469" s="4" t="n"/>
      <c r="C469" s="4" t="n"/>
      <c r="D469" s="4" t="n"/>
      <c r="E469" s="4" t="n"/>
      <c r="F469" s="7" t="n"/>
      <c r="G469" s="4" t="n"/>
      <c r="H469" s="4" t="n"/>
      <c r="I469" s="4" t="n"/>
      <c r="J469" s="4" t="n"/>
      <c r="K469" s="6">
        <f>IF(OR(I469="",J469=""),"",I469&amp;"-"&amp;J469)</f>
        <v/>
      </c>
      <c r="L469" s="6">
        <f>IF(OR(I469="",J469=""),"",IF(I469&gt;J469,"Gana",IF(I469=J469,"Empata","Pierde")))</f>
        <v/>
      </c>
      <c r="M469" s="4" t="n"/>
      <c r="N469" s="4" t="n"/>
      <c r="O469" s="6">
        <f>IF(OR(I469="",J469=""),"",I469+J469)</f>
        <v/>
      </c>
      <c r="P469" s="6">
        <f>IF(OR(I469="",J469=""),"",I469-J469)</f>
        <v/>
      </c>
      <c r="Q469" s="6">
        <f>IF(L469="","",IF(L469="Gana",3,IF(L469="Empata",1,0)))</f>
        <v/>
      </c>
      <c r="R469" s="6">
        <f>IF(L469="","",IF(L469="Pierde",3,IF(L469="Empata",1,0)))</f>
        <v/>
      </c>
      <c r="S469" s="4" t="n"/>
    </row>
    <row r="470">
      <c r="A470" s="4" t="n"/>
      <c r="B470" s="4" t="n"/>
      <c r="C470" s="4" t="n"/>
      <c r="D470" s="4" t="n"/>
      <c r="E470" s="4" t="n"/>
      <c r="F470" s="7" t="n"/>
      <c r="G470" s="4" t="n"/>
      <c r="H470" s="4" t="n"/>
      <c r="I470" s="4" t="n"/>
      <c r="J470" s="4" t="n"/>
      <c r="K470" s="6">
        <f>IF(OR(I470="",J470=""),"",I470&amp;"-"&amp;J470)</f>
        <v/>
      </c>
      <c r="L470" s="6">
        <f>IF(OR(I470="",J470=""),"",IF(I470&gt;J470,"Gana",IF(I470=J470,"Empata","Pierde")))</f>
        <v/>
      </c>
      <c r="M470" s="4" t="n"/>
      <c r="N470" s="4" t="n"/>
      <c r="O470" s="6">
        <f>IF(OR(I470="",J470=""),"",I470+J470)</f>
        <v/>
      </c>
      <c r="P470" s="6">
        <f>IF(OR(I470="",J470=""),"",I470-J470)</f>
        <v/>
      </c>
      <c r="Q470" s="6">
        <f>IF(L470="","",IF(L470="Gana",3,IF(L470="Empata",1,0)))</f>
        <v/>
      </c>
      <c r="R470" s="6">
        <f>IF(L470="","",IF(L470="Pierde",3,IF(L470="Empata",1,0)))</f>
        <v/>
      </c>
      <c r="S470" s="4" t="n"/>
    </row>
    <row r="471">
      <c r="A471" s="4" t="n"/>
      <c r="B471" s="4" t="n"/>
      <c r="C471" s="4" t="n"/>
      <c r="D471" s="4" t="n"/>
      <c r="E471" s="4" t="n"/>
      <c r="F471" s="7" t="n"/>
      <c r="G471" s="4" t="n"/>
      <c r="H471" s="4" t="n"/>
      <c r="I471" s="4" t="n"/>
      <c r="J471" s="4" t="n"/>
      <c r="K471" s="6">
        <f>IF(OR(I471="",J471=""),"",I471&amp;"-"&amp;J471)</f>
        <v/>
      </c>
      <c r="L471" s="6">
        <f>IF(OR(I471="",J471=""),"",IF(I471&gt;J471,"Gana",IF(I471=J471,"Empata","Pierde")))</f>
        <v/>
      </c>
      <c r="M471" s="4" t="n"/>
      <c r="N471" s="4" t="n"/>
      <c r="O471" s="6">
        <f>IF(OR(I471="",J471=""),"",I471+J471)</f>
        <v/>
      </c>
      <c r="P471" s="6">
        <f>IF(OR(I471="",J471=""),"",I471-J471)</f>
        <v/>
      </c>
      <c r="Q471" s="6">
        <f>IF(L471="","",IF(L471="Gana",3,IF(L471="Empata",1,0)))</f>
        <v/>
      </c>
      <c r="R471" s="6">
        <f>IF(L471="","",IF(L471="Pierde",3,IF(L471="Empata",1,0)))</f>
        <v/>
      </c>
      <c r="S471" s="4" t="n"/>
    </row>
    <row r="472">
      <c r="A472" s="4" t="n"/>
      <c r="B472" s="4" t="n"/>
      <c r="C472" s="4" t="n"/>
      <c r="D472" s="4" t="n"/>
      <c r="E472" s="4" t="n"/>
      <c r="F472" s="7" t="n"/>
      <c r="G472" s="4" t="n"/>
      <c r="H472" s="4" t="n"/>
      <c r="I472" s="4" t="n"/>
      <c r="J472" s="4" t="n"/>
      <c r="K472" s="6">
        <f>IF(OR(I472="",J472=""),"",I472&amp;"-"&amp;J472)</f>
        <v/>
      </c>
      <c r="L472" s="6">
        <f>IF(OR(I472="",J472=""),"",IF(I472&gt;J472,"Gana",IF(I472=J472,"Empata","Pierde")))</f>
        <v/>
      </c>
      <c r="M472" s="4" t="n"/>
      <c r="N472" s="4" t="n"/>
      <c r="O472" s="6">
        <f>IF(OR(I472="",J472=""),"",I472+J472)</f>
        <v/>
      </c>
      <c r="P472" s="6">
        <f>IF(OR(I472="",J472=""),"",I472-J472)</f>
        <v/>
      </c>
      <c r="Q472" s="6">
        <f>IF(L472="","",IF(L472="Gana",3,IF(L472="Empata",1,0)))</f>
        <v/>
      </c>
      <c r="R472" s="6">
        <f>IF(L472="","",IF(L472="Pierde",3,IF(L472="Empata",1,0)))</f>
        <v/>
      </c>
      <c r="S472" s="4" t="n"/>
    </row>
    <row r="473">
      <c r="A473" s="4" t="n"/>
      <c r="B473" s="4" t="n"/>
      <c r="C473" s="4" t="n"/>
      <c r="D473" s="4" t="n"/>
      <c r="E473" s="4" t="n"/>
      <c r="F473" s="7" t="n"/>
      <c r="G473" s="4" t="n"/>
      <c r="H473" s="4" t="n"/>
      <c r="I473" s="4" t="n"/>
      <c r="J473" s="4" t="n"/>
      <c r="K473" s="6">
        <f>IF(OR(I473="",J473=""),"",I473&amp;"-"&amp;J473)</f>
        <v/>
      </c>
      <c r="L473" s="6">
        <f>IF(OR(I473="",J473=""),"",IF(I473&gt;J473,"Gana",IF(I473=J473,"Empata","Pierde")))</f>
        <v/>
      </c>
      <c r="M473" s="4" t="n"/>
      <c r="N473" s="4" t="n"/>
      <c r="O473" s="6">
        <f>IF(OR(I473="",J473=""),"",I473+J473)</f>
        <v/>
      </c>
      <c r="P473" s="6">
        <f>IF(OR(I473="",J473=""),"",I473-J473)</f>
        <v/>
      </c>
      <c r="Q473" s="6">
        <f>IF(L473="","",IF(L473="Gana",3,IF(L473="Empata",1,0)))</f>
        <v/>
      </c>
      <c r="R473" s="6">
        <f>IF(L473="","",IF(L473="Pierde",3,IF(L473="Empata",1,0)))</f>
        <v/>
      </c>
      <c r="S473" s="4" t="n"/>
    </row>
    <row r="474">
      <c r="A474" s="4" t="n"/>
      <c r="B474" s="4" t="n"/>
      <c r="C474" s="4" t="n"/>
      <c r="D474" s="4" t="n"/>
      <c r="E474" s="4" t="n"/>
      <c r="F474" s="7" t="n"/>
      <c r="G474" s="4" t="n"/>
      <c r="H474" s="4" t="n"/>
      <c r="I474" s="4" t="n"/>
      <c r="J474" s="4" t="n"/>
      <c r="K474" s="6">
        <f>IF(OR(I474="",J474=""),"",I474&amp;"-"&amp;J474)</f>
        <v/>
      </c>
      <c r="L474" s="6">
        <f>IF(OR(I474="",J474=""),"",IF(I474&gt;J474,"Gana",IF(I474=J474,"Empata","Pierde")))</f>
        <v/>
      </c>
      <c r="M474" s="4" t="n"/>
      <c r="N474" s="4" t="n"/>
      <c r="O474" s="6">
        <f>IF(OR(I474="",J474=""),"",I474+J474)</f>
        <v/>
      </c>
      <c r="P474" s="6">
        <f>IF(OR(I474="",J474=""),"",I474-J474)</f>
        <v/>
      </c>
      <c r="Q474" s="6">
        <f>IF(L474="","",IF(L474="Gana",3,IF(L474="Empata",1,0)))</f>
        <v/>
      </c>
      <c r="R474" s="6">
        <f>IF(L474="","",IF(L474="Pierde",3,IF(L474="Empata",1,0)))</f>
        <v/>
      </c>
      <c r="S474" s="4" t="n"/>
    </row>
    <row r="475">
      <c r="A475" s="4" t="n"/>
      <c r="B475" s="4" t="n"/>
      <c r="C475" s="4" t="n"/>
      <c r="D475" s="4" t="n"/>
      <c r="E475" s="4" t="n"/>
      <c r="F475" s="7" t="n"/>
      <c r="G475" s="4" t="n"/>
      <c r="H475" s="4" t="n"/>
      <c r="I475" s="4" t="n"/>
      <c r="J475" s="4" t="n"/>
      <c r="K475" s="6">
        <f>IF(OR(I475="",J475=""),"",I475&amp;"-"&amp;J475)</f>
        <v/>
      </c>
      <c r="L475" s="6">
        <f>IF(OR(I475="",J475=""),"",IF(I475&gt;J475,"Gana",IF(I475=J475,"Empata","Pierde")))</f>
        <v/>
      </c>
      <c r="M475" s="4" t="n"/>
      <c r="N475" s="4" t="n"/>
      <c r="O475" s="6">
        <f>IF(OR(I475="",J475=""),"",I475+J475)</f>
        <v/>
      </c>
      <c r="P475" s="6">
        <f>IF(OR(I475="",J475=""),"",I475-J475)</f>
        <v/>
      </c>
      <c r="Q475" s="6">
        <f>IF(L475="","",IF(L475="Gana",3,IF(L475="Empata",1,0)))</f>
        <v/>
      </c>
      <c r="R475" s="6">
        <f>IF(L475="","",IF(L475="Pierde",3,IF(L475="Empata",1,0)))</f>
        <v/>
      </c>
      <c r="S475" s="4" t="n"/>
    </row>
    <row r="476">
      <c r="A476" s="4" t="n"/>
      <c r="B476" s="4" t="n"/>
      <c r="C476" s="4" t="n"/>
      <c r="D476" s="4" t="n"/>
      <c r="E476" s="4" t="n"/>
      <c r="F476" s="7" t="n"/>
      <c r="G476" s="4" t="n"/>
      <c r="H476" s="4" t="n"/>
      <c r="I476" s="4" t="n"/>
      <c r="J476" s="4" t="n"/>
      <c r="K476" s="6">
        <f>IF(OR(I476="",J476=""),"",I476&amp;"-"&amp;J476)</f>
        <v/>
      </c>
      <c r="L476" s="6">
        <f>IF(OR(I476="",J476=""),"",IF(I476&gt;J476,"Gana",IF(I476=J476,"Empata","Pierde")))</f>
        <v/>
      </c>
      <c r="M476" s="4" t="n"/>
      <c r="N476" s="4" t="n"/>
      <c r="O476" s="6">
        <f>IF(OR(I476="",J476=""),"",I476+J476)</f>
        <v/>
      </c>
      <c r="P476" s="6">
        <f>IF(OR(I476="",J476=""),"",I476-J476)</f>
        <v/>
      </c>
      <c r="Q476" s="6">
        <f>IF(L476="","",IF(L476="Gana",3,IF(L476="Empata",1,0)))</f>
        <v/>
      </c>
      <c r="R476" s="6">
        <f>IF(L476="","",IF(L476="Pierde",3,IF(L476="Empata",1,0)))</f>
        <v/>
      </c>
      <c r="S476" s="4" t="n"/>
    </row>
    <row r="477">
      <c r="A477" s="4" t="n"/>
      <c r="B477" s="4" t="n"/>
      <c r="C477" s="4" t="n"/>
      <c r="D477" s="4" t="n"/>
      <c r="E477" s="4" t="n"/>
      <c r="F477" s="7" t="n"/>
      <c r="G477" s="4" t="n"/>
      <c r="H477" s="4" t="n"/>
      <c r="I477" s="4" t="n"/>
      <c r="J477" s="4" t="n"/>
      <c r="K477" s="6">
        <f>IF(OR(I477="",J477=""),"",I477&amp;"-"&amp;J477)</f>
        <v/>
      </c>
      <c r="L477" s="6">
        <f>IF(OR(I477="",J477=""),"",IF(I477&gt;J477,"Gana",IF(I477=J477,"Empata","Pierde")))</f>
        <v/>
      </c>
      <c r="M477" s="4" t="n"/>
      <c r="N477" s="4" t="n"/>
      <c r="O477" s="6">
        <f>IF(OR(I477="",J477=""),"",I477+J477)</f>
        <v/>
      </c>
      <c r="P477" s="6">
        <f>IF(OR(I477="",J477=""),"",I477-J477)</f>
        <v/>
      </c>
      <c r="Q477" s="6">
        <f>IF(L477="","",IF(L477="Gana",3,IF(L477="Empata",1,0)))</f>
        <v/>
      </c>
      <c r="R477" s="6">
        <f>IF(L477="","",IF(L477="Pierde",3,IF(L477="Empata",1,0)))</f>
        <v/>
      </c>
      <c r="S477" s="4" t="n"/>
    </row>
    <row r="478">
      <c r="A478" s="4" t="n"/>
      <c r="B478" s="4" t="n"/>
      <c r="C478" s="4" t="n"/>
      <c r="D478" s="4" t="n"/>
      <c r="E478" s="4" t="n"/>
      <c r="F478" s="7" t="n"/>
      <c r="G478" s="4" t="n"/>
      <c r="H478" s="4" t="n"/>
      <c r="I478" s="4" t="n"/>
      <c r="J478" s="4" t="n"/>
      <c r="K478" s="6">
        <f>IF(OR(I478="",J478=""),"",I478&amp;"-"&amp;J478)</f>
        <v/>
      </c>
      <c r="L478" s="6">
        <f>IF(OR(I478="",J478=""),"",IF(I478&gt;J478,"Gana",IF(I478=J478,"Empata","Pierde")))</f>
        <v/>
      </c>
      <c r="M478" s="4" t="n"/>
      <c r="N478" s="4" t="n"/>
      <c r="O478" s="6">
        <f>IF(OR(I478="",J478=""),"",I478+J478)</f>
        <v/>
      </c>
      <c r="P478" s="6">
        <f>IF(OR(I478="",J478=""),"",I478-J478)</f>
        <v/>
      </c>
      <c r="Q478" s="6">
        <f>IF(L478="","",IF(L478="Gana",3,IF(L478="Empata",1,0)))</f>
        <v/>
      </c>
      <c r="R478" s="6">
        <f>IF(L478="","",IF(L478="Pierde",3,IF(L478="Empata",1,0)))</f>
        <v/>
      </c>
      <c r="S478" s="4" t="n"/>
    </row>
    <row r="479">
      <c r="A479" s="4" t="n"/>
      <c r="B479" s="4" t="n"/>
      <c r="C479" s="4" t="n"/>
      <c r="D479" s="4" t="n"/>
      <c r="E479" s="4" t="n"/>
      <c r="F479" s="7" t="n"/>
      <c r="G479" s="4" t="n"/>
      <c r="H479" s="4" t="n"/>
      <c r="I479" s="4" t="n"/>
      <c r="J479" s="4" t="n"/>
      <c r="K479" s="6">
        <f>IF(OR(I479="",J479=""),"",I479&amp;"-"&amp;J479)</f>
        <v/>
      </c>
      <c r="L479" s="6">
        <f>IF(OR(I479="",J479=""),"",IF(I479&gt;J479,"Gana",IF(I479=J479,"Empata","Pierde")))</f>
        <v/>
      </c>
      <c r="M479" s="4" t="n"/>
      <c r="N479" s="4" t="n"/>
      <c r="O479" s="6">
        <f>IF(OR(I479="",J479=""),"",I479+J479)</f>
        <v/>
      </c>
      <c r="P479" s="6">
        <f>IF(OR(I479="",J479=""),"",I479-J479)</f>
        <v/>
      </c>
      <c r="Q479" s="6">
        <f>IF(L479="","",IF(L479="Gana",3,IF(L479="Empata",1,0)))</f>
        <v/>
      </c>
      <c r="R479" s="6">
        <f>IF(L479="","",IF(L479="Pierde",3,IF(L479="Empata",1,0)))</f>
        <v/>
      </c>
      <c r="S479" s="4" t="n"/>
    </row>
    <row r="480">
      <c r="A480" s="4" t="n"/>
      <c r="B480" s="4" t="n"/>
      <c r="C480" s="4" t="n"/>
      <c r="D480" s="4" t="n"/>
      <c r="E480" s="4" t="n"/>
      <c r="F480" s="7" t="n"/>
      <c r="G480" s="4" t="n"/>
      <c r="H480" s="4" t="n"/>
      <c r="I480" s="4" t="n"/>
      <c r="J480" s="4" t="n"/>
      <c r="K480" s="6">
        <f>IF(OR(I480="",J480=""),"",I480&amp;"-"&amp;J480)</f>
        <v/>
      </c>
      <c r="L480" s="6">
        <f>IF(OR(I480="",J480=""),"",IF(I480&gt;J480,"Gana",IF(I480=J480,"Empata","Pierde")))</f>
        <v/>
      </c>
      <c r="M480" s="4" t="n"/>
      <c r="N480" s="4" t="n"/>
      <c r="O480" s="6">
        <f>IF(OR(I480="",J480=""),"",I480+J480)</f>
        <v/>
      </c>
      <c r="P480" s="6">
        <f>IF(OR(I480="",J480=""),"",I480-J480)</f>
        <v/>
      </c>
      <c r="Q480" s="6">
        <f>IF(L480="","",IF(L480="Gana",3,IF(L480="Empata",1,0)))</f>
        <v/>
      </c>
      <c r="R480" s="6">
        <f>IF(L480="","",IF(L480="Pierde",3,IF(L480="Empata",1,0)))</f>
        <v/>
      </c>
      <c r="S480" s="4" t="n"/>
    </row>
    <row r="481">
      <c r="A481" s="4" t="n"/>
      <c r="B481" s="4" t="n"/>
      <c r="C481" s="4" t="n"/>
      <c r="D481" s="4" t="n"/>
      <c r="E481" s="4" t="n"/>
      <c r="F481" s="7" t="n"/>
      <c r="G481" s="4" t="n"/>
      <c r="H481" s="4" t="n"/>
      <c r="I481" s="4" t="n"/>
      <c r="J481" s="4" t="n"/>
      <c r="K481" s="6">
        <f>IF(OR(I481="",J481=""),"",I481&amp;"-"&amp;J481)</f>
        <v/>
      </c>
      <c r="L481" s="6">
        <f>IF(OR(I481="",J481=""),"",IF(I481&gt;J481,"Gana",IF(I481=J481,"Empata","Pierde")))</f>
        <v/>
      </c>
      <c r="M481" s="4" t="n"/>
      <c r="N481" s="4" t="n"/>
      <c r="O481" s="6">
        <f>IF(OR(I481="",J481=""),"",I481+J481)</f>
        <v/>
      </c>
      <c r="P481" s="6">
        <f>IF(OR(I481="",J481=""),"",I481-J481)</f>
        <v/>
      </c>
      <c r="Q481" s="6">
        <f>IF(L481="","",IF(L481="Gana",3,IF(L481="Empata",1,0)))</f>
        <v/>
      </c>
      <c r="R481" s="6">
        <f>IF(L481="","",IF(L481="Pierde",3,IF(L481="Empata",1,0)))</f>
        <v/>
      </c>
      <c r="S481" s="4" t="n"/>
    </row>
    <row r="482">
      <c r="A482" s="4" t="n"/>
      <c r="B482" s="4" t="n"/>
      <c r="C482" s="4" t="n"/>
      <c r="D482" s="4" t="n"/>
      <c r="E482" s="4" t="n"/>
      <c r="F482" s="7" t="n"/>
      <c r="G482" s="4" t="n"/>
      <c r="H482" s="4" t="n"/>
      <c r="I482" s="4" t="n"/>
      <c r="J482" s="4" t="n"/>
      <c r="K482" s="6">
        <f>IF(OR(I482="",J482=""),"",I482&amp;"-"&amp;J482)</f>
        <v/>
      </c>
      <c r="L482" s="6">
        <f>IF(OR(I482="",J482=""),"",IF(I482&gt;J482,"Gana",IF(I482=J482,"Empata","Pierde")))</f>
        <v/>
      </c>
      <c r="M482" s="4" t="n"/>
      <c r="N482" s="4" t="n"/>
      <c r="O482" s="6">
        <f>IF(OR(I482="",J482=""),"",I482+J482)</f>
        <v/>
      </c>
      <c r="P482" s="6">
        <f>IF(OR(I482="",J482=""),"",I482-J482)</f>
        <v/>
      </c>
      <c r="Q482" s="6">
        <f>IF(L482="","",IF(L482="Gana",3,IF(L482="Empata",1,0)))</f>
        <v/>
      </c>
      <c r="R482" s="6">
        <f>IF(L482="","",IF(L482="Pierde",3,IF(L482="Empata",1,0)))</f>
        <v/>
      </c>
      <c r="S482" s="4" t="n"/>
    </row>
    <row r="483">
      <c r="A483" s="4" t="n"/>
      <c r="B483" s="4" t="n"/>
      <c r="C483" s="4" t="n"/>
      <c r="D483" s="4" t="n"/>
      <c r="E483" s="4" t="n"/>
      <c r="F483" s="7" t="n"/>
      <c r="G483" s="4" t="n"/>
      <c r="H483" s="4" t="n"/>
      <c r="I483" s="4" t="n"/>
      <c r="J483" s="4" t="n"/>
      <c r="K483" s="6">
        <f>IF(OR(I483="",J483=""),"",I483&amp;"-"&amp;J483)</f>
        <v/>
      </c>
      <c r="L483" s="6">
        <f>IF(OR(I483="",J483=""),"",IF(I483&gt;J483,"Gana",IF(I483=J483,"Empata","Pierde")))</f>
        <v/>
      </c>
      <c r="M483" s="4" t="n"/>
      <c r="N483" s="4" t="n"/>
      <c r="O483" s="6">
        <f>IF(OR(I483="",J483=""),"",I483+J483)</f>
        <v/>
      </c>
      <c r="P483" s="6">
        <f>IF(OR(I483="",J483=""),"",I483-J483)</f>
        <v/>
      </c>
      <c r="Q483" s="6">
        <f>IF(L483="","",IF(L483="Gana",3,IF(L483="Empata",1,0)))</f>
        <v/>
      </c>
      <c r="R483" s="6">
        <f>IF(L483="","",IF(L483="Pierde",3,IF(L483="Empata",1,0)))</f>
        <v/>
      </c>
      <c r="S483" s="4" t="n"/>
    </row>
    <row r="484">
      <c r="A484" s="4" t="n"/>
      <c r="B484" s="4" t="n"/>
      <c r="C484" s="4" t="n"/>
      <c r="D484" s="4" t="n"/>
      <c r="E484" s="4" t="n"/>
      <c r="F484" s="7" t="n"/>
      <c r="G484" s="4" t="n"/>
      <c r="H484" s="4" t="n"/>
      <c r="I484" s="4" t="n"/>
      <c r="J484" s="4" t="n"/>
      <c r="K484" s="6">
        <f>IF(OR(I484="",J484=""),"",I484&amp;"-"&amp;J484)</f>
        <v/>
      </c>
      <c r="L484" s="6">
        <f>IF(OR(I484="",J484=""),"",IF(I484&gt;J484,"Gana",IF(I484=J484,"Empata","Pierde")))</f>
        <v/>
      </c>
      <c r="M484" s="4" t="n"/>
      <c r="N484" s="4" t="n"/>
      <c r="O484" s="6">
        <f>IF(OR(I484="",J484=""),"",I484+J484)</f>
        <v/>
      </c>
      <c r="P484" s="6">
        <f>IF(OR(I484="",J484=""),"",I484-J484)</f>
        <v/>
      </c>
      <c r="Q484" s="6">
        <f>IF(L484="","",IF(L484="Gana",3,IF(L484="Empata",1,0)))</f>
        <v/>
      </c>
      <c r="R484" s="6">
        <f>IF(L484="","",IF(L484="Pierde",3,IF(L484="Empata",1,0)))</f>
        <v/>
      </c>
      <c r="S484" s="4" t="n"/>
    </row>
    <row r="485">
      <c r="A485" s="4" t="n"/>
      <c r="B485" s="4" t="n"/>
      <c r="C485" s="4" t="n"/>
      <c r="D485" s="4" t="n"/>
      <c r="E485" s="4" t="n"/>
      <c r="F485" s="7" t="n"/>
      <c r="G485" s="4" t="n"/>
      <c r="H485" s="4" t="n"/>
      <c r="I485" s="4" t="n"/>
      <c r="J485" s="4" t="n"/>
      <c r="K485" s="6">
        <f>IF(OR(I485="",J485=""),"",I485&amp;"-"&amp;J485)</f>
        <v/>
      </c>
      <c r="L485" s="6">
        <f>IF(OR(I485="",J485=""),"",IF(I485&gt;J485,"Gana",IF(I485=J485,"Empata","Pierde")))</f>
        <v/>
      </c>
      <c r="M485" s="4" t="n"/>
      <c r="N485" s="4" t="n"/>
      <c r="O485" s="6">
        <f>IF(OR(I485="",J485=""),"",I485+J485)</f>
        <v/>
      </c>
      <c r="P485" s="6">
        <f>IF(OR(I485="",J485=""),"",I485-J485)</f>
        <v/>
      </c>
      <c r="Q485" s="6">
        <f>IF(L485="","",IF(L485="Gana",3,IF(L485="Empata",1,0)))</f>
        <v/>
      </c>
      <c r="R485" s="6">
        <f>IF(L485="","",IF(L485="Pierde",3,IF(L485="Empata",1,0)))</f>
        <v/>
      </c>
      <c r="S485" s="4" t="n"/>
    </row>
    <row r="486">
      <c r="A486" s="4" t="n"/>
      <c r="B486" s="4" t="n"/>
      <c r="C486" s="4" t="n"/>
      <c r="D486" s="4" t="n"/>
      <c r="E486" s="4" t="n"/>
      <c r="F486" s="7" t="n"/>
      <c r="G486" s="4" t="n"/>
      <c r="H486" s="4" t="n"/>
      <c r="I486" s="4" t="n"/>
      <c r="J486" s="4" t="n"/>
      <c r="K486" s="6">
        <f>IF(OR(I486="",J486=""),"",I486&amp;"-"&amp;J486)</f>
        <v/>
      </c>
      <c r="L486" s="6">
        <f>IF(OR(I486="",J486=""),"",IF(I486&gt;J486,"Gana",IF(I486=J486,"Empata","Pierde")))</f>
        <v/>
      </c>
      <c r="M486" s="4" t="n"/>
      <c r="N486" s="4" t="n"/>
      <c r="O486" s="6">
        <f>IF(OR(I486="",J486=""),"",I486+J486)</f>
        <v/>
      </c>
      <c r="P486" s="6">
        <f>IF(OR(I486="",J486=""),"",I486-J486)</f>
        <v/>
      </c>
      <c r="Q486" s="6">
        <f>IF(L486="","",IF(L486="Gana",3,IF(L486="Empata",1,0)))</f>
        <v/>
      </c>
      <c r="R486" s="6">
        <f>IF(L486="","",IF(L486="Pierde",3,IF(L486="Empata",1,0)))</f>
        <v/>
      </c>
      <c r="S486" s="4" t="n"/>
    </row>
    <row r="487">
      <c r="A487" s="4" t="n"/>
      <c r="B487" s="4" t="n"/>
      <c r="C487" s="4" t="n"/>
      <c r="D487" s="4" t="n"/>
      <c r="E487" s="4" t="n"/>
      <c r="F487" s="7" t="n"/>
      <c r="G487" s="4" t="n"/>
      <c r="H487" s="4" t="n"/>
      <c r="I487" s="4" t="n"/>
      <c r="J487" s="4" t="n"/>
      <c r="K487" s="6">
        <f>IF(OR(I487="",J487=""),"",I487&amp;"-"&amp;J487)</f>
        <v/>
      </c>
      <c r="L487" s="6">
        <f>IF(OR(I487="",J487=""),"",IF(I487&gt;J487,"Gana",IF(I487=J487,"Empata","Pierde")))</f>
        <v/>
      </c>
      <c r="M487" s="4" t="n"/>
      <c r="N487" s="4" t="n"/>
      <c r="O487" s="6">
        <f>IF(OR(I487="",J487=""),"",I487+J487)</f>
        <v/>
      </c>
      <c r="P487" s="6">
        <f>IF(OR(I487="",J487=""),"",I487-J487)</f>
        <v/>
      </c>
      <c r="Q487" s="6">
        <f>IF(L487="","",IF(L487="Gana",3,IF(L487="Empata",1,0)))</f>
        <v/>
      </c>
      <c r="R487" s="6">
        <f>IF(L487="","",IF(L487="Pierde",3,IF(L487="Empata",1,0)))</f>
        <v/>
      </c>
      <c r="S487" s="4" t="n"/>
    </row>
    <row r="488">
      <c r="A488" s="4" t="n"/>
      <c r="B488" s="4" t="n"/>
      <c r="C488" s="4" t="n"/>
      <c r="D488" s="4" t="n"/>
      <c r="E488" s="4" t="n"/>
      <c r="F488" s="7" t="n"/>
      <c r="G488" s="4" t="n"/>
      <c r="H488" s="4" t="n"/>
      <c r="I488" s="4" t="n"/>
      <c r="J488" s="4" t="n"/>
      <c r="K488" s="6">
        <f>IF(OR(I488="",J488=""),"",I488&amp;"-"&amp;J488)</f>
        <v/>
      </c>
      <c r="L488" s="6">
        <f>IF(OR(I488="",J488=""),"",IF(I488&gt;J488,"Gana",IF(I488=J488,"Empata","Pierde")))</f>
        <v/>
      </c>
      <c r="M488" s="4" t="n"/>
      <c r="N488" s="4" t="n"/>
      <c r="O488" s="6">
        <f>IF(OR(I488="",J488=""),"",I488+J488)</f>
        <v/>
      </c>
      <c r="P488" s="6">
        <f>IF(OR(I488="",J488=""),"",I488-J488)</f>
        <v/>
      </c>
      <c r="Q488" s="6">
        <f>IF(L488="","",IF(L488="Gana",3,IF(L488="Empata",1,0)))</f>
        <v/>
      </c>
      <c r="R488" s="6">
        <f>IF(L488="","",IF(L488="Pierde",3,IF(L488="Empata",1,0)))</f>
        <v/>
      </c>
      <c r="S488" s="4" t="n"/>
    </row>
    <row r="489">
      <c r="A489" s="4" t="n"/>
      <c r="B489" s="4" t="n"/>
      <c r="C489" s="4" t="n"/>
      <c r="D489" s="4" t="n"/>
      <c r="E489" s="4" t="n"/>
      <c r="F489" s="7" t="n"/>
      <c r="G489" s="4" t="n"/>
      <c r="H489" s="4" t="n"/>
      <c r="I489" s="4" t="n"/>
      <c r="J489" s="4" t="n"/>
      <c r="K489" s="6">
        <f>IF(OR(I489="",J489=""),"",I489&amp;"-"&amp;J489)</f>
        <v/>
      </c>
      <c r="L489" s="6">
        <f>IF(OR(I489="",J489=""),"",IF(I489&gt;J489,"Gana",IF(I489=J489,"Empata","Pierde")))</f>
        <v/>
      </c>
      <c r="M489" s="4" t="n"/>
      <c r="N489" s="4" t="n"/>
      <c r="O489" s="6">
        <f>IF(OR(I489="",J489=""),"",I489+J489)</f>
        <v/>
      </c>
      <c r="P489" s="6">
        <f>IF(OR(I489="",J489=""),"",I489-J489)</f>
        <v/>
      </c>
      <c r="Q489" s="6">
        <f>IF(L489="","",IF(L489="Gana",3,IF(L489="Empata",1,0)))</f>
        <v/>
      </c>
      <c r="R489" s="6">
        <f>IF(L489="","",IF(L489="Pierde",3,IF(L489="Empata",1,0)))</f>
        <v/>
      </c>
      <c r="S489" s="4" t="n"/>
    </row>
    <row r="490">
      <c r="A490" s="4" t="n"/>
      <c r="B490" s="4" t="n"/>
      <c r="C490" s="4" t="n"/>
      <c r="D490" s="4" t="n"/>
      <c r="E490" s="4" t="n"/>
      <c r="F490" s="7" t="n"/>
      <c r="G490" s="4" t="n"/>
      <c r="H490" s="4" t="n"/>
      <c r="I490" s="4" t="n"/>
      <c r="J490" s="4" t="n"/>
      <c r="K490" s="6">
        <f>IF(OR(I490="",J490=""),"",I490&amp;"-"&amp;J490)</f>
        <v/>
      </c>
      <c r="L490" s="6">
        <f>IF(OR(I490="",J490=""),"",IF(I490&gt;J490,"Gana",IF(I490=J490,"Empata","Pierde")))</f>
        <v/>
      </c>
      <c r="M490" s="4" t="n"/>
      <c r="N490" s="4" t="n"/>
      <c r="O490" s="6">
        <f>IF(OR(I490="",J490=""),"",I490+J490)</f>
        <v/>
      </c>
      <c r="P490" s="6">
        <f>IF(OR(I490="",J490=""),"",I490-J490)</f>
        <v/>
      </c>
      <c r="Q490" s="6">
        <f>IF(L490="","",IF(L490="Gana",3,IF(L490="Empata",1,0)))</f>
        <v/>
      </c>
      <c r="R490" s="6">
        <f>IF(L490="","",IF(L490="Pierde",3,IF(L490="Empata",1,0)))</f>
        <v/>
      </c>
      <c r="S490" s="4" t="n"/>
    </row>
    <row r="491">
      <c r="A491" s="4" t="n"/>
      <c r="B491" s="4" t="n"/>
      <c r="C491" s="4" t="n"/>
      <c r="D491" s="4" t="n"/>
      <c r="E491" s="4" t="n"/>
      <c r="F491" s="7" t="n"/>
      <c r="G491" s="4" t="n"/>
      <c r="H491" s="4" t="n"/>
      <c r="I491" s="4" t="n"/>
      <c r="J491" s="4" t="n"/>
      <c r="K491" s="6">
        <f>IF(OR(I491="",J491=""),"",I491&amp;"-"&amp;J491)</f>
        <v/>
      </c>
      <c r="L491" s="6">
        <f>IF(OR(I491="",J491=""),"",IF(I491&gt;J491,"Gana",IF(I491=J491,"Empata","Pierde")))</f>
        <v/>
      </c>
      <c r="M491" s="4" t="n"/>
      <c r="N491" s="4" t="n"/>
      <c r="O491" s="6">
        <f>IF(OR(I491="",J491=""),"",I491+J491)</f>
        <v/>
      </c>
      <c r="P491" s="6">
        <f>IF(OR(I491="",J491=""),"",I491-J491)</f>
        <v/>
      </c>
      <c r="Q491" s="6">
        <f>IF(L491="","",IF(L491="Gana",3,IF(L491="Empata",1,0)))</f>
        <v/>
      </c>
      <c r="R491" s="6">
        <f>IF(L491="","",IF(L491="Pierde",3,IF(L491="Empata",1,0)))</f>
        <v/>
      </c>
      <c r="S491" s="4" t="n"/>
    </row>
    <row r="492">
      <c r="A492" s="4" t="n"/>
      <c r="B492" s="4" t="n"/>
      <c r="C492" s="4" t="n"/>
      <c r="D492" s="4" t="n"/>
      <c r="E492" s="4" t="n"/>
      <c r="F492" s="7" t="n"/>
      <c r="G492" s="4" t="n"/>
      <c r="H492" s="4" t="n"/>
      <c r="I492" s="4" t="n"/>
      <c r="J492" s="4" t="n"/>
      <c r="K492" s="6">
        <f>IF(OR(I492="",J492=""),"",I492&amp;"-"&amp;J492)</f>
        <v/>
      </c>
      <c r="L492" s="6">
        <f>IF(OR(I492="",J492=""),"",IF(I492&gt;J492,"Gana",IF(I492=J492,"Empata","Pierde")))</f>
        <v/>
      </c>
      <c r="M492" s="4" t="n"/>
      <c r="N492" s="4" t="n"/>
      <c r="O492" s="6">
        <f>IF(OR(I492="",J492=""),"",I492+J492)</f>
        <v/>
      </c>
      <c r="P492" s="6">
        <f>IF(OR(I492="",J492=""),"",I492-J492)</f>
        <v/>
      </c>
      <c r="Q492" s="6">
        <f>IF(L492="","",IF(L492="Gana",3,IF(L492="Empata",1,0)))</f>
        <v/>
      </c>
      <c r="R492" s="6">
        <f>IF(L492="","",IF(L492="Pierde",3,IF(L492="Empata",1,0)))</f>
        <v/>
      </c>
      <c r="S492" s="4" t="n"/>
    </row>
    <row r="493">
      <c r="A493" s="4" t="n"/>
      <c r="B493" s="4" t="n"/>
      <c r="C493" s="4" t="n"/>
      <c r="D493" s="4" t="n"/>
      <c r="E493" s="4" t="n"/>
      <c r="F493" s="7" t="n"/>
      <c r="G493" s="4" t="n"/>
      <c r="H493" s="4" t="n"/>
      <c r="I493" s="4" t="n"/>
      <c r="J493" s="4" t="n"/>
      <c r="K493" s="6">
        <f>IF(OR(I493="",J493=""),"",I493&amp;"-"&amp;J493)</f>
        <v/>
      </c>
      <c r="L493" s="6">
        <f>IF(OR(I493="",J493=""),"",IF(I493&gt;J493,"Gana",IF(I493=J493,"Empata","Pierde")))</f>
        <v/>
      </c>
      <c r="M493" s="4" t="n"/>
      <c r="N493" s="4" t="n"/>
      <c r="O493" s="6">
        <f>IF(OR(I493="",J493=""),"",I493+J493)</f>
        <v/>
      </c>
      <c r="P493" s="6">
        <f>IF(OR(I493="",J493=""),"",I493-J493)</f>
        <v/>
      </c>
      <c r="Q493" s="6">
        <f>IF(L493="","",IF(L493="Gana",3,IF(L493="Empata",1,0)))</f>
        <v/>
      </c>
      <c r="R493" s="6">
        <f>IF(L493="","",IF(L493="Pierde",3,IF(L493="Empata",1,0)))</f>
        <v/>
      </c>
      <c r="S493" s="4" t="n"/>
    </row>
    <row r="494">
      <c r="A494" s="4" t="n"/>
      <c r="B494" s="4" t="n"/>
      <c r="C494" s="4" t="n"/>
      <c r="D494" s="4" t="n"/>
      <c r="E494" s="4" t="n"/>
      <c r="F494" s="7" t="n"/>
      <c r="G494" s="4" t="n"/>
      <c r="H494" s="4" t="n"/>
      <c r="I494" s="4" t="n"/>
      <c r="J494" s="4" t="n"/>
      <c r="K494" s="6">
        <f>IF(OR(I494="",J494=""),"",I494&amp;"-"&amp;J494)</f>
        <v/>
      </c>
      <c r="L494" s="6">
        <f>IF(OR(I494="",J494=""),"",IF(I494&gt;J494,"Gana",IF(I494=J494,"Empata","Pierde")))</f>
        <v/>
      </c>
      <c r="M494" s="4" t="n"/>
      <c r="N494" s="4" t="n"/>
      <c r="O494" s="6">
        <f>IF(OR(I494="",J494=""),"",I494+J494)</f>
        <v/>
      </c>
      <c r="P494" s="6">
        <f>IF(OR(I494="",J494=""),"",I494-J494)</f>
        <v/>
      </c>
      <c r="Q494" s="6">
        <f>IF(L494="","",IF(L494="Gana",3,IF(L494="Empata",1,0)))</f>
        <v/>
      </c>
      <c r="R494" s="6">
        <f>IF(L494="","",IF(L494="Pierde",3,IF(L494="Empata",1,0)))</f>
        <v/>
      </c>
      <c r="S494" s="4" t="n"/>
    </row>
    <row r="495">
      <c r="A495" s="4" t="n"/>
      <c r="B495" s="4" t="n"/>
      <c r="C495" s="4" t="n"/>
      <c r="D495" s="4" t="n"/>
      <c r="E495" s="4" t="n"/>
      <c r="F495" s="7" t="n"/>
      <c r="G495" s="4" t="n"/>
      <c r="H495" s="4" t="n"/>
      <c r="I495" s="4" t="n"/>
      <c r="J495" s="4" t="n"/>
      <c r="K495" s="6">
        <f>IF(OR(I495="",J495=""),"",I495&amp;"-"&amp;J495)</f>
        <v/>
      </c>
      <c r="L495" s="6">
        <f>IF(OR(I495="",J495=""),"",IF(I495&gt;J495,"Gana",IF(I495=J495,"Empata","Pierde")))</f>
        <v/>
      </c>
      <c r="M495" s="4" t="n"/>
      <c r="N495" s="4" t="n"/>
      <c r="O495" s="6">
        <f>IF(OR(I495="",J495=""),"",I495+J495)</f>
        <v/>
      </c>
      <c r="P495" s="6">
        <f>IF(OR(I495="",J495=""),"",I495-J495)</f>
        <v/>
      </c>
      <c r="Q495" s="6">
        <f>IF(L495="","",IF(L495="Gana",3,IF(L495="Empata",1,0)))</f>
        <v/>
      </c>
      <c r="R495" s="6">
        <f>IF(L495="","",IF(L495="Pierde",3,IF(L495="Empata",1,0)))</f>
        <v/>
      </c>
      <c r="S495" s="4" t="n"/>
    </row>
    <row r="496">
      <c r="A496" s="4" t="n"/>
      <c r="B496" s="4" t="n"/>
      <c r="C496" s="4" t="n"/>
      <c r="D496" s="4" t="n"/>
      <c r="E496" s="4" t="n"/>
      <c r="F496" s="7" t="n"/>
      <c r="G496" s="4" t="n"/>
      <c r="H496" s="4" t="n"/>
      <c r="I496" s="4" t="n"/>
      <c r="J496" s="4" t="n"/>
      <c r="K496" s="6">
        <f>IF(OR(I496="",J496=""),"",I496&amp;"-"&amp;J496)</f>
        <v/>
      </c>
      <c r="L496" s="6">
        <f>IF(OR(I496="",J496=""),"",IF(I496&gt;J496,"Gana",IF(I496=J496,"Empata","Pierde")))</f>
        <v/>
      </c>
      <c r="M496" s="4" t="n"/>
      <c r="N496" s="4" t="n"/>
      <c r="O496" s="6">
        <f>IF(OR(I496="",J496=""),"",I496+J496)</f>
        <v/>
      </c>
      <c r="P496" s="6">
        <f>IF(OR(I496="",J496=""),"",I496-J496)</f>
        <v/>
      </c>
      <c r="Q496" s="6">
        <f>IF(L496="","",IF(L496="Gana",3,IF(L496="Empata",1,0)))</f>
        <v/>
      </c>
      <c r="R496" s="6">
        <f>IF(L496="","",IF(L496="Pierde",3,IF(L496="Empata",1,0)))</f>
        <v/>
      </c>
      <c r="S496" s="4" t="n"/>
    </row>
    <row r="497">
      <c r="A497" s="4" t="n"/>
      <c r="B497" s="4" t="n"/>
      <c r="C497" s="4" t="n"/>
      <c r="D497" s="4" t="n"/>
      <c r="E497" s="4" t="n"/>
      <c r="F497" s="7" t="n"/>
      <c r="G497" s="4" t="n"/>
      <c r="H497" s="4" t="n"/>
      <c r="I497" s="4" t="n"/>
      <c r="J497" s="4" t="n"/>
      <c r="K497" s="6">
        <f>IF(OR(I497="",J497=""),"",I497&amp;"-"&amp;J497)</f>
        <v/>
      </c>
      <c r="L497" s="6">
        <f>IF(OR(I497="",J497=""),"",IF(I497&gt;J497,"Gana",IF(I497=J497,"Empata","Pierde")))</f>
        <v/>
      </c>
      <c r="M497" s="4" t="n"/>
      <c r="N497" s="4" t="n"/>
      <c r="O497" s="6">
        <f>IF(OR(I497="",J497=""),"",I497+J497)</f>
        <v/>
      </c>
      <c r="P497" s="6">
        <f>IF(OR(I497="",J497=""),"",I497-J497)</f>
        <v/>
      </c>
      <c r="Q497" s="6">
        <f>IF(L497="","",IF(L497="Gana",3,IF(L497="Empata",1,0)))</f>
        <v/>
      </c>
      <c r="R497" s="6">
        <f>IF(L497="","",IF(L497="Pierde",3,IF(L497="Empata",1,0)))</f>
        <v/>
      </c>
      <c r="S497" s="4" t="n"/>
    </row>
    <row r="498">
      <c r="A498" s="4" t="n"/>
      <c r="B498" s="4" t="n"/>
      <c r="C498" s="4" t="n"/>
      <c r="D498" s="4" t="n"/>
      <c r="E498" s="4" t="n"/>
      <c r="F498" s="7" t="n"/>
      <c r="G498" s="4" t="n"/>
      <c r="H498" s="4" t="n"/>
      <c r="I498" s="4" t="n"/>
      <c r="J498" s="4" t="n"/>
      <c r="K498" s="6">
        <f>IF(OR(I498="",J498=""),"",I498&amp;"-"&amp;J498)</f>
        <v/>
      </c>
      <c r="L498" s="6">
        <f>IF(OR(I498="",J498=""),"",IF(I498&gt;J498,"Gana",IF(I498=J498,"Empata","Pierde")))</f>
        <v/>
      </c>
      <c r="M498" s="4" t="n"/>
      <c r="N498" s="4" t="n"/>
      <c r="O498" s="6">
        <f>IF(OR(I498="",J498=""),"",I498+J498)</f>
        <v/>
      </c>
      <c r="P498" s="6">
        <f>IF(OR(I498="",J498=""),"",I498-J498)</f>
        <v/>
      </c>
      <c r="Q498" s="6">
        <f>IF(L498="","",IF(L498="Gana",3,IF(L498="Empata",1,0)))</f>
        <v/>
      </c>
      <c r="R498" s="6">
        <f>IF(L498="","",IF(L498="Pierde",3,IF(L498="Empata",1,0)))</f>
        <v/>
      </c>
      <c r="S498" s="4" t="n"/>
    </row>
    <row r="499">
      <c r="A499" s="4" t="n"/>
      <c r="B499" s="4" t="n"/>
      <c r="C499" s="4" t="n"/>
      <c r="D499" s="4" t="n"/>
      <c r="E499" s="4" t="n"/>
      <c r="F499" s="7" t="n"/>
      <c r="G499" s="4" t="n"/>
      <c r="H499" s="4" t="n"/>
      <c r="I499" s="4" t="n"/>
      <c r="J499" s="4" t="n"/>
      <c r="K499" s="6">
        <f>IF(OR(I499="",J499=""),"",I499&amp;"-"&amp;J499)</f>
        <v/>
      </c>
      <c r="L499" s="6">
        <f>IF(OR(I499="",J499=""),"",IF(I499&gt;J499,"Gana",IF(I499=J499,"Empata","Pierde")))</f>
        <v/>
      </c>
      <c r="M499" s="4" t="n"/>
      <c r="N499" s="4" t="n"/>
      <c r="O499" s="6">
        <f>IF(OR(I499="",J499=""),"",I499+J499)</f>
        <v/>
      </c>
      <c r="P499" s="6">
        <f>IF(OR(I499="",J499=""),"",I499-J499)</f>
        <v/>
      </c>
      <c r="Q499" s="6">
        <f>IF(L499="","",IF(L499="Gana",3,IF(L499="Empata",1,0)))</f>
        <v/>
      </c>
      <c r="R499" s="6">
        <f>IF(L499="","",IF(L499="Pierde",3,IF(L499="Empata",1,0)))</f>
        <v/>
      </c>
      <c r="S499" s="4" t="n"/>
    </row>
    <row r="500">
      <c r="A500" s="4" t="n"/>
      <c r="B500" s="4" t="n"/>
      <c r="C500" s="4" t="n"/>
      <c r="D500" s="4" t="n"/>
      <c r="E500" s="4" t="n"/>
      <c r="F500" s="7" t="n"/>
      <c r="G500" s="4" t="n"/>
      <c r="H500" s="4" t="n"/>
      <c r="I500" s="4" t="n"/>
      <c r="J500" s="4" t="n"/>
      <c r="K500" s="6">
        <f>IF(OR(I500="",J500=""),"",I500&amp;"-"&amp;J500)</f>
        <v/>
      </c>
      <c r="L500" s="6">
        <f>IF(OR(I500="",J500=""),"",IF(I500&gt;J500,"Gana",IF(I500=J500,"Empata","Pierde")))</f>
        <v/>
      </c>
      <c r="M500" s="4" t="n"/>
      <c r="N500" s="4" t="n"/>
      <c r="O500" s="6">
        <f>IF(OR(I500="",J500=""),"",I500+J500)</f>
        <v/>
      </c>
      <c r="P500" s="6">
        <f>IF(OR(I500="",J500=""),"",I500-J500)</f>
        <v/>
      </c>
      <c r="Q500" s="6">
        <f>IF(L500="","",IF(L500="Gana",3,IF(L500="Empata",1,0)))</f>
        <v/>
      </c>
      <c r="R500" s="6">
        <f>IF(L500="","",IF(L500="Pierde",3,IF(L500="Empata",1,0)))</f>
        <v/>
      </c>
      <c r="S500" s="4" t="n"/>
    </row>
    <row r="501">
      <c r="A501" s="4" t="n"/>
      <c r="B501" s="4" t="n"/>
      <c r="C501" s="4" t="n"/>
      <c r="D501" s="4" t="n"/>
      <c r="E501" s="4" t="n"/>
      <c r="F501" s="7" t="n"/>
      <c r="G501" s="4" t="n"/>
      <c r="H501" s="4" t="n"/>
      <c r="I501" s="4" t="n"/>
      <c r="J501" s="4" t="n"/>
      <c r="K501" s="6">
        <f>IF(OR(I501="",J501=""),"",I501&amp;"-"&amp;J501)</f>
        <v/>
      </c>
      <c r="L501" s="6">
        <f>IF(OR(I501="",J501=""),"",IF(I501&gt;J501,"Gana",IF(I501=J501,"Empata","Pierde")))</f>
        <v/>
      </c>
      <c r="M501" s="4" t="n"/>
      <c r="N501" s="4" t="n"/>
      <c r="O501" s="6">
        <f>IF(OR(I501="",J501=""),"",I501+J501)</f>
        <v/>
      </c>
      <c r="P501" s="6">
        <f>IF(OR(I501="",J501=""),"",I501-J501)</f>
        <v/>
      </c>
      <c r="Q501" s="6">
        <f>IF(L501="","",IF(L501="Gana",3,IF(L501="Empata",1,0)))</f>
        <v/>
      </c>
      <c r="R501" s="6">
        <f>IF(L501="","",IF(L501="Pierde",3,IF(L501="Empata",1,0)))</f>
        <v/>
      </c>
      <c r="S501" s="4" t="n"/>
    </row>
    <row r="502">
      <c r="A502" s="4" t="n"/>
      <c r="B502" s="4" t="n"/>
      <c r="C502" s="4" t="n"/>
      <c r="D502" s="4" t="n"/>
      <c r="E502" s="4" t="n"/>
      <c r="F502" s="7" t="n"/>
      <c r="G502" s="4" t="n"/>
      <c r="H502" s="4" t="n"/>
      <c r="I502" s="4" t="n"/>
      <c r="J502" s="4" t="n"/>
      <c r="K502" s="6">
        <f>IF(OR(I502="",J502=""),"",I502&amp;"-"&amp;J502)</f>
        <v/>
      </c>
      <c r="L502" s="6">
        <f>IF(OR(I502="",J502=""),"",IF(I502&gt;J502,"Gana",IF(I502=J502,"Empata","Pierde")))</f>
        <v/>
      </c>
      <c r="M502" s="4" t="n"/>
      <c r="N502" s="4" t="n"/>
      <c r="O502" s="6">
        <f>IF(OR(I502="",J502=""),"",I502+J502)</f>
        <v/>
      </c>
      <c r="P502" s="6">
        <f>IF(OR(I502="",J502=""),"",I502-J502)</f>
        <v/>
      </c>
      <c r="Q502" s="6">
        <f>IF(L502="","",IF(L502="Gana",3,IF(L502="Empata",1,0)))</f>
        <v/>
      </c>
      <c r="R502" s="6">
        <f>IF(L502="","",IF(L502="Pierde",3,IF(L502="Empata",1,0)))</f>
        <v/>
      </c>
      <c r="S502" s="4" t="n"/>
    </row>
    <row r="503">
      <c r="A503" s="4" t="n"/>
      <c r="B503" s="4" t="n"/>
      <c r="C503" s="4" t="n"/>
      <c r="D503" s="4" t="n"/>
      <c r="E503" s="4" t="n"/>
      <c r="F503" s="7" t="n"/>
      <c r="G503" s="4" t="n"/>
      <c r="H503" s="4" t="n"/>
      <c r="I503" s="4" t="n"/>
      <c r="J503" s="4" t="n"/>
      <c r="K503" s="6">
        <f>IF(OR(I503="",J503=""),"",I503&amp;"-"&amp;J503)</f>
        <v/>
      </c>
      <c r="L503" s="6">
        <f>IF(OR(I503="",J503=""),"",IF(I503&gt;J503,"Gana",IF(I503=J503,"Empata","Pierde")))</f>
        <v/>
      </c>
      <c r="M503" s="4" t="n"/>
      <c r="N503" s="4" t="n"/>
      <c r="O503" s="6">
        <f>IF(OR(I503="",J503=""),"",I503+J503)</f>
        <v/>
      </c>
      <c r="P503" s="6">
        <f>IF(OR(I503="",J503=""),"",I503-J503)</f>
        <v/>
      </c>
      <c r="Q503" s="6">
        <f>IF(L503="","",IF(L503="Gana",3,IF(L503="Empata",1,0)))</f>
        <v/>
      </c>
      <c r="R503" s="6">
        <f>IF(L503="","",IF(L503="Pierde",3,IF(L503="Empata",1,0)))</f>
        <v/>
      </c>
      <c r="S503" s="4" t="n"/>
    </row>
    <row r="504">
      <c r="A504" s="4" t="n"/>
      <c r="B504" s="4" t="n"/>
      <c r="C504" s="4" t="n"/>
      <c r="D504" s="4" t="n"/>
      <c r="E504" s="4" t="n"/>
      <c r="F504" s="7" t="n"/>
      <c r="G504" s="4" t="n"/>
      <c r="H504" s="4" t="n"/>
      <c r="I504" s="4" t="n"/>
      <c r="J504" s="4" t="n"/>
      <c r="K504" s="6">
        <f>IF(OR(I504="",J504=""),"",I504&amp;"-"&amp;J504)</f>
        <v/>
      </c>
      <c r="L504" s="6">
        <f>IF(OR(I504="",J504=""),"",IF(I504&gt;J504,"Gana",IF(I504=J504,"Empata","Pierde")))</f>
        <v/>
      </c>
      <c r="M504" s="4" t="n"/>
      <c r="N504" s="4" t="n"/>
      <c r="O504" s="6">
        <f>IF(OR(I504="",J504=""),"",I504+J504)</f>
        <v/>
      </c>
      <c r="P504" s="6">
        <f>IF(OR(I504="",J504=""),"",I504-J504)</f>
        <v/>
      </c>
      <c r="Q504" s="6">
        <f>IF(L504="","",IF(L504="Gana",3,IF(L504="Empata",1,0)))</f>
        <v/>
      </c>
      <c r="R504" s="6">
        <f>IF(L504="","",IF(L504="Pierde",3,IF(L504="Empata",1,0)))</f>
        <v/>
      </c>
      <c r="S504" s="4" t="n"/>
    </row>
    <row r="505">
      <c r="A505" s="4" t="n"/>
      <c r="B505" s="4" t="n"/>
      <c r="C505" s="4" t="n"/>
      <c r="D505" s="4" t="n"/>
      <c r="E505" s="4" t="n"/>
      <c r="F505" s="7" t="n"/>
      <c r="G505" s="4" t="n"/>
      <c r="H505" s="4" t="n"/>
      <c r="I505" s="4" t="n"/>
      <c r="J505" s="4" t="n"/>
      <c r="K505" s="6">
        <f>IF(OR(I505="",J505=""),"",I505&amp;"-"&amp;J505)</f>
        <v/>
      </c>
      <c r="L505" s="6">
        <f>IF(OR(I505="",J505=""),"",IF(I505&gt;J505,"Gana",IF(I505=J505,"Empata","Pierde")))</f>
        <v/>
      </c>
      <c r="M505" s="4" t="n"/>
      <c r="N505" s="4" t="n"/>
      <c r="O505" s="6">
        <f>IF(OR(I505="",J505=""),"",I505+J505)</f>
        <v/>
      </c>
      <c r="P505" s="6">
        <f>IF(OR(I505="",J505=""),"",I505-J505)</f>
        <v/>
      </c>
      <c r="Q505" s="6">
        <f>IF(L505="","",IF(L505="Gana",3,IF(L505="Empata",1,0)))</f>
        <v/>
      </c>
      <c r="R505" s="6">
        <f>IF(L505="","",IF(L505="Pierde",3,IF(L505="Empata",1,0)))</f>
        <v/>
      </c>
      <c r="S505" s="4" t="n"/>
    </row>
  </sheetData>
  <mergeCells count="2">
    <mergeCell ref="A1:S1"/>
    <mergeCell ref="A2:S3"/>
  </mergeCells>
  <conditionalFormatting sqref="I6:J505">
    <cfRule type="cellIs" priority="1" operator="lessThan" dxfId="0">
      <formula>0</formula>
    </cfRule>
  </conditionalFormatting>
  <dataValidations count="3">
    <dataValidation sqref="B6:B505" showDropDown="0" showInputMessage="0" showErrorMessage="0" allowBlank="0" type="list">
      <formula1>"2018,2022,2026"</formula1>
    </dataValidation>
    <dataValidation sqref="D6:D505" showDropDown="0" showInputMessage="0" showErrorMessage="0" allowBlank="0" type="list">
      <formula1>"A,B,C,D,E,F,G,H,I,J,K,L"</formula1>
    </dataValidation>
    <dataValidation sqref="M6:N505" showDropDown="0" showInputMessage="0" showErrorMessage="0" allowBlank="0" type="list">
      <formula1>"Sí,No"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:J1"/>
    </sheetView>
  </sheetViews>
  <sheetFormatPr baseColWidth="10" defaultColWidth="9" defaultRowHeight="14.25"/>
  <cols>
    <col width="12" customWidth="1" min="1" max="3"/>
    <col width="17" customWidth="1" min="4" max="4"/>
    <col width="12" customWidth="1" min="5" max="5"/>
    <col width="14" customWidth="1" min="6" max="6"/>
    <col width="18" customWidth="1" min="7" max="7"/>
    <col width="20" customWidth="1" min="8" max="9"/>
    <col width="19" customWidth="1" min="10" max="10"/>
  </cols>
  <sheetData>
    <row r="1" ht="30" customHeight="1">
      <c r="A1" s="10" t="inlineStr">
        <is>
          <t>Comparación de los tres Mundiales</t>
        </is>
      </c>
    </row>
    <row r="2" ht="21.95" customHeight="1">
      <c r="A2" s="11" t="inlineStr">
        <is>
          <t>Completa primero la base limpia. Los indicadores se recalculan a partir de la hoja 07_Base_Limpia.</t>
        </is>
      </c>
    </row>
    <row r="3" ht="21.95" customHeight="1"/>
    <row r="5" ht="15" customHeight="1">
      <c r="A5" s="1" t="inlineStr">
        <is>
          <t>Mundial</t>
        </is>
      </c>
      <c r="B5" s="1" t="inlineStr">
        <is>
          <t>Partidos</t>
        </is>
      </c>
      <c r="C5" s="1" t="inlineStr">
        <is>
          <t>Goles</t>
        </is>
      </c>
      <c r="D5" s="1" t="inlineStr">
        <is>
          <t>Goles/partido</t>
        </is>
      </c>
      <c r="E5" s="1" t="inlineStr">
        <is>
          <t>Empates</t>
        </is>
      </c>
      <c r="F5" s="1" t="inlineStr">
        <is>
          <t>% empates</t>
        </is>
      </c>
      <c r="G5" s="1" t="inlineStr">
        <is>
          <t>Partidos anfitrión</t>
        </is>
      </c>
      <c r="H5" s="1" t="inlineStr">
        <is>
          <t>Victorias anfitrión</t>
        </is>
      </c>
      <c r="I5" s="1" t="inlineStr">
        <is>
          <t>% victoria anfitrión</t>
        </is>
      </c>
      <c r="J5" s="1" t="inlineStr">
        <is>
          <t>% partidos &gt; 2.5</t>
        </is>
      </c>
    </row>
    <row r="6">
      <c r="A6" s="4" t="n">
        <v>2018</v>
      </c>
      <c r="B6" s="4">
        <f>COUNTIF('07_Base_Limpia'!$B$6:$B$505,$A6)</f>
        <v/>
      </c>
      <c r="C6" s="4">
        <f>SUMIF('07_Base_Limpia'!$B$6:$B$505,$A6,'07_Base_Limpia'!$O$6:$O$505)</f>
        <v/>
      </c>
      <c r="D6" s="8">
        <f>IFERROR(C6/B6,0)</f>
        <v/>
      </c>
      <c r="E6" s="4">
        <f>COUNTIFS('07_Base_Limpia'!$B$6:$B$505,$A6,'07_Base_Limpia'!$L$6:$L$505,"Empata")</f>
        <v/>
      </c>
      <c r="F6" s="9">
        <f>IFERROR(E6/B6,0)</f>
        <v/>
      </c>
      <c r="G6" s="4">
        <f>COUNTIFS('07_Base_Limpia'!$B$6:$B$505,$A6,'07_Base_Limpia'!$M$6:$M$505,"Sí")+COUNTIFS('07_Base_Limpia'!$B$6:$B$505,$A6,'07_Base_Limpia'!$N$6:$N$505,"Sí")</f>
        <v/>
      </c>
      <c r="H6" s="4">
        <f>COUNTIFS('07_Base_Limpia'!$B$6:$B$505,$A6,'07_Base_Limpia'!$M$6:$M$505,"Sí",'07_Base_Limpia'!$L$6:$L$505,"Gana")+COUNTIFS('07_Base_Limpia'!$B$6:$B$505,$A6,'07_Base_Limpia'!$N$6:$N$505,"Sí",'07_Base_Limpia'!$L$6:$L$505,"Pierde")</f>
        <v/>
      </c>
      <c r="I6" s="9">
        <f>IFERROR(H6/G6,0)</f>
        <v/>
      </c>
      <c r="J6" s="9">
        <f>IFERROR(COUNTIFS('07_Base_Limpia'!$B$6:$B$505,$A6,'07_Base_Limpia'!$O$6:$O$505,"&gt;2")/B6,0)</f>
        <v/>
      </c>
    </row>
    <row r="7">
      <c r="A7" s="4" t="n">
        <v>2022</v>
      </c>
      <c r="B7" s="4">
        <f>COUNTIF('07_Base_Limpia'!$B$6:$B$505,$A7)</f>
        <v/>
      </c>
      <c r="C7" s="4">
        <f>SUMIF('07_Base_Limpia'!$B$6:$B$505,$A7,'07_Base_Limpia'!$O$6:$O$505)</f>
        <v/>
      </c>
      <c r="D7" s="8">
        <f>IFERROR(C7/B7,0)</f>
        <v/>
      </c>
      <c r="E7" s="4">
        <f>COUNTIFS('07_Base_Limpia'!$B$6:$B$505,$A7,'07_Base_Limpia'!$L$6:$L$505,"Empata")</f>
        <v/>
      </c>
      <c r="F7" s="9">
        <f>IFERROR(E7/B7,0)</f>
        <v/>
      </c>
      <c r="G7" s="4">
        <f>COUNTIFS('07_Base_Limpia'!$B$6:$B$505,$A7,'07_Base_Limpia'!$M$6:$M$505,"Sí")+COUNTIFS('07_Base_Limpia'!$B$6:$B$505,$A7,'07_Base_Limpia'!$N$6:$N$505,"Sí")</f>
        <v/>
      </c>
      <c r="H7" s="4">
        <f>COUNTIFS('07_Base_Limpia'!$B$6:$B$505,$A7,'07_Base_Limpia'!$M$6:$M$505,"Sí",'07_Base_Limpia'!$L$6:$L$505,"Gana")+COUNTIFS('07_Base_Limpia'!$B$6:$B$505,$A7,'07_Base_Limpia'!$N$6:$N$505,"Sí",'07_Base_Limpia'!$L$6:$L$505,"Pierde")</f>
        <v/>
      </c>
      <c r="I7" s="9">
        <f>IFERROR(H7/G7,0)</f>
        <v/>
      </c>
      <c r="J7" s="9">
        <f>IFERROR(COUNTIFS('07_Base_Limpia'!$B$6:$B$505,$A7,'07_Base_Limpia'!$O$6:$O$505,"&gt;2")/B7,0)</f>
        <v/>
      </c>
    </row>
    <row r="8">
      <c r="A8" s="4" t="n">
        <v>2026</v>
      </c>
      <c r="B8" s="4">
        <f>COUNTIF('07_Base_Limpia'!$B$6:$B$505,$A8)</f>
        <v/>
      </c>
      <c r="C8" s="4">
        <f>SUMIF('07_Base_Limpia'!$B$6:$B$505,$A8,'07_Base_Limpia'!$O$6:$O$505)</f>
        <v/>
      </c>
      <c r="D8" s="8">
        <f>IFERROR(C8/B8,0)</f>
        <v/>
      </c>
      <c r="E8" s="4">
        <f>COUNTIFS('07_Base_Limpia'!$B$6:$B$505,$A8,'07_Base_Limpia'!$L$6:$L$505,"Empata")</f>
        <v/>
      </c>
      <c r="F8" s="9">
        <f>IFERROR(E8/B8,0)</f>
        <v/>
      </c>
      <c r="G8" s="4">
        <f>COUNTIFS('07_Base_Limpia'!$B$6:$B$505,$A8,'07_Base_Limpia'!$M$6:$M$505,"Sí")+COUNTIFS('07_Base_Limpia'!$B$6:$B$505,$A8,'07_Base_Limpia'!$N$6:$N$505,"Sí")</f>
        <v/>
      </c>
      <c r="H8" s="4">
        <f>COUNTIFS('07_Base_Limpia'!$B$6:$B$505,$A8,'07_Base_Limpia'!$M$6:$M$505,"Sí",'07_Base_Limpia'!$L$6:$L$505,"Gana")+COUNTIFS('07_Base_Limpia'!$B$6:$B$505,$A8,'07_Base_Limpia'!$N$6:$N$505,"Sí",'07_Base_Limpia'!$L$6:$L$505,"Pierde")</f>
        <v/>
      </c>
      <c r="I8" s="9">
        <f>IFERROR(H8/G8,0)</f>
        <v/>
      </c>
      <c r="J8" s="9">
        <f>IFERROR(COUNTIFS('07_Base_Limpia'!$B$6:$B$505,$A8,'07_Base_Limpia'!$O$6:$O$505,"&gt;2")/B8,0)</f>
        <v/>
      </c>
    </row>
    <row r="12" ht="15" customHeight="1">
      <c r="A12" s="12" t="inlineStr">
        <is>
          <t>Preguntas para interpretar, no solo calcular</t>
        </is>
      </c>
    </row>
    <row r="13">
      <c r="A13" s="13" t="inlineStr">
        <is>
          <t>• ¿Qué conclusión cambia al pasar de goles totales a goles por partido?
• ¿Por qué el porcentaje de empates es más comparable que el número de empates?
• ¿La condición de anfitrión parece asociarse con más victorias? ¿Esto prueba causalidad?
• ¿Qué transformaciones podrían alterar artificialmente estos indicadores?</t>
        </is>
      </c>
    </row>
    <row r="14"/>
    <row r="15"/>
    <row r="16"/>
  </sheetData>
  <mergeCells count="4">
    <mergeCell ref="A1:J1"/>
    <mergeCell ref="A2:J3"/>
    <mergeCell ref="A13:D16"/>
    <mergeCell ref="A12:D1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D16" sqref="D16"/>
    </sheetView>
  </sheetViews>
  <sheetFormatPr baseColWidth="10" defaultColWidth="9" defaultRowHeight="14.25"/>
  <cols>
    <col width="22" customWidth="1" min="1" max="1"/>
    <col width="27" customWidth="1" min="2" max="2"/>
    <col width="24" customWidth="1" min="3" max="3"/>
    <col width="56" customWidth="1" min="4" max="4"/>
    <col width="16" customWidth="1" min="5" max="8"/>
  </cols>
  <sheetData>
    <row r="1" ht="30" customHeight="1">
      <c r="A1" s="10" t="inlineStr">
        <is>
          <t>Entrada al análisis supervisado</t>
        </is>
      </c>
    </row>
    <row r="2" ht="21.95" customHeight="1">
      <c r="A2" s="11" t="inlineStr">
        <is>
          <t>El modelo aprende con ejemplos que ya tienen una etiqueta. Aquí la etiqueta será el resultado del equipo local.</t>
        </is>
      </c>
    </row>
    <row r="3" ht="21.95" customHeight="1"/>
    <row r="5" ht="15" customHeight="1">
      <c r="A5" s="1" t="inlineStr">
        <is>
          <t>Tipo</t>
        </is>
      </c>
      <c r="B5" s="1" t="inlineStr">
        <is>
          <t>Variable</t>
        </is>
      </c>
      <c r="C5" s="1" t="inlineStr">
        <is>
          <t>Ejemplo</t>
        </is>
      </c>
      <c r="D5" s="1" t="inlineStr">
        <is>
          <t>Por qué</t>
        </is>
      </c>
    </row>
    <row r="6">
      <c r="A6" s="4" t="inlineStr">
        <is>
          <t>Variable objetivo</t>
        </is>
      </c>
      <c r="B6" s="4" t="inlineStr">
        <is>
          <t>resultado_local</t>
        </is>
      </c>
      <c r="C6" s="4" t="inlineStr">
        <is>
          <t>Gana / Empata / Pierde</t>
        </is>
      </c>
      <c r="D6" s="4" t="inlineStr">
        <is>
          <t>Es lo que el modelo intentará predecir.</t>
        </is>
      </c>
    </row>
    <row r="7">
      <c r="A7" s="4" t="inlineStr">
        <is>
          <t>Predictor válido</t>
        </is>
      </c>
      <c r="B7" s="4" t="inlineStr">
        <is>
          <t>jornada</t>
        </is>
      </c>
      <c r="C7" s="4" t="inlineStr">
        <is>
          <t>1, 2 o 3</t>
        </is>
      </c>
      <c r="D7" s="4" t="inlineStr">
        <is>
          <t>Se conoce antes del partido.</t>
        </is>
      </c>
    </row>
    <row r="8">
      <c r="A8" s="4" t="inlineStr">
        <is>
          <t>Predictor válido</t>
        </is>
      </c>
      <c r="B8" s="4" t="inlineStr">
        <is>
          <t>puntos promedio previos</t>
        </is>
      </c>
      <c r="C8" s="4" t="inlineStr">
        <is>
          <t>0.0 a 3.0</t>
        </is>
      </c>
      <c r="D8" s="4" t="inlineStr">
        <is>
          <t>Debe calcularse solo con partidos anteriores.</t>
        </is>
      </c>
    </row>
    <row r="9">
      <c r="A9" s="4" t="inlineStr">
        <is>
          <t>Predictor válido</t>
        </is>
      </c>
      <c r="B9" s="4" t="inlineStr">
        <is>
          <t>diferencia promedio previa</t>
        </is>
      </c>
      <c r="C9" s="4" t="inlineStr">
        <is>
          <t>Número real</t>
        </is>
      </c>
      <c r="D9" s="4" t="inlineStr">
        <is>
          <t>Resume rendimiento previo.</t>
        </is>
      </c>
    </row>
    <row r="10">
      <c r="A10" s="4" t="inlineStr">
        <is>
          <t>Predictor válido</t>
        </is>
      </c>
      <c r="B10" s="4" t="inlineStr">
        <is>
          <t>condición de anfitrión</t>
        </is>
      </c>
      <c r="C10" s="4" t="inlineStr">
        <is>
          <t>TRUE / FALSE</t>
        </is>
      </c>
      <c r="D10" s="4" t="inlineStr">
        <is>
          <t>Se conoce antes del partido.</t>
        </is>
      </c>
    </row>
    <row r="11">
      <c r="A11" s="4" t="inlineStr">
        <is>
          <t>Fuga de información</t>
        </is>
      </c>
      <c r="B11" s="4" t="inlineStr">
        <is>
          <t>goles_local</t>
        </is>
      </c>
      <c r="C11" s="4" t="inlineStr">
        <is>
          <t>Resultado final</t>
        </is>
      </c>
      <c r="D11" s="4" t="inlineStr">
        <is>
          <t>No puede utilizarse para pronosticar el mismo partido.</t>
        </is>
      </c>
    </row>
    <row r="12">
      <c r="A12" s="4" t="inlineStr">
        <is>
          <t>Fuga de información</t>
        </is>
      </c>
      <c r="B12" s="4" t="inlineStr">
        <is>
          <t>diferencia_goles</t>
        </is>
      </c>
      <c r="C12" s="4" t="inlineStr">
        <is>
          <t>Resultado final</t>
        </is>
      </c>
      <c r="D12" s="4" t="inlineStr">
        <is>
          <t>Codifica directamente la clase objetivo.</t>
        </is>
      </c>
    </row>
    <row r="15" ht="15" customHeight="1">
      <c r="A15" s="12" t="inlineStr">
        <is>
          <t>Flujo del experimento</t>
        </is>
      </c>
    </row>
    <row r="16" ht="15" customHeight="1">
      <c r="A16" s="1" t="inlineStr">
        <is>
          <t>Paso</t>
        </is>
      </c>
      <c r="B16" s="1" t="inlineStr">
        <is>
          <t>Acción</t>
        </is>
      </c>
    </row>
    <row r="17">
      <c r="A17" s="4" t="inlineStr">
        <is>
          <t>1</t>
        </is>
      </c>
      <c r="B17" s="4" t="inlineStr">
        <is>
          <t>Ordenar cada torneo por fecha.</t>
        </is>
      </c>
    </row>
    <row r="18">
      <c r="A18" s="4" t="inlineStr">
        <is>
          <t>2</t>
        </is>
      </c>
      <c r="B18" s="4" t="inlineStr">
        <is>
          <t>Calcular estadísticas acumuladas antes de cada partido.</t>
        </is>
      </c>
    </row>
    <row r="19">
      <c r="A19" s="4" t="inlineStr">
        <is>
          <t>3</t>
        </is>
      </c>
      <c r="B19" s="4" t="inlineStr">
        <is>
          <t>Entrenar con 2018 y 2022.</t>
        </is>
      </c>
    </row>
    <row r="20">
      <c r="A20" s="4" t="inlineStr">
        <is>
          <t>4</t>
        </is>
      </c>
      <c r="B20" s="4" t="inlineStr">
        <is>
          <t>Evaluar con 2026 sin mezclar los torneos.</t>
        </is>
      </c>
    </row>
    <row r="21">
      <c r="A21" s="4" t="inlineStr">
        <is>
          <t>5</t>
        </is>
      </c>
      <c r="B21" s="4" t="inlineStr">
        <is>
          <t>Comparar contra la clase más frecuente.</t>
        </is>
      </c>
    </row>
    <row r="22">
      <c r="A22" s="4" t="inlineStr">
        <is>
          <t>6</t>
        </is>
      </c>
      <c r="B22" s="4" t="inlineStr">
        <is>
          <t>Revisar la matriz de confusión.</t>
        </is>
      </c>
    </row>
    <row r="23">
      <c r="A23" s="4" t="inlineStr">
        <is>
          <t>7</t>
        </is>
      </c>
      <c r="B23" s="4" t="inlineStr">
        <is>
          <t>Agregar variables con fuga y explicar por qué el resultado deja de ser válido.</t>
        </is>
      </c>
    </row>
    <row r="26">
      <c r="A26" s="13" t="inlineStr">
        <is>
          <t>La meta no es construir un pronosticador profesional. El ejercicio introduce variables predictoras, variable objetivo, separación entrenamiento/prueba, línea base, matriz de confusión y fuga de información. Una precisión perfecta puede ser una señal de que el modelo recibió información que no debería conocer.</t>
        </is>
      </c>
    </row>
    <row r="27"/>
    <row r="28"/>
    <row r="29"/>
  </sheetData>
  <mergeCells count="4">
    <mergeCell ref="A1:H1"/>
    <mergeCell ref="A2:H3"/>
    <mergeCell ref="A26:H29"/>
    <mergeCell ref="A15:H15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2026-07-03T01:17:39Z</dcterms:created>
  <dcterms:modified xsi:type="dcterms:W3CDTF">2026-07-03T01:19:07Z</dcterms:modified>
  <cp:lastModifiedBy>Enrique Mascote</cp:lastModifiedBy>
</cp:coreProperties>
</file>